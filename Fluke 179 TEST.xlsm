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1423" documentId="8_{3B3132E4-E214-485B-AC59-F3692CCB9B11}" xr6:coauthVersionLast="47" xr6:coauthVersionMax="47" xr10:uidLastSave="{C8567D2C-095D-4F35-AE1A-45C72545C7EE}"/>
  <bookViews>
    <workbookView xWindow="-120" yWindow="-120" windowWidth="29040" windowHeight="15840" activeTab="4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3" l="1" a="1"/>
  <c r="G7" i="3"/>
  <c r="AG2653" i="12" l="1"/>
  <c r="AF2653" i="12"/>
  <c r="Z2653" i="12"/>
  <c r="AG2652" i="12"/>
  <c r="AF2652" i="12"/>
  <c r="Z2652" i="12"/>
  <c r="AG2651" i="12"/>
  <c r="AF2651" i="12"/>
  <c r="Z2651" i="12"/>
  <c r="AG2650" i="12"/>
  <c r="AF2650" i="12"/>
  <c r="Z2650" i="12"/>
  <c r="AG2649" i="12"/>
  <c r="AF2649" i="12"/>
  <c r="Z2649" i="12"/>
  <c r="AG2648" i="12"/>
  <c r="AF2648" i="12"/>
  <c r="Z2648" i="12"/>
  <c r="AG2647" i="12"/>
  <c r="AF2647" i="12"/>
  <c r="Z2647" i="12"/>
  <c r="AG2646" i="12"/>
  <c r="AF2646" i="12"/>
  <c r="Z2646" i="12"/>
  <c r="AG2645" i="12"/>
  <c r="AF2645" i="12"/>
  <c r="Z2645" i="12"/>
  <c r="AG2644" i="12"/>
  <c r="AF2644" i="12"/>
  <c r="Z2644" i="12"/>
  <c r="AG2643" i="12"/>
  <c r="AF2643" i="12"/>
  <c r="Z2643" i="12"/>
  <c r="AG2642" i="12"/>
  <c r="AF2642" i="12"/>
  <c r="Z2642" i="12"/>
  <c r="AG2641" i="12"/>
  <c r="AF2641" i="12"/>
  <c r="Z2641" i="12"/>
  <c r="AG2640" i="12"/>
  <c r="AF2640" i="12"/>
  <c r="Z2640" i="12"/>
  <c r="AG2639" i="12"/>
  <c r="AF2639" i="12"/>
  <c r="Z2639" i="12"/>
  <c r="AG2638" i="12"/>
  <c r="AF2638" i="12"/>
  <c r="Z2638" i="12"/>
  <c r="AG2637" i="12"/>
  <c r="AF2637" i="12"/>
  <c r="Z2637" i="12"/>
  <c r="AG2636" i="12"/>
  <c r="AF2636" i="12"/>
  <c r="Z2636" i="12"/>
  <c r="AG2635" i="12"/>
  <c r="AF2635" i="12"/>
  <c r="Z2635" i="12"/>
  <c r="AG2634" i="12"/>
  <c r="AF2634" i="12"/>
  <c r="Z2634" i="12"/>
  <c r="AG2633" i="12"/>
  <c r="AF2633" i="12"/>
  <c r="Z2633" i="12"/>
  <c r="AG2632" i="12"/>
  <c r="AF2632" i="12"/>
  <c r="Z2632" i="12"/>
  <c r="AG2631" i="12"/>
  <c r="AF2631" i="12"/>
  <c r="Z2631" i="12"/>
  <c r="AG2630" i="12"/>
  <c r="AF2630" i="12"/>
  <c r="Z2630" i="12"/>
  <c r="AG2629" i="12"/>
  <c r="AF2629" i="12"/>
  <c r="Z2629" i="12"/>
  <c r="AG2628" i="12"/>
  <c r="AF2628" i="12"/>
  <c r="Z2628" i="12"/>
  <c r="AG2627" i="12"/>
  <c r="AF2627" i="12"/>
  <c r="Z2627" i="12"/>
  <c r="AG2626" i="12"/>
  <c r="AF2626" i="12"/>
  <c r="Z2626" i="12"/>
  <c r="AG2625" i="12"/>
  <c r="AF2625" i="12"/>
  <c r="Z2625" i="12"/>
  <c r="AG2624" i="12"/>
  <c r="AF2624" i="12"/>
  <c r="Z2624" i="12"/>
  <c r="AG2623" i="12"/>
  <c r="AF2623" i="12"/>
  <c r="Z2623" i="12"/>
  <c r="AG2622" i="12"/>
  <c r="AF2622" i="12"/>
  <c r="Z2622" i="12"/>
  <c r="AG2621" i="12"/>
  <c r="AF2621" i="12"/>
  <c r="Z2621" i="12"/>
  <c r="AG2620" i="12"/>
  <c r="AF2620" i="12"/>
  <c r="Z2620" i="12"/>
  <c r="AG2619" i="12"/>
  <c r="AF2619" i="12"/>
  <c r="Z2619" i="12"/>
  <c r="AG2618" i="12"/>
  <c r="AF2618" i="12"/>
  <c r="Z2618" i="12"/>
  <c r="AG2617" i="12"/>
  <c r="AF2617" i="12"/>
  <c r="Z2617" i="12"/>
  <c r="AG2616" i="12"/>
  <c r="AF2616" i="12"/>
  <c r="Z2616" i="12"/>
  <c r="AG2615" i="12"/>
  <c r="AF2615" i="12"/>
  <c r="Z2615" i="12"/>
  <c r="AG2614" i="12"/>
  <c r="AF2614" i="12"/>
  <c r="Z2614" i="12"/>
  <c r="AG2613" i="12"/>
  <c r="AF2613" i="12"/>
  <c r="Z2613" i="12"/>
  <c r="AG2612" i="12"/>
  <c r="AF2612" i="12"/>
  <c r="Z2612" i="12"/>
  <c r="AG2611" i="12"/>
  <c r="AF2611" i="12"/>
  <c r="Z2611" i="12"/>
  <c r="AG2610" i="12"/>
  <c r="AF2610" i="12"/>
  <c r="Z2610" i="12"/>
  <c r="AG2609" i="12"/>
  <c r="AF2609" i="12"/>
  <c r="Z2609" i="12"/>
  <c r="AG2608" i="12"/>
  <c r="AF2608" i="12"/>
  <c r="Z2608" i="12"/>
  <c r="AG2607" i="12"/>
  <c r="AF2607" i="12"/>
  <c r="Z2607" i="12"/>
  <c r="AG2606" i="12"/>
  <c r="AF2606" i="12"/>
  <c r="Z2606" i="12"/>
  <c r="AG2605" i="12"/>
  <c r="AF2605" i="12"/>
  <c r="Z2605" i="12"/>
  <c r="AG2604" i="12"/>
  <c r="AF2604" i="12"/>
  <c r="Z2604" i="12"/>
  <c r="AG2603" i="12"/>
  <c r="AF2603" i="12"/>
  <c r="Z2603" i="12"/>
  <c r="AG2602" i="12"/>
  <c r="AF2602" i="12"/>
  <c r="Z2602" i="12"/>
  <c r="AG2601" i="12"/>
  <c r="AF2601" i="12"/>
  <c r="Z2601" i="12"/>
  <c r="AG2600" i="12"/>
  <c r="AF2600" i="12"/>
  <c r="Z2600" i="12"/>
  <c r="AG2599" i="12"/>
  <c r="AF2599" i="12"/>
  <c r="Z2599" i="12"/>
  <c r="AG2598" i="12"/>
  <c r="AF2598" i="12"/>
  <c r="Z2598" i="12"/>
  <c r="AG2597" i="12"/>
  <c r="AF2597" i="12"/>
  <c r="Z2597" i="12"/>
  <c r="AG2596" i="12"/>
  <c r="AF2596" i="12"/>
  <c r="Z2596" i="12"/>
  <c r="AG2595" i="12"/>
  <c r="AF2595" i="12"/>
  <c r="Z2595" i="12"/>
  <c r="AG2594" i="12"/>
  <c r="AF2594" i="12"/>
  <c r="Z2594" i="12"/>
  <c r="AG2593" i="12"/>
  <c r="AF2593" i="12"/>
  <c r="Z2593" i="12"/>
  <c r="AG2592" i="12"/>
  <c r="AF2592" i="12"/>
  <c r="Z2592" i="12"/>
  <c r="AG2591" i="12"/>
  <c r="AF2591" i="12"/>
  <c r="Z2591" i="12"/>
  <c r="AG2590" i="12"/>
  <c r="AF2590" i="12"/>
  <c r="Z2590" i="12"/>
  <c r="AG2589" i="12"/>
  <c r="AF2589" i="12"/>
  <c r="Z2589" i="12"/>
  <c r="AG2588" i="12"/>
  <c r="AF2588" i="12"/>
  <c r="Z2588" i="12"/>
  <c r="AG2587" i="12"/>
  <c r="AF2587" i="12"/>
  <c r="Z2587" i="12"/>
  <c r="AG2586" i="12"/>
  <c r="AF2586" i="12"/>
  <c r="Z2586" i="12"/>
  <c r="AG2585" i="12"/>
  <c r="AF2585" i="12"/>
  <c r="Z2585" i="12"/>
  <c r="AG2584" i="12"/>
  <c r="AF2584" i="12"/>
  <c r="Z2584" i="12"/>
  <c r="AG2583" i="12"/>
  <c r="AF2583" i="12"/>
  <c r="Z2583" i="12"/>
  <c r="AG2582" i="12"/>
  <c r="AF2582" i="12"/>
  <c r="Z2582" i="12"/>
  <c r="AG2581" i="12"/>
  <c r="AF2581" i="12"/>
  <c r="Z2581" i="12"/>
  <c r="AG2580" i="12"/>
  <c r="AF2580" i="12"/>
  <c r="Z2580" i="12"/>
  <c r="AG2579" i="12"/>
  <c r="AF2579" i="12"/>
  <c r="Z2579" i="12"/>
  <c r="AG2578" i="12"/>
  <c r="AF2578" i="12"/>
  <c r="Z2578" i="12"/>
  <c r="AG2577" i="12"/>
  <c r="AF2577" i="12"/>
  <c r="Z2577" i="12"/>
  <c r="AG2576" i="12"/>
  <c r="AF2576" i="12"/>
  <c r="Z2576" i="12"/>
  <c r="AG2575" i="12"/>
  <c r="AF2575" i="12"/>
  <c r="Z2575" i="12"/>
  <c r="AG2574" i="12"/>
  <c r="AF2574" i="12"/>
  <c r="Z2574" i="12"/>
  <c r="AG2573" i="12"/>
  <c r="AF2573" i="12"/>
  <c r="Z2573" i="12"/>
  <c r="AG2572" i="12"/>
  <c r="AF2572" i="12"/>
  <c r="Z2572" i="12"/>
  <c r="AG2571" i="12"/>
  <c r="AF2571" i="12"/>
  <c r="Z2571" i="12"/>
  <c r="AG2570" i="12"/>
  <c r="AF2570" i="12"/>
  <c r="Z2570" i="12"/>
  <c r="AG2569" i="12"/>
  <c r="AF2569" i="12"/>
  <c r="Z2569" i="12"/>
  <c r="AG2568" i="12"/>
  <c r="AF2568" i="12"/>
  <c r="Z2568" i="12"/>
  <c r="AG2567" i="12"/>
  <c r="AF2567" i="12"/>
  <c r="Z2567" i="12"/>
  <c r="AG2566" i="12"/>
  <c r="AF2566" i="12"/>
  <c r="Z2566" i="12"/>
  <c r="AG2565" i="12"/>
  <c r="AF2565" i="12"/>
  <c r="Z2565" i="12"/>
  <c r="AG2564" i="12"/>
  <c r="AF2564" i="12"/>
  <c r="Z2564" i="12"/>
  <c r="AG2563" i="12"/>
  <c r="AF2563" i="12"/>
  <c r="Z2563" i="12"/>
  <c r="AG2562" i="12"/>
  <c r="AF2562" i="12"/>
  <c r="Z2562" i="12"/>
  <c r="AG2561" i="12"/>
  <c r="AF2561" i="12"/>
  <c r="Z2561" i="12"/>
  <c r="AG2560" i="12"/>
  <c r="AF2560" i="12"/>
  <c r="Z2560" i="12"/>
  <c r="AG2559" i="12"/>
  <c r="AF2559" i="12"/>
  <c r="Z2559" i="12"/>
  <c r="AG2558" i="12"/>
  <c r="AF2558" i="12"/>
  <c r="Z2558" i="12"/>
  <c r="AG2557" i="12"/>
  <c r="AF2557" i="12"/>
  <c r="Z2557" i="12"/>
  <c r="AG2556" i="12"/>
  <c r="AF2556" i="12"/>
  <c r="Z2556" i="12"/>
  <c r="AG2555" i="12"/>
  <c r="AF2555" i="12"/>
  <c r="Z2555" i="12"/>
  <c r="AG2554" i="12"/>
  <c r="AF2554" i="12"/>
  <c r="Z2554" i="12"/>
  <c r="AG2553" i="12"/>
  <c r="AF2553" i="12"/>
  <c r="Z2553" i="12"/>
  <c r="AG2552" i="12"/>
  <c r="AF2552" i="12"/>
  <c r="Z2552" i="12"/>
  <c r="AG2551" i="12"/>
  <c r="AF2551" i="12"/>
  <c r="Z2551" i="12"/>
  <c r="AG2550" i="12"/>
  <c r="AF2550" i="12"/>
  <c r="Z2550" i="12"/>
  <c r="AG2549" i="12"/>
  <c r="AF2549" i="12"/>
  <c r="Z2549" i="12"/>
  <c r="AG2548" i="12"/>
  <c r="AF2548" i="12"/>
  <c r="Z2548" i="12"/>
  <c r="AG2547" i="12"/>
  <c r="AF2547" i="12"/>
  <c r="Z2547" i="12"/>
  <c r="AG2546" i="12"/>
  <c r="AF2546" i="12"/>
  <c r="Z2546" i="12"/>
  <c r="AG2545" i="12"/>
  <c r="AF2545" i="12"/>
  <c r="Z2545" i="12"/>
  <c r="AG2544" i="12"/>
  <c r="AF2544" i="12"/>
  <c r="Z2544" i="12"/>
  <c r="AG2543" i="12"/>
  <c r="AF2543" i="12"/>
  <c r="Z2543" i="12"/>
  <c r="AG2542" i="12"/>
  <c r="AF2542" i="12"/>
  <c r="Z2542" i="12"/>
  <c r="AG2541" i="12"/>
  <c r="AF2541" i="12"/>
  <c r="Z2541" i="12"/>
  <c r="AG2540" i="12"/>
  <c r="AF2540" i="12"/>
  <c r="Z2540" i="12"/>
  <c r="AG2539" i="12"/>
  <c r="AF2539" i="12"/>
  <c r="Z2539" i="12"/>
  <c r="AG2538" i="12"/>
  <c r="AF2538" i="12"/>
  <c r="Z2538" i="12"/>
  <c r="AG2537" i="12"/>
  <c r="AF2537" i="12"/>
  <c r="Z2537" i="12"/>
  <c r="AG2536" i="12"/>
  <c r="AF2536" i="12"/>
  <c r="Z2536" i="12"/>
  <c r="AG2535" i="12"/>
  <c r="AF2535" i="12"/>
  <c r="Z2535" i="12"/>
  <c r="AG2534" i="12"/>
  <c r="AF2534" i="12"/>
  <c r="Z2534" i="12"/>
  <c r="AG2533" i="12"/>
  <c r="AF2533" i="12"/>
  <c r="Z2533" i="12"/>
  <c r="AG2532" i="12"/>
  <c r="AF2532" i="12"/>
  <c r="Z2532" i="12"/>
  <c r="AG2531" i="12"/>
  <c r="AF2531" i="12"/>
  <c r="Z2531" i="12"/>
  <c r="AG2530" i="12"/>
  <c r="AF2530" i="12"/>
  <c r="Z2530" i="12"/>
  <c r="AG2529" i="12"/>
  <c r="AF2529" i="12"/>
  <c r="Z2529" i="12"/>
  <c r="AG2528" i="12"/>
  <c r="AF2528" i="12"/>
  <c r="Z2528" i="12"/>
  <c r="AG2527" i="12"/>
  <c r="AF2527" i="12"/>
  <c r="Z2527" i="12"/>
  <c r="AG2526" i="12"/>
  <c r="AF2526" i="12"/>
  <c r="Z2526" i="12"/>
  <c r="AG2525" i="12"/>
  <c r="AF2525" i="12"/>
  <c r="Z2525" i="12"/>
  <c r="AG2524" i="12"/>
  <c r="AF2524" i="12"/>
  <c r="Z2524" i="12"/>
  <c r="AG2523" i="12"/>
  <c r="AF2523" i="12"/>
  <c r="Z2523" i="12"/>
  <c r="AG2522" i="12"/>
  <c r="AF2522" i="12"/>
  <c r="Z2522" i="12"/>
  <c r="AG2521" i="12"/>
  <c r="AF2521" i="12"/>
  <c r="Z2521" i="12"/>
  <c r="AG2520" i="12"/>
  <c r="AF2520" i="12"/>
  <c r="Z2520" i="12"/>
  <c r="AG2519" i="12"/>
  <c r="AF2519" i="12"/>
  <c r="Z2519" i="12"/>
  <c r="AG2518" i="12"/>
  <c r="AF2518" i="12"/>
  <c r="Z2518" i="12"/>
  <c r="AG2517" i="12"/>
  <c r="AF2517" i="12"/>
  <c r="Z2517" i="12"/>
  <c r="AG2516" i="12"/>
  <c r="AF2516" i="12"/>
  <c r="Z2516" i="12"/>
  <c r="AG2515" i="12"/>
  <c r="AF2515" i="12"/>
  <c r="Z2515" i="12"/>
  <c r="AG2514" i="12"/>
  <c r="AF2514" i="12"/>
  <c r="Z2514" i="12"/>
  <c r="AG2513" i="12"/>
  <c r="AF2513" i="12"/>
  <c r="Z2513" i="12"/>
  <c r="AG2512" i="12"/>
  <c r="AF2512" i="12"/>
  <c r="Z2512" i="12"/>
  <c r="AG2511" i="12"/>
  <c r="AF2511" i="12"/>
  <c r="Z2511" i="12"/>
  <c r="AG2510" i="12"/>
  <c r="AF2510" i="12"/>
  <c r="Z2510" i="12"/>
  <c r="AG2509" i="12"/>
  <c r="AF2509" i="12"/>
  <c r="Z2509" i="12"/>
  <c r="AG2508" i="12"/>
  <c r="AF2508" i="12"/>
  <c r="Z2508" i="12"/>
  <c r="AG2507" i="12"/>
  <c r="AF2507" i="12"/>
  <c r="Z2507" i="12"/>
  <c r="AG2506" i="12"/>
  <c r="AF2506" i="12"/>
  <c r="Z2506" i="12"/>
  <c r="AG2505" i="12"/>
  <c r="AF2505" i="12"/>
  <c r="Z2505" i="12"/>
  <c r="AG2504" i="12"/>
  <c r="AF2504" i="12"/>
  <c r="Z2504" i="12"/>
  <c r="AG2503" i="12"/>
  <c r="AF2503" i="12"/>
  <c r="Z2503" i="12"/>
  <c r="AG2502" i="12"/>
  <c r="AF2502" i="12"/>
  <c r="Z2502" i="12"/>
  <c r="AG2501" i="12"/>
  <c r="AF2501" i="12"/>
  <c r="Z2501" i="12"/>
  <c r="AG2500" i="12"/>
  <c r="AF2500" i="12"/>
  <c r="Z2500" i="12"/>
  <c r="AG2499" i="12"/>
  <c r="AF2499" i="12"/>
  <c r="Z2499" i="12"/>
  <c r="AG2498" i="12"/>
  <c r="AF2498" i="12"/>
  <c r="Z2498" i="12"/>
  <c r="AG2497" i="12"/>
  <c r="AF2497" i="12"/>
  <c r="Z2497" i="12"/>
  <c r="AG2496" i="12"/>
  <c r="AF2496" i="12"/>
  <c r="Z2496" i="12"/>
  <c r="AG2495" i="12"/>
  <c r="AF2495" i="12"/>
  <c r="Z2495" i="12"/>
  <c r="AG2494" i="12"/>
  <c r="AF2494" i="12"/>
  <c r="Z2494" i="12"/>
  <c r="AG2493" i="12"/>
  <c r="AF2493" i="12"/>
  <c r="Z2493" i="12"/>
  <c r="AG2492" i="12"/>
  <c r="AF2492" i="12"/>
  <c r="Z2492" i="12"/>
  <c r="AG2491" i="12"/>
  <c r="AF2491" i="12"/>
  <c r="Z2491" i="12"/>
  <c r="AG2490" i="12"/>
  <c r="AF2490" i="12"/>
  <c r="Z2490" i="12"/>
  <c r="AG2489" i="12"/>
  <c r="AF2489" i="12"/>
  <c r="Z2489" i="12"/>
  <c r="AG2488" i="12"/>
  <c r="AF2488" i="12"/>
  <c r="Z2488" i="12"/>
  <c r="AG2487" i="12"/>
  <c r="AF2487" i="12"/>
  <c r="Z2487" i="12"/>
  <c r="AG2486" i="12"/>
  <c r="AF2486" i="12"/>
  <c r="Z2486" i="12"/>
  <c r="AG2485" i="12"/>
  <c r="AF2485" i="12"/>
  <c r="Z2485" i="12"/>
  <c r="AG2484" i="12"/>
  <c r="AF2484" i="12"/>
  <c r="Z2484" i="12"/>
  <c r="AG2483" i="12"/>
  <c r="AF2483" i="12"/>
  <c r="Z2483" i="12"/>
  <c r="AG2482" i="12"/>
  <c r="AF2482" i="12"/>
  <c r="Z2482" i="12"/>
  <c r="AG2481" i="12"/>
  <c r="AF2481" i="12"/>
  <c r="Z2481" i="12"/>
  <c r="AG2480" i="12"/>
  <c r="AF2480" i="12"/>
  <c r="Z2480" i="12"/>
  <c r="AG2479" i="12"/>
  <c r="AF2479" i="12"/>
  <c r="Z2479" i="12"/>
  <c r="AG2478" i="12"/>
  <c r="AF2478" i="12"/>
  <c r="Z2478" i="12"/>
  <c r="AG2477" i="12"/>
  <c r="AF2477" i="12"/>
  <c r="Z2477" i="12"/>
  <c r="AG2476" i="12"/>
  <c r="AF2476" i="12"/>
  <c r="Z2476" i="12"/>
  <c r="AG2475" i="12"/>
  <c r="AF2475" i="12"/>
  <c r="Z2475" i="12"/>
  <c r="AG2474" i="12"/>
  <c r="AF2474" i="12"/>
  <c r="Z2474" i="12"/>
  <c r="AG2473" i="12"/>
  <c r="AF2473" i="12"/>
  <c r="Z2473" i="12"/>
  <c r="AG2472" i="12"/>
  <c r="AF2472" i="12"/>
  <c r="Z2472" i="12"/>
  <c r="AG2471" i="12"/>
  <c r="AF2471" i="12"/>
  <c r="Z2471" i="12"/>
  <c r="AG2470" i="12"/>
  <c r="AF2470" i="12"/>
  <c r="Z2470" i="12"/>
  <c r="AG2469" i="12"/>
  <c r="AF2469" i="12"/>
  <c r="Z2469" i="12"/>
  <c r="AG2468" i="12"/>
  <c r="AF2468" i="12"/>
  <c r="Z2468" i="12"/>
  <c r="AG2467" i="12"/>
  <c r="AF2467" i="12"/>
  <c r="Z2467" i="12"/>
  <c r="AG2466" i="12"/>
  <c r="AF2466" i="12"/>
  <c r="Z2466" i="12"/>
  <c r="AG2465" i="12"/>
  <c r="AF2465" i="12"/>
  <c r="Z2465" i="12"/>
  <c r="AG2464" i="12"/>
  <c r="AF2464" i="12"/>
  <c r="Z2464" i="12"/>
  <c r="AG2463" i="12"/>
  <c r="AF2463" i="12"/>
  <c r="Z2463" i="12"/>
  <c r="AG2462" i="12"/>
  <c r="AF2462" i="12"/>
  <c r="Z2462" i="12"/>
  <c r="AG2461" i="12"/>
  <c r="AF2461" i="12"/>
  <c r="Z2461" i="12"/>
  <c r="AG2460" i="12"/>
  <c r="AF2460" i="12"/>
  <c r="Z2460" i="12"/>
  <c r="AG2459" i="12"/>
  <c r="AF2459" i="12"/>
  <c r="Z2459" i="12"/>
  <c r="AG2458" i="12"/>
  <c r="AF2458" i="12"/>
  <c r="Z2458" i="12"/>
  <c r="AG2457" i="12"/>
  <c r="AF2457" i="12"/>
  <c r="Z2457" i="12"/>
  <c r="AG2456" i="12"/>
  <c r="AF2456" i="12"/>
  <c r="Z2456" i="12"/>
  <c r="AG2455" i="12"/>
  <c r="AF2455" i="12"/>
  <c r="Z2455" i="12"/>
  <c r="AG2454" i="12"/>
  <c r="AF2454" i="12"/>
  <c r="Z2454" i="12"/>
  <c r="AG2453" i="12"/>
  <c r="AF2453" i="12"/>
  <c r="Z2453" i="12"/>
  <c r="AG2452" i="12"/>
  <c r="AF2452" i="12"/>
  <c r="Z2452" i="12"/>
  <c r="AG2451" i="12"/>
  <c r="AF2451" i="12"/>
  <c r="Z2451" i="12"/>
  <c r="AG2450" i="12"/>
  <c r="AF2450" i="12"/>
  <c r="Z2450" i="12"/>
  <c r="AG2449" i="12"/>
  <c r="AF2449" i="12"/>
  <c r="Z2449" i="12"/>
  <c r="AG2448" i="12"/>
  <c r="AF2448" i="12"/>
  <c r="Z2448" i="12"/>
  <c r="AG2447" i="12"/>
  <c r="AF2447" i="12"/>
  <c r="Z2447" i="12"/>
  <c r="AG2446" i="12"/>
  <c r="AF2446" i="12"/>
  <c r="Z2446" i="12"/>
  <c r="AG2445" i="12"/>
  <c r="AF2445" i="12"/>
  <c r="Z2445" i="12"/>
  <c r="AG2444" i="12"/>
  <c r="AF2444" i="12"/>
  <c r="Z2444" i="12"/>
  <c r="AG2443" i="12"/>
  <c r="AF2443" i="12"/>
  <c r="Z2443" i="12"/>
  <c r="AG2442" i="12"/>
  <c r="AF2442" i="12"/>
  <c r="Z2442" i="12"/>
  <c r="AG2441" i="12"/>
  <c r="AF2441" i="12"/>
  <c r="Z2441" i="12"/>
  <c r="AG2440" i="12"/>
  <c r="AF2440" i="12"/>
  <c r="Z2440" i="12"/>
  <c r="AG2439" i="12"/>
  <c r="AF2439" i="12"/>
  <c r="Z2439" i="12"/>
  <c r="AG2438" i="12"/>
  <c r="AF2438" i="12"/>
  <c r="Z2438" i="12"/>
  <c r="AG2437" i="12"/>
  <c r="AF2437" i="12"/>
  <c r="Z2437" i="12"/>
  <c r="AG2436" i="12"/>
  <c r="AF2436" i="12"/>
  <c r="Z2436" i="12"/>
  <c r="AG2435" i="12"/>
  <c r="AF2435" i="12"/>
  <c r="Z2435" i="12"/>
  <c r="AG2434" i="12"/>
  <c r="AF2434" i="12"/>
  <c r="Z2434" i="12"/>
  <c r="AG2433" i="12"/>
  <c r="AF2433" i="12"/>
  <c r="Z2433" i="12"/>
  <c r="AG2432" i="12"/>
  <c r="AF2432" i="12"/>
  <c r="Z2432" i="12"/>
  <c r="AG2431" i="12"/>
  <c r="AF2431" i="12"/>
  <c r="Z2431" i="12"/>
  <c r="AG2430" i="12"/>
  <c r="AF2430" i="12"/>
  <c r="Z2430" i="12"/>
  <c r="AG2429" i="12"/>
  <c r="AF2429" i="12"/>
  <c r="Z2429" i="12"/>
  <c r="AG2428" i="12"/>
  <c r="AF2428" i="12"/>
  <c r="Z2428" i="12"/>
  <c r="AG2427" i="12"/>
  <c r="AF2427" i="12"/>
  <c r="Z2427" i="12"/>
  <c r="AG2426" i="12"/>
  <c r="AF2426" i="12"/>
  <c r="Z2426" i="12"/>
  <c r="AG2425" i="12"/>
  <c r="AF2425" i="12"/>
  <c r="Z2425" i="12"/>
  <c r="AG2424" i="12"/>
  <c r="AF2424" i="12"/>
  <c r="Z2424" i="12"/>
  <c r="AG2423" i="12"/>
  <c r="AF2423" i="12"/>
  <c r="Z2423" i="12"/>
  <c r="AG2422" i="12"/>
  <c r="AF2422" i="12"/>
  <c r="Z2422" i="12"/>
  <c r="AG2421" i="12"/>
  <c r="AF2421" i="12"/>
  <c r="Z2421" i="12"/>
  <c r="AG2420" i="12"/>
  <c r="AF2420" i="12"/>
  <c r="Z2420" i="12"/>
  <c r="AG2419" i="12"/>
  <c r="AF2419" i="12"/>
  <c r="Z2419" i="12"/>
  <c r="AG2418" i="12"/>
  <c r="AF2418" i="12"/>
  <c r="Z2418" i="12"/>
  <c r="AG2417" i="12"/>
  <c r="AF2417" i="12"/>
  <c r="Z2417" i="12"/>
  <c r="AG2416" i="12"/>
  <c r="AF2416" i="12"/>
  <c r="Z2416" i="12"/>
  <c r="AG2415" i="12"/>
  <c r="AF2415" i="12"/>
  <c r="Z2415" i="12"/>
  <c r="AG2414" i="12"/>
  <c r="AF2414" i="12"/>
  <c r="Z2414" i="12"/>
  <c r="AG2413" i="12"/>
  <c r="AF2413" i="12"/>
  <c r="Z2413" i="12"/>
  <c r="AG2412" i="12"/>
  <c r="AF2412" i="12"/>
  <c r="Z2412" i="12"/>
  <c r="AG2411" i="12"/>
  <c r="AF2411" i="12"/>
  <c r="Z2411" i="12"/>
  <c r="AG2410" i="12"/>
  <c r="AF2410" i="12"/>
  <c r="Z2410" i="12"/>
  <c r="AG2409" i="12"/>
  <c r="AF2409" i="12"/>
  <c r="Z2409" i="12"/>
  <c r="AG2408" i="12"/>
  <c r="AF2408" i="12"/>
  <c r="Z2408" i="12"/>
  <c r="AG2407" i="12"/>
  <c r="AF2407" i="12"/>
  <c r="Z2407" i="12"/>
  <c r="AG2406" i="12"/>
  <c r="AF2406" i="12"/>
  <c r="Z2406" i="12"/>
  <c r="AG2405" i="12"/>
  <c r="AF2405" i="12"/>
  <c r="Z2405" i="12"/>
  <c r="AG2404" i="12"/>
  <c r="AF2404" i="12"/>
  <c r="Z2404" i="12"/>
  <c r="AG2403" i="12"/>
  <c r="AF2403" i="12"/>
  <c r="Z2403" i="12"/>
  <c r="AG2402" i="12"/>
  <c r="AF2402" i="12"/>
  <c r="Z2402" i="12"/>
  <c r="AG2401" i="12"/>
  <c r="AF2401" i="12"/>
  <c r="Z2401" i="12"/>
  <c r="AG2400" i="12"/>
  <c r="AF2400" i="12"/>
  <c r="Z2400" i="12"/>
  <c r="AG2399" i="12"/>
  <c r="AF2399" i="12"/>
  <c r="Z2399" i="12"/>
  <c r="AG2398" i="12"/>
  <c r="AF2398" i="12"/>
  <c r="Z2398" i="12"/>
  <c r="AG2397" i="12"/>
  <c r="AF2397" i="12"/>
  <c r="Z2397" i="12"/>
  <c r="AG2396" i="12"/>
  <c r="AF2396" i="12"/>
  <c r="Z2396" i="12"/>
  <c r="AG2395" i="12"/>
  <c r="AF2395" i="12"/>
  <c r="Z2395" i="12"/>
  <c r="AG2394" i="12"/>
  <c r="AF2394" i="12"/>
  <c r="Z2394" i="12"/>
  <c r="AG2393" i="12"/>
  <c r="AF2393" i="12"/>
  <c r="Z2393" i="12"/>
  <c r="AG2392" i="12"/>
  <c r="AF2392" i="12"/>
  <c r="Z2392" i="12"/>
  <c r="AG2391" i="12"/>
  <c r="AF2391" i="12"/>
  <c r="Z2391" i="12"/>
  <c r="AG2390" i="12"/>
  <c r="AF2390" i="12"/>
  <c r="Z2390" i="12"/>
  <c r="AG2389" i="12"/>
  <c r="AF2389" i="12"/>
  <c r="Z2389" i="12"/>
  <c r="AG2388" i="12"/>
  <c r="AF2388" i="12"/>
  <c r="Z2388" i="12"/>
  <c r="AG2387" i="12"/>
  <c r="AF2387" i="12"/>
  <c r="Z2387" i="12"/>
  <c r="AG2386" i="12"/>
  <c r="AF2386" i="12"/>
  <c r="Z2386" i="12"/>
  <c r="AG2385" i="12"/>
  <c r="AF2385" i="12"/>
  <c r="Z2385" i="12"/>
  <c r="AG2384" i="12"/>
  <c r="AF2384" i="12"/>
  <c r="Z2384" i="12"/>
  <c r="AG2383" i="12"/>
  <c r="AF2383" i="12"/>
  <c r="Z2383" i="12"/>
  <c r="AG2382" i="12"/>
  <c r="AF2382" i="12"/>
  <c r="Z2382" i="12"/>
  <c r="AG2381" i="12"/>
  <c r="AF2381" i="12"/>
  <c r="Z2381" i="12"/>
  <c r="AG2380" i="12"/>
  <c r="AF2380" i="12"/>
  <c r="Z2380" i="12"/>
  <c r="AG2379" i="12"/>
  <c r="AF2379" i="12"/>
  <c r="Z2379" i="12"/>
  <c r="AG2378" i="12"/>
  <c r="AF2378" i="12"/>
  <c r="Z2378" i="12"/>
  <c r="AG2377" i="12"/>
  <c r="AF2377" i="12"/>
  <c r="Z2377" i="12"/>
  <c r="AG2376" i="12"/>
  <c r="AF2376" i="12"/>
  <c r="Z2376" i="12"/>
  <c r="AG2375" i="12"/>
  <c r="AF2375" i="12"/>
  <c r="Z2375" i="12"/>
  <c r="AG2374" i="12"/>
  <c r="AF2374" i="12"/>
  <c r="Z2374" i="12"/>
  <c r="AG2373" i="12"/>
  <c r="AF2373" i="12"/>
  <c r="Z2373" i="12"/>
  <c r="AG2372" i="12"/>
  <c r="AF2372" i="12"/>
  <c r="Z2372" i="12"/>
  <c r="AG2371" i="12"/>
  <c r="AF2371" i="12"/>
  <c r="Z2371" i="12"/>
  <c r="AG2370" i="12"/>
  <c r="AF2370" i="12"/>
  <c r="Z2370" i="12"/>
  <c r="AG2369" i="12"/>
  <c r="AF2369" i="12"/>
  <c r="Z2369" i="12"/>
  <c r="AG2368" i="12"/>
  <c r="AF2368" i="12"/>
  <c r="Z2368" i="12"/>
  <c r="AG2367" i="12"/>
  <c r="AF2367" i="12"/>
  <c r="Z2367" i="12"/>
  <c r="AG2366" i="12"/>
  <c r="AF2366" i="12"/>
  <c r="Z2366" i="12"/>
  <c r="AG2365" i="12"/>
  <c r="AF2365" i="12"/>
  <c r="Z2365" i="12"/>
  <c r="AG2364" i="12"/>
  <c r="AF2364" i="12"/>
  <c r="Z2364" i="12"/>
  <c r="AG2363" i="12"/>
  <c r="AF2363" i="12"/>
  <c r="Z2363" i="12"/>
  <c r="AG2362" i="12"/>
  <c r="AF2362" i="12"/>
  <c r="Z2362" i="12"/>
  <c r="AG2361" i="12"/>
  <c r="AF2361" i="12"/>
  <c r="Z2361" i="12"/>
  <c r="AG2360" i="12"/>
  <c r="AF2360" i="12"/>
  <c r="Z2360" i="12"/>
  <c r="AG2359" i="12"/>
  <c r="AF2359" i="12"/>
  <c r="Z2359" i="12"/>
  <c r="AG2358" i="12"/>
  <c r="AF2358" i="12"/>
  <c r="Z2358" i="12"/>
  <c r="AG2357" i="12"/>
  <c r="AF2357" i="12"/>
  <c r="Z2357" i="12"/>
  <c r="AG2356" i="12"/>
  <c r="AF2356" i="12"/>
  <c r="Z2356" i="12"/>
  <c r="AG2355" i="12"/>
  <c r="AF2355" i="12"/>
  <c r="Z2355" i="12"/>
  <c r="AG2354" i="12"/>
  <c r="AF2354" i="12"/>
  <c r="Z2354" i="12"/>
  <c r="AG2353" i="12"/>
  <c r="AF2353" i="12"/>
  <c r="Z2353" i="12"/>
  <c r="AG2352" i="12"/>
  <c r="AF2352" i="12"/>
  <c r="Z2352" i="12"/>
  <c r="AG2351" i="12"/>
  <c r="AF2351" i="12"/>
  <c r="Z2351" i="12"/>
  <c r="AG2350" i="12"/>
  <c r="AF2350" i="12"/>
  <c r="Z2350" i="12"/>
  <c r="AG2349" i="12"/>
  <c r="AF2349" i="12"/>
  <c r="Z2349" i="12"/>
  <c r="AG2348" i="12"/>
  <c r="AF2348" i="12"/>
  <c r="Z2348" i="12"/>
  <c r="AG2347" i="12"/>
  <c r="AF2347" i="12"/>
  <c r="Z2347" i="12"/>
  <c r="AG2346" i="12"/>
  <c r="AF2346" i="12"/>
  <c r="Z2346" i="12"/>
  <c r="AG2345" i="12"/>
  <c r="AF2345" i="12"/>
  <c r="Z2345" i="12"/>
  <c r="AG2344" i="12"/>
  <c r="AF2344" i="12"/>
  <c r="Z2344" i="12"/>
  <c r="AG2343" i="12"/>
  <c r="AF2343" i="12"/>
  <c r="Z2343" i="12"/>
  <c r="AG2342" i="12"/>
  <c r="AF2342" i="12"/>
  <c r="Z2342" i="12"/>
  <c r="AG2341" i="12"/>
  <c r="AF2341" i="12"/>
  <c r="Z2341" i="12"/>
  <c r="AG2340" i="12"/>
  <c r="AF2340" i="12"/>
  <c r="Z2340" i="12"/>
  <c r="AG2339" i="12"/>
  <c r="AF2339" i="12"/>
  <c r="Z2339" i="12"/>
  <c r="AG2338" i="12"/>
  <c r="AF2338" i="12"/>
  <c r="Z2338" i="12"/>
  <c r="AG2337" i="12"/>
  <c r="AF2337" i="12"/>
  <c r="Z2337" i="12"/>
  <c r="AG2336" i="12"/>
  <c r="AF2336" i="12"/>
  <c r="Z2336" i="12"/>
  <c r="AG2335" i="12"/>
  <c r="AF2335" i="12"/>
  <c r="Z2335" i="12"/>
  <c r="AG2334" i="12"/>
  <c r="AF2334" i="12"/>
  <c r="Z2334" i="12"/>
  <c r="AG2333" i="12"/>
  <c r="AF2333" i="12"/>
  <c r="Z2333" i="12"/>
  <c r="AG2332" i="12"/>
  <c r="AF2332" i="12"/>
  <c r="Z2332" i="12"/>
  <c r="AG2331" i="12"/>
  <c r="AF2331" i="12"/>
  <c r="Z2331" i="12"/>
  <c r="AG2330" i="12"/>
  <c r="AF2330" i="12"/>
  <c r="Z2330" i="12"/>
  <c r="AG2329" i="12"/>
  <c r="AF2329" i="12"/>
  <c r="Z2329" i="12"/>
  <c r="AG2328" i="12"/>
  <c r="AF2328" i="12"/>
  <c r="Z2328" i="12"/>
  <c r="AG2327" i="12"/>
  <c r="AF2327" i="12"/>
  <c r="Z2327" i="12"/>
  <c r="AG2326" i="12"/>
  <c r="AF2326" i="12"/>
  <c r="Z2326" i="12"/>
  <c r="AG2325" i="12"/>
  <c r="AF2325" i="12"/>
  <c r="Z2325" i="12"/>
  <c r="AG2324" i="12"/>
  <c r="AF2324" i="12"/>
  <c r="Z2324" i="12"/>
  <c r="AG2323" i="12"/>
  <c r="AF2323" i="12"/>
  <c r="Z2323" i="12"/>
  <c r="AG2322" i="12"/>
  <c r="AF2322" i="12"/>
  <c r="Z2322" i="12"/>
  <c r="AG2321" i="12"/>
  <c r="AF2321" i="12"/>
  <c r="Z2321" i="12"/>
  <c r="AG2320" i="12"/>
  <c r="AF2320" i="12"/>
  <c r="Z2320" i="12"/>
  <c r="AG2319" i="12"/>
  <c r="AF2319" i="12"/>
  <c r="Z2319" i="12"/>
  <c r="AG2318" i="12"/>
  <c r="AF2318" i="12"/>
  <c r="Z2318" i="12"/>
  <c r="AG2317" i="12"/>
  <c r="AF2317" i="12"/>
  <c r="Z2317" i="12"/>
  <c r="AG2316" i="12"/>
  <c r="AF2316" i="12"/>
  <c r="Z2316" i="12"/>
  <c r="AG2315" i="12"/>
  <c r="AF2315" i="12"/>
  <c r="Z2315" i="12"/>
  <c r="AG2314" i="12"/>
  <c r="AF2314" i="12"/>
  <c r="Z2314" i="12"/>
  <c r="AG2313" i="12"/>
  <c r="AF2313" i="12"/>
  <c r="Z2313" i="12"/>
  <c r="AG2312" i="12"/>
  <c r="AF2312" i="12"/>
  <c r="Z2312" i="12"/>
  <c r="AG2311" i="12"/>
  <c r="AF2311" i="12"/>
  <c r="Z2311" i="12"/>
  <c r="AG2310" i="12"/>
  <c r="AF2310" i="12"/>
  <c r="Z2310" i="12"/>
  <c r="AG2309" i="12"/>
  <c r="AF2309" i="12"/>
  <c r="Z2309" i="12"/>
  <c r="AG2308" i="12"/>
  <c r="AF2308" i="12"/>
  <c r="Z2308" i="12"/>
  <c r="AG2307" i="12"/>
  <c r="AF2307" i="12"/>
  <c r="Z2307" i="12"/>
  <c r="AG2306" i="12"/>
  <c r="AF2306" i="12"/>
  <c r="Z2306" i="12"/>
  <c r="AG2305" i="12"/>
  <c r="AF2305" i="12"/>
  <c r="Z2305" i="12"/>
  <c r="AG2304" i="12"/>
  <c r="AF2304" i="12"/>
  <c r="Z2304" i="12"/>
  <c r="AG2303" i="12"/>
  <c r="AF2303" i="12"/>
  <c r="Z2303" i="12"/>
  <c r="AG2302" i="12"/>
  <c r="AF2302" i="12"/>
  <c r="Z2302" i="12"/>
  <c r="AG2301" i="12"/>
  <c r="AF2301" i="12"/>
  <c r="Z2301" i="12"/>
  <c r="AG2300" i="12"/>
  <c r="AF2300" i="12"/>
  <c r="Z2300" i="12"/>
  <c r="AG2299" i="12"/>
  <c r="AF2299" i="12"/>
  <c r="Z2299" i="12"/>
  <c r="AG2298" i="12"/>
  <c r="AF2298" i="12"/>
  <c r="Z2298" i="12"/>
  <c r="AG2297" i="12"/>
  <c r="AF2297" i="12"/>
  <c r="Z2297" i="12"/>
  <c r="AG2296" i="12"/>
  <c r="AF2296" i="12"/>
  <c r="Z2296" i="12"/>
  <c r="AG2295" i="12"/>
  <c r="AF2295" i="12"/>
  <c r="Z2295" i="12"/>
  <c r="AG2294" i="12"/>
  <c r="AF2294" i="12"/>
  <c r="Z2294" i="12"/>
  <c r="AG2293" i="12"/>
  <c r="AF2293" i="12"/>
  <c r="Z2293" i="12"/>
  <c r="AG2292" i="12"/>
  <c r="AF2292" i="12"/>
  <c r="Z2292" i="12"/>
  <c r="AG2291" i="12"/>
  <c r="AF2291" i="12"/>
  <c r="Z2291" i="12"/>
  <c r="AG2290" i="12"/>
  <c r="AF2290" i="12"/>
  <c r="Z2290" i="12"/>
  <c r="AG2289" i="12"/>
  <c r="AF2289" i="12"/>
  <c r="Z2289" i="12"/>
  <c r="AG2288" i="12"/>
  <c r="AF2288" i="12"/>
  <c r="Z2288" i="12"/>
  <c r="AG2287" i="12"/>
  <c r="AF2287" i="12"/>
  <c r="Z2287" i="12"/>
  <c r="AG2286" i="12"/>
  <c r="AF2286" i="12"/>
  <c r="Z2286" i="12"/>
  <c r="AG2285" i="12"/>
  <c r="AF2285" i="12"/>
  <c r="Z2285" i="12"/>
  <c r="AG2284" i="12"/>
  <c r="AF2284" i="12"/>
  <c r="Z2284" i="12"/>
  <c r="AG2283" i="12"/>
  <c r="AF2283" i="12"/>
  <c r="Z2283" i="12"/>
  <c r="AG2282" i="12"/>
  <c r="AF2282" i="12"/>
  <c r="Z2282" i="12"/>
  <c r="AG2281" i="12"/>
  <c r="AF2281" i="12"/>
  <c r="Z2281" i="12"/>
  <c r="AG2280" i="12"/>
  <c r="AF2280" i="12"/>
  <c r="Z2280" i="12"/>
  <c r="AG2279" i="12"/>
  <c r="AF2279" i="12"/>
  <c r="Z2279" i="12"/>
  <c r="AG2278" i="12"/>
  <c r="AF2278" i="12"/>
  <c r="Z2278" i="12"/>
  <c r="AG2277" i="12"/>
  <c r="AF2277" i="12"/>
  <c r="Z2277" i="12"/>
  <c r="AG2276" i="12"/>
  <c r="AF2276" i="12"/>
  <c r="Z2276" i="12"/>
  <c r="AG2275" i="12"/>
  <c r="AF2275" i="12"/>
  <c r="Z2275" i="12"/>
  <c r="AG2274" i="12"/>
  <c r="AF2274" i="12"/>
  <c r="Z2274" i="12"/>
  <c r="AG2273" i="12"/>
  <c r="AF2273" i="12"/>
  <c r="Z2273" i="12"/>
  <c r="AG2272" i="12"/>
  <c r="AF2272" i="12"/>
  <c r="Z2272" i="12"/>
  <c r="AG2271" i="12"/>
  <c r="AF2271" i="12"/>
  <c r="Z2271" i="12"/>
  <c r="AG2270" i="12"/>
  <c r="AF2270" i="12"/>
  <c r="Z2270" i="12"/>
  <c r="AG2269" i="12"/>
  <c r="AF2269" i="12"/>
  <c r="Z2269" i="12"/>
  <c r="AG2268" i="12"/>
  <c r="AF2268" i="12"/>
  <c r="Z2268" i="12"/>
  <c r="AG2267" i="12"/>
  <c r="AF2267" i="12"/>
  <c r="Z2267" i="12"/>
  <c r="AG2266" i="12"/>
  <c r="AF2266" i="12"/>
  <c r="Z2266" i="12"/>
  <c r="AG2265" i="12"/>
  <c r="AF2265" i="12"/>
  <c r="Z2265" i="12"/>
  <c r="AG2264" i="12"/>
  <c r="AF2264" i="12"/>
  <c r="Z2264" i="12"/>
  <c r="AG2263" i="12"/>
  <c r="AF2263" i="12"/>
  <c r="Z2263" i="12"/>
  <c r="AG2262" i="12"/>
  <c r="AF2262" i="12"/>
  <c r="Z2262" i="12"/>
  <c r="AG2261" i="12"/>
  <c r="AF2261" i="12"/>
  <c r="Z2261" i="12"/>
  <c r="AG2260" i="12"/>
  <c r="AF2260" i="12"/>
  <c r="Z2260" i="12"/>
  <c r="AG2259" i="12"/>
  <c r="AF2259" i="12"/>
  <c r="Z2259" i="12"/>
  <c r="AG2258" i="12"/>
  <c r="AF2258" i="12"/>
  <c r="Z2258" i="12"/>
  <c r="AG2257" i="12"/>
  <c r="AF2257" i="12"/>
  <c r="Z2257" i="12"/>
  <c r="AG2256" i="12"/>
  <c r="AF2256" i="12"/>
  <c r="Z2256" i="12"/>
  <c r="AG2255" i="12"/>
  <c r="AF2255" i="12"/>
  <c r="Z2255" i="12"/>
  <c r="AG2254" i="12"/>
  <c r="AF2254" i="12"/>
  <c r="Z2254" i="12"/>
  <c r="AG2253" i="12"/>
  <c r="AF2253" i="12"/>
  <c r="Z2253" i="12"/>
  <c r="AG2252" i="12"/>
  <c r="AF2252" i="12"/>
  <c r="Z2252" i="12"/>
  <c r="AG2251" i="12"/>
  <c r="AF2251" i="12"/>
  <c r="Z2251" i="12"/>
  <c r="AG2250" i="12"/>
  <c r="AF2250" i="12"/>
  <c r="Z2250" i="12"/>
  <c r="AG2249" i="12"/>
  <c r="AF2249" i="12"/>
  <c r="Z2249" i="12"/>
  <c r="AG2248" i="12"/>
  <c r="AF2248" i="12"/>
  <c r="Z2248" i="12"/>
  <c r="AG2247" i="12"/>
  <c r="AF2247" i="12"/>
  <c r="Z2247" i="12"/>
  <c r="AG2246" i="12"/>
  <c r="AF2246" i="12"/>
  <c r="Z2246" i="12"/>
  <c r="AG2245" i="12"/>
  <c r="AF2245" i="12"/>
  <c r="Z2245" i="12"/>
  <c r="AG2244" i="12"/>
  <c r="AF2244" i="12"/>
  <c r="Z2244" i="12"/>
  <c r="AG2243" i="12"/>
  <c r="AF2243" i="12"/>
  <c r="Z2243" i="12"/>
  <c r="AG2242" i="12"/>
  <c r="AF2242" i="12"/>
  <c r="Z2242" i="12"/>
  <c r="AG2241" i="12"/>
  <c r="AF2241" i="12"/>
  <c r="Z2241" i="12"/>
  <c r="AG2240" i="12"/>
  <c r="AF2240" i="12"/>
  <c r="Z2240" i="12"/>
  <c r="AG2239" i="12"/>
  <c r="AF2239" i="12"/>
  <c r="Z2239" i="12"/>
  <c r="AG2238" i="12"/>
  <c r="AF2238" i="12"/>
  <c r="Z2238" i="12"/>
  <c r="AG2237" i="12"/>
  <c r="AF2237" i="12"/>
  <c r="Z2237" i="12"/>
  <c r="AG2236" i="12"/>
  <c r="AF2236" i="12"/>
  <c r="Z2236" i="12"/>
  <c r="AG2235" i="12"/>
  <c r="AF2235" i="12"/>
  <c r="Z2235" i="12"/>
  <c r="AG2234" i="12"/>
  <c r="AF2234" i="12"/>
  <c r="Z2234" i="12"/>
  <c r="AG2233" i="12"/>
  <c r="AF2233" i="12"/>
  <c r="Z2233" i="12"/>
  <c r="AG2232" i="12"/>
  <c r="AF2232" i="12"/>
  <c r="Z2232" i="12"/>
  <c r="AG2231" i="12"/>
  <c r="AF2231" i="12"/>
  <c r="Z2231" i="12"/>
  <c r="AG2230" i="12"/>
  <c r="AF2230" i="12"/>
  <c r="Z2230" i="12"/>
  <c r="AG2229" i="12"/>
  <c r="AF2229" i="12"/>
  <c r="Z2229" i="12"/>
  <c r="AG2228" i="12"/>
  <c r="AF2228" i="12"/>
  <c r="Z2228" i="12"/>
  <c r="AG2227" i="12"/>
  <c r="AF2227" i="12"/>
  <c r="Z2227" i="12"/>
  <c r="AG2226" i="12"/>
  <c r="AF2226" i="12"/>
  <c r="Z2226" i="12"/>
  <c r="AG2225" i="12"/>
  <c r="AF2225" i="12"/>
  <c r="Z2225" i="12"/>
  <c r="AG2224" i="12"/>
  <c r="AF2224" i="12"/>
  <c r="Z2224" i="12"/>
  <c r="AG2223" i="12"/>
  <c r="AF2223" i="12"/>
  <c r="Z2223" i="12"/>
  <c r="AG2222" i="12"/>
  <c r="AF2222" i="12"/>
  <c r="Z2222" i="12"/>
  <c r="AG2221" i="12"/>
  <c r="AF2221" i="12"/>
  <c r="Z2221" i="12"/>
  <c r="AG2220" i="12"/>
  <c r="AF2220" i="12"/>
  <c r="Z2220" i="12"/>
  <c r="AG2219" i="12"/>
  <c r="AF2219" i="12"/>
  <c r="Z2219" i="12"/>
  <c r="AG2218" i="12"/>
  <c r="AF2218" i="12"/>
  <c r="Z2218" i="12"/>
  <c r="AG2217" i="12"/>
  <c r="AF2217" i="12"/>
  <c r="Z2217" i="12"/>
  <c r="AG2216" i="12"/>
  <c r="AF2216" i="12"/>
  <c r="Z2216" i="12"/>
  <c r="AG2215" i="12"/>
  <c r="AF2215" i="12"/>
  <c r="Z2215" i="12"/>
  <c r="AG2214" i="12"/>
  <c r="AF2214" i="12"/>
  <c r="Z2214" i="12"/>
  <c r="AG2213" i="12"/>
  <c r="AF2213" i="12"/>
  <c r="Z2213" i="12"/>
  <c r="AG2212" i="12"/>
  <c r="AF2212" i="12"/>
  <c r="Z2212" i="12"/>
  <c r="AG2211" i="12"/>
  <c r="AF2211" i="12"/>
  <c r="Z2211" i="12"/>
  <c r="AG2210" i="12"/>
  <c r="AF2210" i="12"/>
  <c r="Z2210" i="12"/>
  <c r="AG2209" i="12"/>
  <c r="AF2209" i="12"/>
  <c r="Z2209" i="12"/>
  <c r="AG2208" i="12"/>
  <c r="AF2208" i="12"/>
  <c r="Z2208" i="12"/>
  <c r="AG2207" i="12"/>
  <c r="AF2207" i="12"/>
  <c r="Z2207" i="12"/>
  <c r="AG2206" i="12"/>
  <c r="AF2206" i="12"/>
  <c r="Z2206" i="12"/>
  <c r="AG2205" i="12"/>
  <c r="AF2205" i="12"/>
  <c r="Z2205" i="12"/>
  <c r="AG2204" i="12"/>
  <c r="AF2204" i="12"/>
  <c r="Z2204" i="12"/>
  <c r="AG2203" i="12"/>
  <c r="AF2203" i="12"/>
  <c r="Z2203" i="12"/>
  <c r="AG2202" i="12"/>
  <c r="AF2202" i="12"/>
  <c r="Z2202" i="12"/>
  <c r="AG2201" i="12"/>
  <c r="AF2201" i="12"/>
  <c r="Z2201" i="12"/>
  <c r="AG2200" i="12"/>
  <c r="AF2200" i="12"/>
  <c r="Z2200" i="12"/>
  <c r="AG2199" i="12"/>
  <c r="AF2199" i="12"/>
  <c r="Z2199" i="12"/>
  <c r="AG2198" i="12"/>
  <c r="AF2198" i="12"/>
  <c r="Z2198" i="12"/>
  <c r="AG2197" i="12"/>
  <c r="AF2197" i="12"/>
  <c r="Z2197" i="12"/>
  <c r="AG2196" i="12"/>
  <c r="AF2196" i="12"/>
  <c r="Z2196" i="12"/>
  <c r="AG2195" i="12"/>
  <c r="AF2195" i="12"/>
  <c r="Z2195" i="12"/>
  <c r="AG2194" i="12"/>
  <c r="AF2194" i="12"/>
  <c r="Z2194" i="12"/>
  <c r="AG2193" i="12"/>
  <c r="AF2193" i="12"/>
  <c r="Z2193" i="12"/>
  <c r="AG2192" i="12"/>
  <c r="AF2192" i="12"/>
  <c r="Z2192" i="12"/>
  <c r="AG2191" i="12"/>
  <c r="AF2191" i="12"/>
  <c r="Z2191" i="12"/>
  <c r="AG2190" i="12"/>
  <c r="AF2190" i="12"/>
  <c r="Z2190" i="12"/>
  <c r="AG2189" i="12"/>
  <c r="AF2189" i="12"/>
  <c r="Z2189" i="12"/>
  <c r="AG2188" i="12"/>
  <c r="AF2188" i="12"/>
  <c r="Z2188" i="12"/>
  <c r="AG2187" i="12"/>
  <c r="AF2187" i="12"/>
  <c r="Z2187" i="12"/>
  <c r="AG2186" i="12"/>
  <c r="AF2186" i="12"/>
  <c r="Z2186" i="12"/>
  <c r="AG2185" i="12"/>
  <c r="AF2185" i="12"/>
  <c r="Z2185" i="12"/>
  <c r="AG2184" i="12"/>
  <c r="AF2184" i="12"/>
  <c r="Z2184" i="12"/>
  <c r="AG2183" i="12"/>
  <c r="AF2183" i="12"/>
  <c r="Z2183" i="12"/>
  <c r="AG2182" i="12"/>
  <c r="AF2182" i="12"/>
  <c r="Z2182" i="12"/>
  <c r="AG2181" i="12"/>
  <c r="AF2181" i="12"/>
  <c r="Z2181" i="12"/>
  <c r="AG2180" i="12"/>
  <c r="AF2180" i="12"/>
  <c r="Z2180" i="12"/>
  <c r="AG2179" i="12"/>
  <c r="AF2179" i="12"/>
  <c r="Z2179" i="12"/>
  <c r="AG2178" i="12"/>
  <c r="AF2178" i="12"/>
  <c r="Z2178" i="12"/>
  <c r="AG2177" i="12"/>
  <c r="AF2177" i="12"/>
  <c r="Z2177" i="12"/>
  <c r="AG2176" i="12"/>
  <c r="AF2176" i="12"/>
  <c r="Z2176" i="12"/>
  <c r="AG2175" i="12"/>
  <c r="AF2175" i="12"/>
  <c r="Z2175" i="12"/>
  <c r="AG2174" i="12"/>
  <c r="AF2174" i="12"/>
  <c r="Z2174" i="12"/>
  <c r="AG2173" i="12"/>
  <c r="AF2173" i="12"/>
  <c r="Z2173" i="12"/>
  <c r="AG2172" i="12"/>
  <c r="AF2172" i="12"/>
  <c r="Z2172" i="12"/>
  <c r="AG2171" i="12"/>
  <c r="AF2171" i="12"/>
  <c r="Z2171" i="12"/>
  <c r="AG2170" i="12"/>
  <c r="AF2170" i="12"/>
  <c r="Z2170" i="12"/>
  <c r="AG2169" i="12"/>
  <c r="AF2169" i="12"/>
  <c r="Z2169" i="12"/>
  <c r="AG2168" i="12"/>
  <c r="AF2168" i="12"/>
  <c r="Z2168" i="12"/>
  <c r="AG2167" i="12"/>
  <c r="AF2167" i="12"/>
  <c r="Z2167" i="12"/>
  <c r="AG2166" i="12"/>
  <c r="AF2166" i="12"/>
  <c r="Z2166" i="12"/>
  <c r="AG2165" i="12"/>
  <c r="AF2165" i="12"/>
  <c r="Z2165" i="12"/>
  <c r="AG2164" i="12"/>
  <c r="AF2164" i="12"/>
  <c r="Z2164" i="12"/>
  <c r="AG2163" i="12"/>
  <c r="AF2163" i="12"/>
  <c r="Z2163" i="12"/>
  <c r="AG2162" i="12"/>
  <c r="AF2162" i="12"/>
  <c r="Z2162" i="12"/>
  <c r="AG2161" i="12"/>
  <c r="AF2161" i="12"/>
  <c r="Z2161" i="12"/>
  <c r="AG2160" i="12"/>
  <c r="AF2160" i="12"/>
  <c r="Z2160" i="12"/>
  <c r="AG2159" i="12"/>
  <c r="AF2159" i="12"/>
  <c r="Z2159" i="12"/>
  <c r="AG2158" i="12"/>
  <c r="AF2158" i="12"/>
  <c r="Z2158" i="12"/>
  <c r="AG2157" i="12"/>
  <c r="AF2157" i="12"/>
  <c r="Z2157" i="12"/>
  <c r="AG2156" i="12"/>
  <c r="AF2156" i="12"/>
  <c r="Z2156" i="12"/>
  <c r="AG2155" i="12"/>
  <c r="AF2155" i="12"/>
  <c r="Z2155" i="12"/>
  <c r="AG2154" i="12"/>
  <c r="AF2154" i="12"/>
  <c r="Z2154" i="12"/>
  <c r="AG2153" i="12"/>
  <c r="AF2153" i="12"/>
  <c r="Z2153" i="12"/>
  <c r="AG2152" i="12"/>
  <c r="AF2152" i="12"/>
  <c r="Z2152" i="12"/>
  <c r="AG2151" i="12"/>
  <c r="AF2151" i="12"/>
  <c r="Z2151" i="12"/>
  <c r="AG2150" i="12"/>
  <c r="AF2150" i="12"/>
  <c r="Z2150" i="12"/>
  <c r="AG2149" i="12"/>
  <c r="AF2149" i="12"/>
  <c r="Z2149" i="12"/>
  <c r="AG2148" i="12"/>
  <c r="AF2148" i="12"/>
  <c r="Z2148" i="12"/>
  <c r="AG2147" i="12"/>
  <c r="AF2147" i="12"/>
  <c r="Z2147" i="12"/>
  <c r="AG2146" i="12"/>
  <c r="AF2146" i="12"/>
  <c r="Z2146" i="12"/>
  <c r="AG2145" i="12"/>
  <c r="AF2145" i="12"/>
  <c r="Z2145" i="12"/>
  <c r="AG2144" i="12"/>
  <c r="AF2144" i="12"/>
  <c r="Z2144" i="12"/>
  <c r="AG2143" i="12"/>
  <c r="AF2143" i="12"/>
  <c r="Z2143" i="12"/>
  <c r="AG2142" i="12"/>
  <c r="AF2142" i="12"/>
  <c r="Z2142" i="12"/>
  <c r="AG2141" i="12"/>
  <c r="AF2141" i="12"/>
  <c r="Z2141" i="12"/>
  <c r="AG2140" i="12"/>
  <c r="AF2140" i="12"/>
  <c r="Z2140" i="12"/>
  <c r="AG2139" i="12"/>
  <c r="AF2139" i="12"/>
  <c r="Z2139" i="12"/>
  <c r="AG2138" i="12"/>
  <c r="AF2138" i="12"/>
  <c r="Z2138" i="12"/>
  <c r="AG2137" i="12"/>
  <c r="AF2137" i="12"/>
  <c r="Z2137" i="12"/>
  <c r="AG2136" i="12"/>
  <c r="AF2136" i="12"/>
  <c r="Z2136" i="12"/>
  <c r="AG2135" i="12"/>
  <c r="AF2135" i="12"/>
  <c r="Z2135" i="12"/>
  <c r="AG2134" i="12"/>
  <c r="AF2134" i="12"/>
  <c r="Z2134" i="12"/>
  <c r="AG2133" i="12"/>
  <c r="AF2133" i="12"/>
  <c r="Z2133" i="12"/>
  <c r="AG2132" i="12"/>
  <c r="AF2132" i="12"/>
  <c r="Z2132" i="12"/>
  <c r="AG2131" i="12"/>
  <c r="AF2131" i="12"/>
  <c r="Z2131" i="12"/>
  <c r="AG2130" i="12"/>
  <c r="AF2130" i="12"/>
  <c r="Z2130" i="12"/>
  <c r="AG2129" i="12"/>
  <c r="AF2129" i="12"/>
  <c r="Z2129" i="12"/>
  <c r="AG2128" i="12"/>
  <c r="AF2128" i="12"/>
  <c r="Z2128" i="12"/>
  <c r="AG2127" i="12"/>
  <c r="AF2127" i="12"/>
  <c r="Z2127" i="12"/>
  <c r="AG2126" i="12"/>
  <c r="AF2126" i="12"/>
  <c r="Z2126" i="12"/>
  <c r="AG2125" i="12"/>
  <c r="AF2125" i="12"/>
  <c r="Z2125" i="12"/>
  <c r="AG2124" i="12"/>
  <c r="AF2124" i="12"/>
  <c r="Z2124" i="12"/>
  <c r="AG2123" i="12"/>
  <c r="AF2123" i="12"/>
  <c r="Z2123" i="12"/>
  <c r="AG2122" i="12"/>
  <c r="AF2122" i="12"/>
  <c r="Z2122" i="12"/>
  <c r="AG2121" i="12"/>
  <c r="AF2121" i="12"/>
  <c r="Z2121" i="12"/>
  <c r="AG2120" i="12"/>
  <c r="AF2120" i="12"/>
  <c r="Z2120" i="12"/>
  <c r="AG2119" i="12"/>
  <c r="AF2119" i="12"/>
  <c r="Z2119" i="12"/>
  <c r="AG2118" i="12"/>
  <c r="AF2118" i="12"/>
  <c r="Z2118" i="12"/>
  <c r="AG2117" i="12"/>
  <c r="AF2117" i="12"/>
  <c r="Z2117" i="12"/>
  <c r="AG2116" i="12"/>
  <c r="AF2116" i="12"/>
  <c r="Z2116" i="12"/>
  <c r="AG2115" i="12"/>
  <c r="AF2115" i="12"/>
  <c r="Z2115" i="12"/>
  <c r="AG2114" i="12"/>
  <c r="AF2114" i="12"/>
  <c r="Z2114" i="12"/>
  <c r="AG2113" i="12"/>
  <c r="AF2113" i="12"/>
  <c r="Z2113" i="12"/>
  <c r="AG2112" i="12"/>
  <c r="AF2112" i="12"/>
  <c r="Z2112" i="12"/>
  <c r="AG2111" i="12"/>
  <c r="AF2111" i="12"/>
  <c r="Z2111" i="12"/>
  <c r="AG2110" i="12"/>
  <c r="AF2110" i="12"/>
  <c r="Z2110" i="12"/>
  <c r="AG2109" i="12"/>
  <c r="AF2109" i="12"/>
  <c r="Z2109" i="12"/>
  <c r="AG2108" i="12"/>
  <c r="AF2108" i="12"/>
  <c r="Z2108" i="12"/>
  <c r="AG2107" i="12"/>
  <c r="AF2107" i="12"/>
  <c r="Z2107" i="12"/>
  <c r="AG2106" i="12"/>
  <c r="AF2106" i="12"/>
  <c r="Z2106" i="12"/>
  <c r="AG2105" i="12"/>
  <c r="AF2105" i="12"/>
  <c r="Z2105" i="12"/>
  <c r="AG2104" i="12"/>
  <c r="AF2104" i="12"/>
  <c r="Z2104" i="12"/>
  <c r="AG2103" i="12"/>
  <c r="AF2103" i="12"/>
  <c r="Z2103" i="12"/>
  <c r="AG2102" i="12"/>
  <c r="AF2102" i="12"/>
  <c r="Z2102" i="12"/>
  <c r="AG2101" i="12"/>
  <c r="AF2101" i="12"/>
  <c r="Z2101" i="12"/>
  <c r="AG2100" i="12"/>
  <c r="AF2100" i="12"/>
  <c r="Z2100" i="12"/>
  <c r="AG2099" i="12"/>
  <c r="AF2099" i="12"/>
  <c r="Z2099" i="12"/>
  <c r="AG2098" i="12"/>
  <c r="AF2098" i="12"/>
  <c r="Z2098" i="12"/>
  <c r="AG2097" i="12"/>
  <c r="AF2097" i="12"/>
  <c r="Z2097" i="12"/>
  <c r="AG2096" i="12"/>
  <c r="AF2096" i="12"/>
  <c r="Z2096" i="12"/>
  <c r="AG2095" i="12"/>
  <c r="AF2095" i="12"/>
  <c r="Z2095" i="12"/>
  <c r="AG2094" i="12"/>
  <c r="AF2094" i="12"/>
  <c r="Z2094" i="12"/>
  <c r="AG2093" i="12"/>
  <c r="AF2093" i="12"/>
  <c r="Z2093" i="12"/>
  <c r="AG2092" i="12"/>
  <c r="AF2092" i="12"/>
  <c r="Z2092" i="12"/>
  <c r="AG2091" i="12"/>
  <c r="AF2091" i="12"/>
  <c r="Z2091" i="12"/>
  <c r="AG2090" i="12"/>
  <c r="AF2090" i="12"/>
  <c r="Z2090" i="12"/>
  <c r="AG2089" i="12"/>
  <c r="AF2089" i="12"/>
  <c r="Z2089" i="12"/>
  <c r="AG2088" i="12"/>
  <c r="AF2088" i="12"/>
  <c r="Z2088" i="12"/>
  <c r="AG2087" i="12"/>
  <c r="AF2087" i="12"/>
  <c r="Z2087" i="12"/>
  <c r="AG2086" i="12"/>
  <c r="AF2086" i="12"/>
  <c r="Z2086" i="12"/>
  <c r="AG2085" i="12"/>
  <c r="AF2085" i="12"/>
  <c r="Z2085" i="12"/>
  <c r="AG2084" i="12"/>
  <c r="AF2084" i="12"/>
  <c r="Z2084" i="12"/>
  <c r="AG2083" i="12"/>
  <c r="AF2083" i="12"/>
  <c r="Z2083" i="12"/>
  <c r="AG2082" i="12"/>
  <c r="AF2082" i="12"/>
  <c r="Z2082" i="12"/>
  <c r="AG2081" i="12"/>
  <c r="AF2081" i="12"/>
  <c r="Z2081" i="12"/>
  <c r="AG2080" i="12"/>
  <c r="AF2080" i="12"/>
  <c r="Z2080" i="12"/>
  <c r="AG2079" i="12"/>
  <c r="AF2079" i="12"/>
  <c r="Z2079" i="12"/>
  <c r="AG2078" i="12"/>
  <c r="AF2078" i="12"/>
  <c r="Z2078" i="12"/>
  <c r="AG2077" i="12"/>
  <c r="AF2077" i="12"/>
  <c r="Z2077" i="12"/>
  <c r="AG2076" i="12"/>
  <c r="AF2076" i="12"/>
  <c r="Z2076" i="12"/>
  <c r="AG2075" i="12"/>
  <c r="AF2075" i="12"/>
  <c r="Z2075" i="12"/>
  <c r="AG2074" i="12"/>
  <c r="AF2074" i="12"/>
  <c r="Z2074" i="12"/>
  <c r="AG2073" i="12"/>
  <c r="AF2073" i="12"/>
  <c r="Z2073" i="12"/>
  <c r="AG2072" i="12"/>
  <c r="AF2072" i="12"/>
  <c r="Z2072" i="12"/>
  <c r="AG2071" i="12"/>
  <c r="AF2071" i="12"/>
  <c r="Z2071" i="12"/>
  <c r="AG2070" i="12"/>
  <c r="AF2070" i="12"/>
  <c r="Z2070" i="12"/>
  <c r="AG2069" i="12"/>
  <c r="AF2069" i="12"/>
  <c r="Z2069" i="12"/>
  <c r="AG2068" i="12"/>
  <c r="AF2068" i="12"/>
  <c r="Z2068" i="12"/>
  <c r="AG2067" i="12"/>
  <c r="AF2067" i="12"/>
  <c r="Z2067" i="12"/>
  <c r="AG2066" i="12"/>
  <c r="AF2066" i="12"/>
  <c r="Z2066" i="12"/>
  <c r="AG2065" i="12"/>
  <c r="AF2065" i="12"/>
  <c r="Z2065" i="12"/>
  <c r="AG2064" i="12"/>
  <c r="AF2064" i="12"/>
  <c r="Z2064" i="12"/>
  <c r="AG2063" i="12"/>
  <c r="AF2063" i="12"/>
  <c r="Z2063" i="12"/>
  <c r="AG2062" i="12"/>
  <c r="AF2062" i="12"/>
  <c r="Z2062" i="12"/>
  <c r="AG2061" i="12"/>
  <c r="AF2061" i="12"/>
  <c r="Z2061" i="12"/>
  <c r="AG2060" i="12"/>
  <c r="AF2060" i="12"/>
  <c r="Z2060" i="12"/>
  <c r="AG2059" i="12"/>
  <c r="AF2059" i="12"/>
  <c r="Z2059" i="12"/>
  <c r="AG2058" i="12"/>
  <c r="AF2058" i="12"/>
  <c r="Z2058" i="12"/>
  <c r="AG2057" i="12"/>
  <c r="AF2057" i="12"/>
  <c r="Z2057" i="12"/>
  <c r="AG2056" i="12"/>
  <c r="AF2056" i="12"/>
  <c r="Z2056" i="12"/>
  <c r="AG2055" i="12"/>
  <c r="AF2055" i="12"/>
  <c r="Z2055" i="12"/>
  <c r="AG2054" i="12"/>
  <c r="AF2054" i="12"/>
  <c r="Z2054" i="12"/>
  <c r="AG2053" i="12"/>
  <c r="AF2053" i="12"/>
  <c r="Z2053" i="12"/>
  <c r="AG2052" i="12"/>
  <c r="AF2052" i="12"/>
  <c r="Z2052" i="12"/>
  <c r="AG2051" i="12"/>
  <c r="AF2051" i="12"/>
  <c r="Z2051" i="12"/>
  <c r="AG2050" i="12"/>
  <c r="AF2050" i="12"/>
  <c r="Z2050" i="12"/>
  <c r="AG2049" i="12"/>
  <c r="AF2049" i="12"/>
  <c r="Z2049" i="12"/>
  <c r="AG2048" i="12"/>
  <c r="AF2048" i="12"/>
  <c r="Z2048" i="12"/>
  <c r="AG2047" i="12"/>
  <c r="AF2047" i="12"/>
  <c r="Z2047" i="12"/>
  <c r="AG2046" i="12"/>
  <c r="AF2046" i="12"/>
  <c r="Z2046" i="12"/>
  <c r="AG2045" i="12"/>
  <c r="AF2045" i="12"/>
  <c r="Z2045" i="12"/>
  <c r="AG2044" i="12"/>
  <c r="AF2044" i="12"/>
  <c r="Z2044" i="12"/>
  <c r="AG2043" i="12"/>
  <c r="AF2043" i="12"/>
  <c r="Z2043" i="12"/>
  <c r="AG2042" i="12"/>
  <c r="AF2042" i="12"/>
  <c r="Z2042" i="12"/>
  <c r="AG2041" i="12"/>
  <c r="AF2041" i="12"/>
  <c r="Z2041" i="12"/>
  <c r="AG2040" i="12"/>
  <c r="AF2040" i="12"/>
  <c r="Z2040" i="12"/>
  <c r="AG2039" i="12"/>
  <c r="AF2039" i="12"/>
  <c r="Z2039" i="12"/>
  <c r="AG2038" i="12"/>
  <c r="AF2038" i="12"/>
  <c r="Z2038" i="12"/>
  <c r="AG2037" i="12"/>
  <c r="AF2037" i="12"/>
  <c r="Z2037" i="12"/>
  <c r="AG2036" i="12"/>
  <c r="AF2036" i="12"/>
  <c r="Z2036" i="12"/>
  <c r="AG2035" i="12"/>
  <c r="AF2035" i="12"/>
  <c r="Z2035" i="12"/>
  <c r="AG2034" i="12"/>
  <c r="AF2034" i="12"/>
  <c r="Z2034" i="12"/>
  <c r="AG2033" i="12"/>
  <c r="AF2033" i="12"/>
  <c r="Z2033" i="12"/>
  <c r="AG2032" i="12"/>
  <c r="AF2032" i="12"/>
  <c r="Z2032" i="12"/>
  <c r="AG2031" i="12"/>
  <c r="AF2031" i="12"/>
  <c r="Z2031" i="12"/>
  <c r="AG2030" i="12"/>
  <c r="AF2030" i="12"/>
  <c r="Z2030" i="12"/>
  <c r="AG2029" i="12"/>
  <c r="AF2029" i="12"/>
  <c r="Z2029" i="12"/>
  <c r="AG2028" i="12"/>
  <c r="AF2028" i="12"/>
  <c r="Z2028" i="12"/>
  <c r="AG2027" i="12"/>
  <c r="AF2027" i="12"/>
  <c r="Z2027" i="12"/>
  <c r="AG2026" i="12"/>
  <c r="AF2026" i="12"/>
  <c r="Z2026" i="12"/>
  <c r="AG2025" i="12"/>
  <c r="AF2025" i="12"/>
  <c r="Z2025" i="12"/>
  <c r="AG2024" i="12"/>
  <c r="AF2024" i="12"/>
  <c r="Z2024" i="12"/>
  <c r="AG2023" i="12"/>
  <c r="AF2023" i="12"/>
  <c r="Z2023" i="12"/>
  <c r="AG2022" i="12"/>
  <c r="AF2022" i="12"/>
  <c r="Z2022" i="12"/>
  <c r="AG2021" i="12"/>
  <c r="AF2021" i="12"/>
  <c r="Z2021" i="12"/>
  <c r="AG2020" i="12"/>
  <c r="AF2020" i="12"/>
  <c r="Z2020" i="12"/>
  <c r="AG2019" i="12"/>
  <c r="AF2019" i="12"/>
  <c r="Z2019" i="12"/>
  <c r="AG2018" i="12"/>
  <c r="AF2018" i="12"/>
  <c r="Z2018" i="12"/>
  <c r="AG2017" i="12"/>
  <c r="AF2017" i="12"/>
  <c r="Z2017" i="12"/>
  <c r="AG2016" i="12"/>
  <c r="AF2016" i="12"/>
  <c r="Z2016" i="12"/>
  <c r="AG2015" i="12"/>
  <c r="AF2015" i="12"/>
  <c r="Z2015" i="12"/>
  <c r="AG2014" i="12"/>
  <c r="AF2014" i="12"/>
  <c r="Z2014" i="12"/>
  <c r="AG2013" i="12"/>
  <c r="AF2013" i="12"/>
  <c r="Z2013" i="12"/>
  <c r="AG2012" i="12"/>
  <c r="AF2012" i="12"/>
  <c r="Z2012" i="12"/>
  <c r="AG2011" i="12"/>
  <c r="AF2011" i="12"/>
  <c r="Z2011" i="12"/>
  <c r="AG2010" i="12"/>
  <c r="AF2010" i="12"/>
  <c r="Z2010" i="12"/>
  <c r="AG2009" i="12"/>
  <c r="AF2009" i="12"/>
  <c r="Z2009" i="12"/>
  <c r="AG2008" i="12"/>
  <c r="AF2008" i="12"/>
  <c r="Z2008" i="12"/>
  <c r="AG2007" i="12"/>
  <c r="AF2007" i="12"/>
  <c r="Z2007" i="12"/>
  <c r="AG2006" i="12"/>
  <c r="AF2006" i="12"/>
  <c r="Z2006" i="12"/>
  <c r="AG2005" i="12"/>
  <c r="AF2005" i="12"/>
  <c r="Z2005" i="12"/>
  <c r="AG2004" i="12"/>
  <c r="AF2004" i="12"/>
  <c r="Z2004" i="12"/>
  <c r="AG2003" i="12"/>
  <c r="AF2003" i="12"/>
  <c r="Z2003" i="12"/>
  <c r="AG2002" i="12"/>
  <c r="AF2002" i="12"/>
  <c r="Z2002" i="12"/>
  <c r="AG2001" i="12"/>
  <c r="AF2001" i="12"/>
  <c r="Z2001" i="12"/>
  <c r="AG2000" i="12"/>
  <c r="AF2000" i="12"/>
  <c r="Z2000" i="12"/>
  <c r="AG1999" i="12"/>
  <c r="AF1999" i="12"/>
  <c r="Z1999" i="12"/>
  <c r="AG1998" i="12"/>
  <c r="AF1998" i="12"/>
  <c r="Z1998" i="12"/>
  <c r="AG1997" i="12"/>
  <c r="AF1997" i="12"/>
  <c r="Z1997" i="12"/>
  <c r="AG1996" i="12"/>
  <c r="AF1996" i="12"/>
  <c r="Z1996" i="12"/>
  <c r="AG1995" i="12"/>
  <c r="AF1995" i="12"/>
  <c r="Z1995" i="12"/>
  <c r="AG1994" i="12"/>
  <c r="AF1994" i="12"/>
  <c r="Z1994" i="12"/>
  <c r="AG1993" i="12"/>
  <c r="AF1993" i="12"/>
  <c r="Z1993" i="12"/>
  <c r="AG1992" i="12"/>
  <c r="AF1992" i="12"/>
  <c r="Z1992" i="12"/>
  <c r="AG1991" i="12"/>
  <c r="AF1991" i="12"/>
  <c r="Z1991" i="12"/>
  <c r="AG1990" i="12"/>
  <c r="AF1990" i="12"/>
  <c r="Z1990" i="12"/>
  <c r="AG1989" i="12"/>
  <c r="AF1989" i="12"/>
  <c r="Z1989" i="12"/>
  <c r="AG1988" i="12"/>
  <c r="AF1988" i="12"/>
  <c r="Z1988" i="12"/>
  <c r="AG1987" i="12"/>
  <c r="AF1987" i="12"/>
  <c r="Z1987" i="12"/>
  <c r="AG1986" i="12"/>
  <c r="AF1986" i="12"/>
  <c r="Z1986" i="12"/>
  <c r="AG1985" i="12"/>
  <c r="AF1985" i="12"/>
  <c r="Z1985" i="12"/>
  <c r="AG1984" i="12"/>
  <c r="AF1984" i="12"/>
  <c r="Z1984" i="12"/>
  <c r="AG1983" i="12"/>
  <c r="AF1983" i="12"/>
  <c r="Z1983" i="12"/>
  <c r="AG1982" i="12"/>
  <c r="AF1982" i="12"/>
  <c r="Z1982" i="12"/>
  <c r="AG1981" i="12"/>
  <c r="AF1981" i="12"/>
  <c r="Z1981" i="12"/>
  <c r="AG1980" i="12"/>
  <c r="AF1980" i="12"/>
  <c r="Z1980" i="12"/>
  <c r="AG1979" i="12"/>
  <c r="AF1979" i="12"/>
  <c r="Z1979" i="12"/>
  <c r="AG1978" i="12"/>
  <c r="AF1978" i="12"/>
  <c r="Z1978" i="12"/>
  <c r="AG1977" i="12"/>
  <c r="AF1977" i="12"/>
  <c r="Z1977" i="12"/>
  <c r="AG1976" i="12"/>
  <c r="AF1976" i="12"/>
  <c r="Z1976" i="12"/>
  <c r="AG1975" i="12"/>
  <c r="AF1975" i="12"/>
  <c r="Z1975" i="12"/>
  <c r="AG1974" i="12"/>
  <c r="AF1974" i="12"/>
  <c r="Z1974" i="12"/>
  <c r="AG1973" i="12"/>
  <c r="AF1973" i="12"/>
  <c r="Z1973" i="12"/>
  <c r="AG1972" i="12"/>
  <c r="AF1972" i="12"/>
  <c r="Z1972" i="12"/>
  <c r="AG1971" i="12"/>
  <c r="AF1971" i="12"/>
  <c r="Z1971" i="12"/>
  <c r="AG1970" i="12"/>
  <c r="AF1970" i="12"/>
  <c r="Z1970" i="12"/>
  <c r="AG1969" i="12"/>
  <c r="AF1969" i="12"/>
  <c r="Z1969" i="12"/>
  <c r="AG1968" i="12"/>
  <c r="AF1968" i="12"/>
  <c r="Z1968" i="12"/>
  <c r="AG1967" i="12"/>
  <c r="AF1967" i="12"/>
  <c r="Z1967" i="12"/>
  <c r="AG1966" i="12"/>
  <c r="AF1966" i="12"/>
  <c r="Z1966" i="12"/>
  <c r="AG1965" i="12"/>
  <c r="AF1965" i="12"/>
  <c r="Z1965" i="12"/>
  <c r="AG1964" i="12"/>
  <c r="AF1964" i="12"/>
  <c r="Z1964" i="12"/>
  <c r="AG1963" i="12"/>
  <c r="AF1963" i="12"/>
  <c r="Z1963" i="12"/>
  <c r="AG1962" i="12"/>
  <c r="AF1962" i="12"/>
  <c r="Z1962" i="12"/>
  <c r="AG1961" i="12"/>
  <c r="AF1961" i="12"/>
  <c r="Z1961" i="12"/>
  <c r="AG1960" i="12"/>
  <c r="AF1960" i="12"/>
  <c r="Z1960" i="12"/>
  <c r="AG1959" i="12"/>
  <c r="AF1959" i="12"/>
  <c r="Z1959" i="12"/>
  <c r="AG1958" i="12"/>
  <c r="AF1958" i="12"/>
  <c r="Z1958" i="12"/>
  <c r="AG1957" i="12"/>
  <c r="AF1957" i="12"/>
  <c r="Z1957" i="12"/>
  <c r="AG1956" i="12"/>
  <c r="AF1956" i="12"/>
  <c r="Z1956" i="12"/>
  <c r="AG1955" i="12"/>
  <c r="AF1955" i="12"/>
  <c r="Z1955" i="12"/>
  <c r="AG1954" i="12"/>
  <c r="AF1954" i="12"/>
  <c r="Z1954" i="12"/>
  <c r="AG1953" i="12"/>
  <c r="AF1953" i="12"/>
  <c r="Z1953" i="12"/>
  <c r="AG1952" i="12"/>
  <c r="AF1952" i="12"/>
  <c r="Z1952" i="12"/>
  <c r="AG1951" i="12"/>
  <c r="AF1951" i="12"/>
  <c r="Z1951" i="12"/>
  <c r="AG1950" i="12"/>
  <c r="AF1950" i="12"/>
  <c r="Z1950" i="12"/>
  <c r="AG1949" i="12"/>
  <c r="AF1949" i="12"/>
  <c r="Z1949" i="12"/>
  <c r="AG1948" i="12"/>
  <c r="AF1948" i="12"/>
  <c r="Z1948" i="12"/>
  <c r="AG1947" i="12"/>
  <c r="AF1947" i="12"/>
  <c r="Z1947" i="12"/>
  <c r="AG1946" i="12"/>
  <c r="AF1946" i="12"/>
  <c r="Z1946" i="12"/>
  <c r="AG1945" i="12"/>
  <c r="AF1945" i="12"/>
  <c r="Z1945" i="12"/>
  <c r="AG1944" i="12"/>
  <c r="AF1944" i="12"/>
  <c r="Z1944" i="12"/>
  <c r="AG1943" i="12"/>
  <c r="AF1943" i="12"/>
  <c r="Z1943" i="12"/>
  <c r="AG1942" i="12"/>
  <c r="AF1942" i="12"/>
  <c r="Z1942" i="12"/>
  <c r="AG1941" i="12"/>
  <c r="AF1941" i="12"/>
  <c r="Z1941" i="12"/>
  <c r="AG1940" i="12"/>
  <c r="AF1940" i="12"/>
  <c r="Z1940" i="12"/>
  <c r="AG1939" i="12"/>
  <c r="AF1939" i="12"/>
  <c r="Z1939" i="12"/>
  <c r="AG1938" i="12"/>
  <c r="AF1938" i="12"/>
  <c r="Z1938" i="12"/>
  <c r="AG1937" i="12"/>
  <c r="AF1937" i="12"/>
  <c r="Z1937" i="12"/>
  <c r="AG1936" i="12"/>
  <c r="AF1936" i="12"/>
  <c r="Z1936" i="12"/>
  <c r="AG1935" i="12"/>
  <c r="AF1935" i="12"/>
  <c r="Z1935" i="12"/>
  <c r="AG1934" i="12"/>
  <c r="AF1934" i="12"/>
  <c r="Z1934" i="12"/>
  <c r="AG1933" i="12"/>
  <c r="AF1933" i="12"/>
  <c r="Z1933" i="12"/>
  <c r="AG1932" i="12"/>
  <c r="AF1932" i="12"/>
  <c r="Z1932" i="12"/>
  <c r="AG1931" i="12"/>
  <c r="AF1931" i="12"/>
  <c r="Z1931" i="12"/>
  <c r="AG1930" i="12"/>
  <c r="AF1930" i="12"/>
  <c r="Z1930" i="12"/>
  <c r="AG1929" i="12"/>
  <c r="AF1929" i="12"/>
  <c r="Z1929" i="12"/>
  <c r="AG1928" i="12"/>
  <c r="AF1928" i="12"/>
  <c r="Z1928" i="12"/>
  <c r="AG1927" i="12"/>
  <c r="AF1927" i="12"/>
  <c r="Z1927" i="12"/>
  <c r="AG1926" i="12"/>
  <c r="AF1926" i="12"/>
  <c r="Z1926" i="12"/>
  <c r="AG1925" i="12"/>
  <c r="AF1925" i="12"/>
  <c r="Z1925" i="12"/>
  <c r="AG1924" i="12"/>
  <c r="AF1924" i="12"/>
  <c r="Z1924" i="12"/>
  <c r="AG1923" i="12"/>
  <c r="AF1923" i="12"/>
  <c r="Z1923" i="12"/>
  <c r="AG1922" i="12"/>
  <c r="AF1922" i="12"/>
  <c r="Z1922" i="12"/>
  <c r="AG1921" i="12"/>
  <c r="AF1921" i="12"/>
  <c r="Z1921" i="12"/>
  <c r="AG1920" i="12"/>
  <c r="AF1920" i="12"/>
  <c r="Z1920" i="12"/>
  <c r="AG1919" i="12"/>
  <c r="AF1919" i="12"/>
  <c r="Z1919" i="12"/>
  <c r="AG1918" i="12"/>
  <c r="AF1918" i="12"/>
  <c r="Z1918" i="12"/>
  <c r="AG1917" i="12"/>
  <c r="AF1917" i="12"/>
  <c r="Z1917" i="12"/>
  <c r="AG1916" i="12"/>
  <c r="AF1916" i="12"/>
  <c r="Z1916" i="12"/>
  <c r="AG1915" i="12"/>
  <c r="AF1915" i="12"/>
  <c r="Z1915" i="12"/>
  <c r="AG1914" i="12"/>
  <c r="AF1914" i="12"/>
  <c r="Z1914" i="12"/>
  <c r="AG1913" i="12"/>
  <c r="AF1913" i="12"/>
  <c r="Z1913" i="12"/>
  <c r="AG1912" i="12"/>
  <c r="AF1912" i="12"/>
  <c r="Z1912" i="12"/>
  <c r="AG1911" i="12"/>
  <c r="AF1911" i="12"/>
  <c r="Z1911" i="12"/>
  <c r="AG1910" i="12"/>
  <c r="AF1910" i="12"/>
  <c r="Z1910" i="12"/>
  <c r="AG1909" i="12"/>
  <c r="AF1909" i="12"/>
  <c r="Z1909" i="12"/>
  <c r="AG1908" i="12"/>
  <c r="AF1908" i="12"/>
  <c r="Z1908" i="12"/>
  <c r="AG1907" i="12"/>
  <c r="AF1907" i="12"/>
  <c r="Z1907" i="12"/>
  <c r="AG1906" i="12"/>
  <c r="AF1906" i="12"/>
  <c r="Z1906" i="12"/>
  <c r="AG1905" i="12"/>
  <c r="AF1905" i="12"/>
  <c r="Z1905" i="12"/>
  <c r="AG1904" i="12"/>
  <c r="AF1904" i="12"/>
  <c r="Z1904" i="12"/>
  <c r="AG1903" i="12"/>
  <c r="AF1903" i="12"/>
  <c r="Z1903" i="12"/>
  <c r="AG1902" i="12"/>
  <c r="AF1902" i="12"/>
  <c r="Z1902" i="12"/>
  <c r="AG1901" i="12"/>
  <c r="AF1901" i="12"/>
  <c r="Z1901" i="12"/>
  <c r="AG1900" i="12"/>
  <c r="AF1900" i="12"/>
  <c r="Z1900" i="12"/>
  <c r="AG1899" i="12"/>
  <c r="AF1899" i="12"/>
  <c r="Z1899" i="12"/>
  <c r="AG1898" i="12"/>
  <c r="AF1898" i="12"/>
  <c r="Z1898" i="12"/>
  <c r="AG1897" i="12"/>
  <c r="AF1897" i="12"/>
  <c r="Z1897" i="12"/>
  <c r="AG1896" i="12"/>
  <c r="AF1896" i="12"/>
  <c r="Z1896" i="12"/>
  <c r="AG1895" i="12"/>
  <c r="AF1895" i="12"/>
  <c r="Z1895" i="12"/>
  <c r="AG1894" i="12"/>
  <c r="AF1894" i="12"/>
  <c r="Z1894" i="12"/>
  <c r="AG1893" i="12"/>
  <c r="AF1893" i="12"/>
  <c r="Z1893" i="12"/>
  <c r="AG1892" i="12"/>
  <c r="AF1892" i="12"/>
  <c r="Z1892" i="12"/>
  <c r="AG1891" i="12"/>
  <c r="AF1891" i="12"/>
  <c r="Z1891" i="12"/>
  <c r="AG1890" i="12"/>
  <c r="AF1890" i="12"/>
  <c r="Z1890" i="12"/>
  <c r="AG1889" i="12"/>
  <c r="AF1889" i="12"/>
  <c r="Z1889" i="12"/>
  <c r="AG1888" i="12"/>
  <c r="AF1888" i="12"/>
  <c r="Z1888" i="12"/>
  <c r="AG1887" i="12"/>
  <c r="AF1887" i="12"/>
  <c r="Z1887" i="12"/>
  <c r="AG1886" i="12"/>
  <c r="AF1886" i="12"/>
  <c r="Z1886" i="12"/>
  <c r="AG1885" i="12"/>
  <c r="AF1885" i="12"/>
  <c r="Z1885" i="12"/>
  <c r="AG1884" i="12"/>
  <c r="AF1884" i="12"/>
  <c r="Z1884" i="12"/>
  <c r="AG1883" i="12"/>
  <c r="AF1883" i="12"/>
  <c r="Z1883" i="12"/>
  <c r="AG1882" i="12"/>
  <c r="AF1882" i="12"/>
  <c r="Z1882" i="12"/>
  <c r="AG1881" i="12"/>
  <c r="AF1881" i="12"/>
  <c r="Z1881" i="12"/>
  <c r="AG1880" i="12"/>
  <c r="AF1880" i="12"/>
  <c r="Z1880" i="12"/>
  <c r="AG1879" i="12"/>
  <c r="AF1879" i="12"/>
  <c r="Z1879" i="12"/>
  <c r="AG1878" i="12"/>
  <c r="AF1878" i="12"/>
  <c r="Z1878" i="12"/>
  <c r="AG1877" i="12"/>
  <c r="AF1877" i="12"/>
  <c r="Z1877" i="12"/>
  <c r="AG1876" i="12"/>
  <c r="AF1876" i="12"/>
  <c r="Z1876" i="12"/>
  <c r="AG1875" i="12"/>
  <c r="AF1875" i="12"/>
  <c r="Z1875" i="12"/>
  <c r="AG1874" i="12"/>
  <c r="AF1874" i="12"/>
  <c r="Z1874" i="12"/>
  <c r="AG1873" i="12"/>
  <c r="AF1873" i="12"/>
  <c r="Z1873" i="12"/>
  <c r="AG1872" i="12"/>
  <c r="AF1872" i="12"/>
  <c r="Z1872" i="12"/>
  <c r="AG1871" i="12"/>
  <c r="AF1871" i="12"/>
  <c r="Z1871" i="12"/>
  <c r="AG1870" i="12"/>
  <c r="AF1870" i="12"/>
  <c r="Z1870" i="12"/>
  <c r="AG1869" i="12"/>
  <c r="AF1869" i="12"/>
  <c r="Z1869" i="12"/>
  <c r="AG1868" i="12"/>
  <c r="AF1868" i="12"/>
  <c r="Z1868" i="12"/>
  <c r="AG1867" i="12"/>
  <c r="AF1867" i="12"/>
  <c r="Z1867" i="12"/>
  <c r="AG1866" i="12"/>
  <c r="AF1866" i="12"/>
  <c r="Z1866" i="12"/>
  <c r="AG1865" i="12"/>
  <c r="AF1865" i="12"/>
  <c r="Z1865" i="12"/>
  <c r="AG1864" i="12"/>
  <c r="AF1864" i="12"/>
  <c r="Z1864" i="12"/>
  <c r="AG1863" i="12"/>
  <c r="AF1863" i="12"/>
  <c r="Z1863" i="12"/>
  <c r="AG1862" i="12"/>
  <c r="AF1862" i="12"/>
  <c r="Z1862" i="12"/>
  <c r="AG1861" i="12"/>
  <c r="AF1861" i="12"/>
  <c r="Z1861" i="12"/>
  <c r="AG1860" i="12"/>
  <c r="AF1860" i="12"/>
  <c r="Z1860" i="12"/>
  <c r="AG1859" i="12"/>
  <c r="AF1859" i="12"/>
  <c r="Z1859" i="12"/>
  <c r="AG1858" i="12"/>
  <c r="AF1858" i="12"/>
  <c r="Z1858" i="12"/>
  <c r="AG1857" i="12"/>
  <c r="AF1857" i="12"/>
  <c r="Z1857" i="12"/>
  <c r="AG1856" i="12"/>
  <c r="AF1856" i="12"/>
  <c r="Z1856" i="12"/>
  <c r="AG1855" i="12"/>
  <c r="AF1855" i="12"/>
  <c r="Z1855" i="12"/>
  <c r="AG1854" i="12"/>
  <c r="AF1854" i="12"/>
  <c r="Z1854" i="12"/>
  <c r="AG1853" i="12"/>
  <c r="AF1853" i="12"/>
  <c r="Z1853" i="12"/>
  <c r="AG1852" i="12"/>
  <c r="AF1852" i="12"/>
  <c r="Z1852" i="12"/>
  <c r="AG1851" i="12"/>
  <c r="AF1851" i="12"/>
  <c r="Z1851" i="12"/>
  <c r="AG1850" i="12"/>
  <c r="AF1850" i="12"/>
  <c r="Z1850" i="12"/>
  <c r="AG1849" i="12"/>
  <c r="AF1849" i="12"/>
  <c r="Z1849" i="12"/>
  <c r="AG1848" i="12"/>
  <c r="AF1848" i="12"/>
  <c r="Z1848" i="12"/>
  <c r="AG1847" i="12"/>
  <c r="AF1847" i="12"/>
  <c r="Z1847" i="12"/>
  <c r="AG1846" i="12"/>
  <c r="AF1846" i="12"/>
  <c r="Z1846" i="12"/>
  <c r="AG1845" i="12"/>
  <c r="AF1845" i="12"/>
  <c r="Z1845" i="12"/>
  <c r="AG1844" i="12"/>
  <c r="AF1844" i="12"/>
  <c r="Z1844" i="12"/>
  <c r="AG1843" i="12"/>
  <c r="AF1843" i="12"/>
  <c r="Z1843" i="12"/>
  <c r="AG1842" i="12"/>
  <c r="AF1842" i="12"/>
  <c r="Z1842" i="12"/>
  <c r="AG1841" i="12"/>
  <c r="AF1841" i="12"/>
  <c r="Z1841" i="12"/>
  <c r="AG1840" i="12"/>
  <c r="AF1840" i="12"/>
  <c r="Z1840" i="12"/>
  <c r="AG1839" i="12"/>
  <c r="AF1839" i="12"/>
  <c r="Z1839" i="12"/>
  <c r="AG1838" i="12"/>
  <c r="AF1838" i="12"/>
  <c r="Z1838" i="12"/>
  <c r="AG1837" i="12"/>
  <c r="AF1837" i="12"/>
  <c r="Z1837" i="12"/>
  <c r="AG1836" i="12"/>
  <c r="AF1836" i="12"/>
  <c r="Z1836" i="12"/>
  <c r="AG1835" i="12"/>
  <c r="AF1835" i="12"/>
  <c r="Z1835" i="12"/>
  <c r="AG1834" i="12"/>
  <c r="AF1834" i="12"/>
  <c r="Z1834" i="12"/>
  <c r="AG1833" i="12"/>
  <c r="AF1833" i="12"/>
  <c r="Z1833" i="12"/>
  <c r="AG1832" i="12"/>
  <c r="AF1832" i="12"/>
  <c r="Z1832" i="12"/>
  <c r="AG1831" i="12"/>
  <c r="AF1831" i="12"/>
  <c r="Z1831" i="12"/>
  <c r="AG1830" i="12"/>
  <c r="AF1830" i="12"/>
  <c r="Z1830" i="12"/>
  <c r="AG1829" i="12"/>
  <c r="AF1829" i="12"/>
  <c r="Z1829" i="12"/>
  <c r="AG1828" i="12"/>
  <c r="AF1828" i="12"/>
  <c r="Z1828" i="12"/>
  <c r="AG1827" i="12"/>
  <c r="AF1827" i="12"/>
  <c r="Z1827" i="12"/>
  <c r="AG1826" i="12"/>
  <c r="AF1826" i="12"/>
  <c r="Z1826" i="12"/>
  <c r="AG1825" i="12"/>
  <c r="AF1825" i="12"/>
  <c r="Z1825" i="12"/>
  <c r="AG1824" i="12"/>
  <c r="AF1824" i="12"/>
  <c r="Z1824" i="12"/>
  <c r="AG1823" i="12"/>
  <c r="AF1823" i="12"/>
  <c r="Z1823" i="12"/>
  <c r="AG1822" i="12"/>
  <c r="AF1822" i="12"/>
  <c r="Z1822" i="12"/>
  <c r="AG1821" i="12"/>
  <c r="AF1821" i="12"/>
  <c r="Z1821" i="12"/>
  <c r="AG1820" i="12"/>
  <c r="AF1820" i="12"/>
  <c r="Z1820" i="12"/>
  <c r="AG1819" i="12"/>
  <c r="AF1819" i="12"/>
  <c r="Z1819" i="12"/>
  <c r="AG1818" i="12"/>
  <c r="AF1818" i="12"/>
  <c r="Z1818" i="12"/>
  <c r="AG1817" i="12"/>
  <c r="AF1817" i="12"/>
  <c r="Z1817" i="12"/>
  <c r="AG1816" i="12"/>
  <c r="AF1816" i="12"/>
  <c r="Z1816" i="12"/>
  <c r="AG1815" i="12"/>
  <c r="AF1815" i="12"/>
  <c r="Z1815" i="12"/>
  <c r="AG1814" i="12"/>
  <c r="AF1814" i="12"/>
  <c r="Z1814" i="12"/>
  <c r="AG1813" i="12"/>
  <c r="AF1813" i="12"/>
  <c r="Z1813" i="12"/>
  <c r="AG1812" i="12"/>
  <c r="AF1812" i="12"/>
  <c r="Z1812" i="12"/>
  <c r="AG1811" i="12"/>
  <c r="AF1811" i="12"/>
  <c r="Z1811" i="12"/>
  <c r="AG1810" i="12"/>
  <c r="AF1810" i="12"/>
  <c r="Z1810" i="12"/>
  <c r="AG1809" i="12"/>
  <c r="AF1809" i="12"/>
  <c r="Z1809" i="12"/>
  <c r="AG1808" i="12"/>
  <c r="AF1808" i="12"/>
  <c r="Z1808" i="12"/>
  <c r="AG1807" i="12"/>
  <c r="AF1807" i="12"/>
  <c r="Z1807" i="12"/>
  <c r="AG1806" i="12"/>
  <c r="AF1806" i="12"/>
  <c r="Z1806" i="12"/>
  <c r="AG1805" i="12"/>
  <c r="AF1805" i="12"/>
  <c r="Z1805" i="12"/>
  <c r="AG1804" i="12"/>
  <c r="AF1804" i="12"/>
  <c r="Z1804" i="12"/>
  <c r="AG1803" i="12"/>
  <c r="AF1803" i="12"/>
  <c r="Z1803" i="12"/>
  <c r="AG1802" i="12"/>
  <c r="AF1802" i="12"/>
  <c r="Z1802" i="12"/>
  <c r="AG1801" i="12"/>
  <c r="AF1801" i="12"/>
  <c r="Z1801" i="12"/>
  <c r="AG1800" i="12"/>
  <c r="AF1800" i="12"/>
  <c r="Z1800" i="12"/>
  <c r="AG1799" i="12"/>
  <c r="AF1799" i="12"/>
  <c r="Z1799" i="12"/>
  <c r="AG1798" i="12"/>
  <c r="AF1798" i="12"/>
  <c r="Z1798" i="12"/>
  <c r="AG1797" i="12"/>
  <c r="AF1797" i="12"/>
  <c r="Z1797" i="12"/>
  <c r="AG1796" i="12"/>
  <c r="AF1796" i="12"/>
  <c r="Z1796" i="12"/>
  <c r="AG1795" i="12"/>
  <c r="AF1795" i="12"/>
  <c r="Z1795" i="12"/>
  <c r="AG1794" i="12"/>
  <c r="AF1794" i="12"/>
  <c r="Z1794" i="12"/>
  <c r="AG1793" i="12"/>
  <c r="AF1793" i="12"/>
  <c r="Z1793" i="12"/>
  <c r="AG1792" i="12"/>
  <c r="AF1792" i="12"/>
  <c r="Z1792" i="12"/>
  <c r="AG1791" i="12"/>
  <c r="AF1791" i="12"/>
  <c r="Z1791" i="12"/>
  <c r="AG1790" i="12"/>
  <c r="AF1790" i="12"/>
  <c r="Z1790" i="12"/>
  <c r="AG1789" i="12"/>
  <c r="AF1789" i="12"/>
  <c r="Z1789" i="12"/>
  <c r="AG1788" i="12"/>
  <c r="AF1788" i="12"/>
  <c r="Z1788" i="12"/>
  <c r="AG1787" i="12"/>
  <c r="AF1787" i="12"/>
  <c r="Z1787" i="12"/>
  <c r="AG1786" i="12"/>
  <c r="AF1786" i="12"/>
  <c r="Z1786" i="12"/>
  <c r="AG1785" i="12"/>
  <c r="AF1785" i="12"/>
  <c r="Z1785" i="12"/>
  <c r="AG1784" i="12"/>
  <c r="AF1784" i="12"/>
  <c r="Z1784" i="12"/>
  <c r="AG1783" i="12"/>
  <c r="AF1783" i="12"/>
  <c r="Z1783" i="12"/>
  <c r="AG1782" i="12"/>
  <c r="AF1782" i="12"/>
  <c r="Z1782" i="12"/>
  <c r="AG1781" i="12"/>
  <c r="AF1781" i="12"/>
  <c r="Z1781" i="12"/>
  <c r="AG1780" i="12"/>
  <c r="AF1780" i="12"/>
  <c r="Z1780" i="12"/>
  <c r="AG1779" i="12"/>
  <c r="AF1779" i="12"/>
  <c r="Z1779" i="12"/>
  <c r="AG1778" i="12"/>
  <c r="AF1778" i="12"/>
  <c r="Z1778" i="12"/>
  <c r="AG1777" i="12"/>
  <c r="AF1777" i="12"/>
  <c r="Z1777" i="12"/>
  <c r="AG1776" i="12"/>
  <c r="AF1776" i="12"/>
  <c r="Z1776" i="12"/>
  <c r="AG1775" i="12"/>
  <c r="AF1775" i="12"/>
  <c r="Z1775" i="12"/>
  <c r="AG1774" i="12"/>
  <c r="AF1774" i="12"/>
  <c r="Z1774" i="12"/>
  <c r="AG1773" i="12"/>
  <c r="AF1773" i="12"/>
  <c r="Z1773" i="12"/>
  <c r="AG1772" i="12"/>
  <c r="AF1772" i="12"/>
  <c r="Z1772" i="12"/>
  <c r="AG1771" i="12"/>
  <c r="AF1771" i="12"/>
  <c r="Z1771" i="12"/>
  <c r="AG1770" i="12"/>
  <c r="AF1770" i="12"/>
  <c r="Z1770" i="12"/>
  <c r="AG1769" i="12"/>
  <c r="AF1769" i="12"/>
  <c r="Z1769" i="12"/>
  <c r="AG1768" i="12"/>
  <c r="AF1768" i="12"/>
  <c r="Z1768" i="12"/>
  <c r="AG1767" i="12"/>
  <c r="AF1767" i="12"/>
  <c r="Z1767" i="12"/>
  <c r="AG1766" i="12"/>
  <c r="AF1766" i="12"/>
  <c r="Z1766" i="12"/>
  <c r="AG1765" i="12"/>
  <c r="AF1765" i="12"/>
  <c r="Z1765" i="12"/>
  <c r="AG1764" i="12"/>
  <c r="AF1764" i="12"/>
  <c r="Z1764" i="12"/>
  <c r="AG1763" i="12"/>
  <c r="AF1763" i="12"/>
  <c r="Z1763" i="12"/>
  <c r="AG1762" i="12"/>
  <c r="AF1762" i="12"/>
  <c r="Z1762" i="12"/>
  <c r="AG1761" i="12"/>
  <c r="AF1761" i="12"/>
  <c r="Z1761" i="12"/>
  <c r="AG1760" i="12"/>
  <c r="AF1760" i="12"/>
  <c r="Z1760" i="12"/>
  <c r="AG1759" i="12"/>
  <c r="AF1759" i="12"/>
  <c r="Z1759" i="12"/>
  <c r="AG1758" i="12"/>
  <c r="AF1758" i="12"/>
  <c r="Z1758" i="12"/>
  <c r="AG1757" i="12"/>
  <c r="AF1757" i="12"/>
  <c r="Z1757" i="12"/>
  <c r="AG1756" i="12"/>
  <c r="AF1756" i="12"/>
  <c r="Z1756" i="12"/>
  <c r="AG1755" i="12"/>
  <c r="AF1755" i="12"/>
  <c r="Z1755" i="12"/>
  <c r="AG1754" i="12"/>
  <c r="AF1754" i="12"/>
  <c r="Z1754" i="12"/>
  <c r="AG1753" i="12"/>
  <c r="AF1753" i="12"/>
  <c r="Z1753" i="12"/>
  <c r="AG1752" i="12"/>
  <c r="AF1752" i="12"/>
  <c r="Z1752" i="12"/>
  <c r="AG1751" i="12"/>
  <c r="AF1751" i="12"/>
  <c r="Z1751" i="12"/>
  <c r="AG1750" i="12"/>
  <c r="AF1750" i="12"/>
  <c r="Z1750" i="12"/>
  <c r="AG1749" i="12"/>
  <c r="AF1749" i="12"/>
  <c r="Z1749" i="12"/>
  <c r="AG1748" i="12"/>
  <c r="AF1748" i="12"/>
  <c r="Z1748" i="12"/>
  <c r="AG1747" i="12"/>
  <c r="AF1747" i="12"/>
  <c r="Z1747" i="12"/>
  <c r="AG1746" i="12"/>
  <c r="AF1746" i="12"/>
  <c r="Z1746" i="12"/>
  <c r="AG1745" i="12"/>
  <c r="AF1745" i="12"/>
  <c r="Z1745" i="12"/>
  <c r="AG1744" i="12"/>
  <c r="AF1744" i="12"/>
  <c r="Z1744" i="12"/>
  <c r="AG1743" i="12"/>
  <c r="AF1743" i="12"/>
  <c r="Z1743" i="12"/>
  <c r="AG1742" i="12"/>
  <c r="AF1742" i="12"/>
  <c r="Z1742" i="12"/>
  <c r="AG1741" i="12"/>
  <c r="AF1741" i="12"/>
  <c r="Z1741" i="12"/>
  <c r="AG1740" i="12"/>
  <c r="AF1740" i="12"/>
  <c r="Z1740" i="12"/>
  <c r="AG1739" i="12"/>
  <c r="AF1739" i="12"/>
  <c r="Z1739" i="12"/>
  <c r="AG1738" i="12"/>
  <c r="AF1738" i="12"/>
  <c r="Z1738" i="12"/>
  <c r="AG1737" i="12"/>
  <c r="AF1737" i="12"/>
  <c r="Z1737" i="12"/>
  <c r="AG1736" i="12"/>
  <c r="AF1736" i="12"/>
  <c r="Z1736" i="12"/>
  <c r="AG1735" i="12"/>
  <c r="AF1735" i="12"/>
  <c r="Z1735" i="12"/>
  <c r="AG1734" i="12"/>
  <c r="AF1734" i="12"/>
  <c r="Z1734" i="12"/>
  <c r="AG1733" i="12"/>
  <c r="AF1733" i="12"/>
  <c r="Z1733" i="12"/>
  <c r="AG1732" i="12"/>
  <c r="AF1732" i="12"/>
  <c r="Z1732" i="12"/>
  <c r="AG1731" i="12"/>
  <c r="AF1731" i="12"/>
  <c r="Z1731" i="12"/>
  <c r="AG1730" i="12"/>
  <c r="AF1730" i="12"/>
  <c r="Z1730" i="12"/>
  <c r="AG1729" i="12"/>
  <c r="AF1729" i="12"/>
  <c r="Z1729" i="12"/>
  <c r="AG1728" i="12"/>
  <c r="AF1728" i="12"/>
  <c r="Z1728" i="12"/>
  <c r="AG1727" i="12"/>
  <c r="AF1727" i="12"/>
  <c r="Z1727" i="12"/>
  <c r="AG1726" i="12"/>
  <c r="AF1726" i="12"/>
  <c r="Z1726" i="12"/>
  <c r="AG1725" i="12"/>
  <c r="AF1725" i="12"/>
  <c r="Z1725" i="12"/>
  <c r="AG1724" i="12"/>
  <c r="AF1724" i="12"/>
  <c r="Z1724" i="12"/>
  <c r="AG1723" i="12"/>
  <c r="AF1723" i="12"/>
  <c r="Z1723" i="12"/>
  <c r="AG1722" i="12"/>
  <c r="AF1722" i="12"/>
  <c r="Z1722" i="12"/>
  <c r="AG1721" i="12"/>
  <c r="AF1721" i="12"/>
  <c r="Z1721" i="12"/>
  <c r="AG1720" i="12"/>
  <c r="AF1720" i="12"/>
  <c r="Z1720" i="12"/>
  <c r="AG1719" i="12"/>
  <c r="AF1719" i="12"/>
  <c r="Z1719" i="12"/>
  <c r="AG1718" i="12"/>
  <c r="AF1718" i="12"/>
  <c r="Z1718" i="12"/>
  <c r="AG1717" i="12"/>
  <c r="AF1717" i="12"/>
  <c r="Z1717" i="12"/>
  <c r="AG1716" i="12"/>
  <c r="AF1716" i="12"/>
  <c r="Z1716" i="12"/>
  <c r="AG1715" i="12"/>
  <c r="AF1715" i="12"/>
  <c r="Z1715" i="12"/>
  <c r="AG1714" i="12"/>
  <c r="AF1714" i="12"/>
  <c r="Z1714" i="12"/>
  <c r="AG1713" i="12"/>
  <c r="AF1713" i="12"/>
  <c r="Z1713" i="12"/>
  <c r="AG1712" i="12"/>
  <c r="AF1712" i="12"/>
  <c r="Z1712" i="12"/>
  <c r="AG1711" i="12"/>
  <c r="AF1711" i="12"/>
  <c r="Z1711" i="12"/>
  <c r="AG1710" i="12"/>
  <c r="AF1710" i="12"/>
  <c r="Z1710" i="12"/>
  <c r="AG1709" i="12"/>
  <c r="AF1709" i="12"/>
  <c r="Z1709" i="12"/>
  <c r="AG1708" i="12"/>
  <c r="AF1708" i="12"/>
  <c r="Z1708" i="12"/>
  <c r="AG1707" i="12"/>
  <c r="AF1707" i="12"/>
  <c r="Z1707" i="12"/>
  <c r="AG1706" i="12"/>
  <c r="AF1706" i="12"/>
  <c r="Z1706" i="12"/>
  <c r="AG1705" i="12"/>
  <c r="AF1705" i="12"/>
  <c r="Z1705" i="12"/>
  <c r="AG1704" i="12"/>
  <c r="AF1704" i="12"/>
  <c r="Z1704" i="12"/>
  <c r="AG1703" i="12"/>
  <c r="AF1703" i="12"/>
  <c r="Z1703" i="12"/>
  <c r="AG1702" i="12"/>
  <c r="AF1702" i="12"/>
  <c r="Z1702" i="12"/>
  <c r="AG1701" i="12"/>
  <c r="AF1701" i="12"/>
  <c r="Z1701" i="12"/>
  <c r="AG1700" i="12"/>
  <c r="AF1700" i="12"/>
  <c r="Z1700" i="12"/>
  <c r="AG1699" i="12"/>
  <c r="AF1699" i="12"/>
  <c r="Z1699" i="12"/>
  <c r="AG1698" i="12"/>
  <c r="AF1698" i="12"/>
  <c r="Z1698" i="12"/>
  <c r="AG1697" i="12"/>
  <c r="AF1697" i="12"/>
  <c r="Z1697" i="12"/>
  <c r="AG1696" i="12"/>
  <c r="AF1696" i="12"/>
  <c r="Z1696" i="12"/>
  <c r="AG1695" i="12"/>
  <c r="AF1695" i="12"/>
  <c r="Z1695" i="12"/>
  <c r="AG1694" i="12"/>
  <c r="AF1694" i="12"/>
  <c r="Z1694" i="12"/>
  <c r="AG1693" i="12"/>
  <c r="AF1693" i="12"/>
  <c r="Z1693" i="12"/>
  <c r="AG1692" i="12"/>
  <c r="AF1692" i="12"/>
  <c r="Z1692" i="12"/>
  <c r="AG1691" i="12"/>
  <c r="AF1691" i="12"/>
  <c r="Z1691" i="12"/>
  <c r="AG1690" i="12"/>
  <c r="AF1690" i="12"/>
  <c r="Z1690" i="12"/>
  <c r="AG1689" i="12"/>
  <c r="AF1689" i="12"/>
  <c r="Z1689" i="12"/>
  <c r="AG1688" i="12"/>
  <c r="AF1688" i="12"/>
  <c r="Z1688" i="12"/>
  <c r="AG1687" i="12"/>
  <c r="AF1687" i="12"/>
  <c r="Z1687" i="12"/>
  <c r="AG1686" i="12"/>
  <c r="AF1686" i="12"/>
  <c r="Z1686" i="12"/>
  <c r="AG1685" i="12"/>
  <c r="AF1685" i="12"/>
  <c r="Z1685" i="12"/>
  <c r="AG1684" i="12"/>
  <c r="AF1684" i="12"/>
  <c r="Z1684" i="12"/>
  <c r="AG1683" i="12"/>
  <c r="AF1683" i="12"/>
  <c r="Z1683" i="12"/>
  <c r="AG1682" i="12"/>
  <c r="AF1682" i="12"/>
  <c r="Z1682" i="12"/>
  <c r="AG1681" i="12"/>
  <c r="AF1681" i="12"/>
  <c r="Z1681" i="12"/>
  <c r="AG1680" i="12"/>
  <c r="AF1680" i="12"/>
  <c r="Z1680" i="12"/>
  <c r="AG1679" i="12"/>
  <c r="AF1679" i="12"/>
  <c r="Z1679" i="12"/>
  <c r="AG1678" i="12"/>
  <c r="AF1678" i="12"/>
  <c r="Z1678" i="12"/>
  <c r="AG1677" i="12"/>
  <c r="AF1677" i="12"/>
  <c r="Z1677" i="12"/>
  <c r="AG1676" i="12"/>
  <c r="AF1676" i="12"/>
  <c r="Z1676" i="12"/>
  <c r="AG1675" i="12"/>
  <c r="AF1675" i="12"/>
  <c r="Z1675" i="12"/>
  <c r="AG1674" i="12"/>
  <c r="AF1674" i="12"/>
  <c r="Z1674" i="12"/>
  <c r="AG1673" i="12"/>
  <c r="AF1673" i="12"/>
  <c r="Z1673" i="12"/>
  <c r="AG1672" i="12"/>
  <c r="AF1672" i="12"/>
  <c r="Z1672" i="12"/>
  <c r="AG1671" i="12"/>
  <c r="AF1671" i="12"/>
  <c r="Z1671" i="12"/>
  <c r="AG1670" i="12"/>
  <c r="AF1670" i="12"/>
  <c r="Z1670" i="12"/>
  <c r="AG1669" i="12"/>
  <c r="AF1669" i="12"/>
  <c r="Z1669" i="12"/>
  <c r="AG1668" i="12"/>
  <c r="AF1668" i="12"/>
  <c r="Z1668" i="12"/>
  <c r="AG1667" i="12"/>
  <c r="AF1667" i="12"/>
  <c r="Z1667" i="12"/>
  <c r="AG1666" i="12"/>
  <c r="AF1666" i="12"/>
  <c r="Z1666" i="12"/>
  <c r="AG1665" i="12"/>
  <c r="AF1665" i="12"/>
  <c r="Z1665" i="12"/>
  <c r="AG1664" i="12"/>
  <c r="AF1664" i="12"/>
  <c r="Z1664" i="12"/>
  <c r="AG1663" i="12"/>
  <c r="AF1663" i="12"/>
  <c r="Z1663" i="12"/>
  <c r="AG1662" i="12"/>
  <c r="AF1662" i="12"/>
  <c r="Z1662" i="12"/>
  <c r="AG1661" i="12"/>
  <c r="AF1661" i="12"/>
  <c r="Z1661" i="12"/>
  <c r="AG1660" i="12"/>
  <c r="AF1660" i="12"/>
  <c r="Z1660" i="12"/>
  <c r="AG1659" i="12"/>
  <c r="AF1659" i="12"/>
  <c r="Z1659" i="12"/>
  <c r="AG1658" i="12"/>
  <c r="AF1658" i="12"/>
  <c r="Z1658" i="12"/>
  <c r="AG1657" i="12"/>
  <c r="AF1657" i="12"/>
  <c r="Z1657" i="12"/>
  <c r="AG1656" i="12"/>
  <c r="AF1656" i="12"/>
  <c r="Z1656" i="12"/>
  <c r="AG1655" i="12"/>
  <c r="AF1655" i="12"/>
  <c r="Z1655" i="12"/>
  <c r="AG1654" i="12"/>
  <c r="AF1654" i="12"/>
  <c r="Z1654" i="12"/>
  <c r="AG1653" i="12"/>
  <c r="AF1653" i="12"/>
  <c r="Z1653" i="12"/>
  <c r="AG1652" i="12"/>
  <c r="AF1652" i="12"/>
  <c r="Z1652" i="12"/>
  <c r="AG1651" i="12"/>
  <c r="AF1651" i="12"/>
  <c r="Z1651" i="12"/>
  <c r="AG1650" i="12"/>
  <c r="AF1650" i="12"/>
  <c r="Z1650" i="12"/>
  <c r="AG1649" i="12"/>
  <c r="AF1649" i="12"/>
  <c r="Z1649" i="12"/>
  <c r="AG1648" i="12"/>
  <c r="AF1648" i="12"/>
  <c r="Z1648" i="12"/>
  <c r="AG1647" i="12"/>
  <c r="AF1647" i="12"/>
  <c r="Z1647" i="12"/>
  <c r="AG1646" i="12"/>
  <c r="AF1646" i="12"/>
  <c r="Z1646" i="12"/>
  <c r="AG1645" i="12"/>
  <c r="AF1645" i="12"/>
  <c r="Z1645" i="12"/>
  <c r="AG1644" i="12"/>
  <c r="AF1644" i="12"/>
  <c r="Z1644" i="12"/>
  <c r="AG1643" i="12"/>
  <c r="AF1643" i="12"/>
  <c r="Z1643" i="12"/>
  <c r="AG1642" i="12"/>
  <c r="AF1642" i="12"/>
  <c r="Z1642" i="12"/>
  <c r="AG1641" i="12"/>
  <c r="AF1641" i="12"/>
  <c r="Z1641" i="12"/>
  <c r="AG1640" i="12"/>
  <c r="AF1640" i="12"/>
  <c r="Z1640" i="12"/>
  <c r="AG1639" i="12"/>
  <c r="AF1639" i="12"/>
  <c r="Z1639" i="12"/>
  <c r="AG1638" i="12"/>
  <c r="AF1638" i="12"/>
  <c r="Z1638" i="12"/>
  <c r="AG1637" i="12"/>
  <c r="AF1637" i="12"/>
  <c r="Z1637" i="12"/>
  <c r="AG1636" i="12"/>
  <c r="AF1636" i="12"/>
  <c r="Z1636" i="12"/>
  <c r="AG1635" i="12"/>
  <c r="AF1635" i="12"/>
  <c r="Z1635" i="12"/>
  <c r="AG1634" i="12"/>
  <c r="AF1634" i="12"/>
  <c r="Z1634" i="12"/>
  <c r="AG1633" i="12"/>
  <c r="AF1633" i="12"/>
  <c r="Z1633" i="12"/>
  <c r="AG1632" i="12"/>
  <c r="AF1632" i="12"/>
  <c r="Z1632" i="12"/>
  <c r="AG1631" i="12"/>
  <c r="AF1631" i="12"/>
  <c r="Z1631" i="12"/>
  <c r="AG1630" i="12"/>
  <c r="AF1630" i="12"/>
  <c r="Z1630" i="12"/>
  <c r="AG1629" i="12"/>
  <c r="AF1629" i="12"/>
  <c r="Z1629" i="12"/>
  <c r="AG1628" i="12"/>
  <c r="AF1628" i="12"/>
  <c r="Z1628" i="12"/>
  <c r="AG1627" i="12"/>
  <c r="AF1627" i="12"/>
  <c r="Z1627" i="12"/>
  <c r="AG1626" i="12"/>
  <c r="AF1626" i="12"/>
  <c r="Z1626" i="12"/>
  <c r="AG1625" i="12"/>
  <c r="AF1625" i="12"/>
  <c r="Z1625" i="12"/>
  <c r="AG1624" i="12"/>
  <c r="AF1624" i="12"/>
  <c r="Z1624" i="12"/>
  <c r="AG1623" i="12"/>
  <c r="AF1623" i="12"/>
  <c r="Z1623" i="12"/>
  <c r="AG1622" i="12"/>
  <c r="AF1622" i="12"/>
  <c r="Z1622" i="12"/>
  <c r="AG1621" i="12"/>
  <c r="AF1621" i="12"/>
  <c r="Z1621" i="12"/>
  <c r="AG1620" i="12"/>
  <c r="AF1620" i="12"/>
  <c r="Z1620" i="12"/>
  <c r="AG1619" i="12"/>
  <c r="AF1619" i="12"/>
  <c r="Z1619" i="12"/>
  <c r="AG1618" i="12"/>
  <c r="AF1618" i="12"/>
  <c r="Z1618" i="12"/>
  <c r="AG1617" i="12"/>
  <c r="AF1617" i="12"/>
  <c r="Z1617" i="12"/>
  <c r="AG1616" i="12"/>
  <c r="AF1616" i="12"/>
  <c r="Z1616" i="12"/>
  <c r="AG1615" i="12"/>
  <c r="AF1615" i="12"/>
  <c r="Z1615" i="12"/>
  <c r="AG1614" i="12"/>
  <c r="AF1614" i="12"/>
  <c r="Z1614" i="12"/>
  <c r="AG1613" i="12"/>
  <c r="AF1613" i="12"/>
  <c r="Z1613" i="12"/>
  <c r="AG1612" i="12"/>
  <c r="AF1612" i="12"/>
  <c r="Z1612" i="12"/>
  <c r="AG1611" i="12"/>
  <c r="AF1611" i="12"/>
  <c r="Z1611" i="12"/>
  <c r="AG1610" i="12"/>
  <c r="AF1610" i="12"/>
  <c r="Z1610" i="12"/>
  <c r="AG1609" i="12"/>
  <c r="AF1609" i="12"/>
  <c r="Z1609" i="12"/>
  <c r="AG1608" i="12"/>
  <c r="AF1608" i="12"/>
  <c r="Z1608" i="12"/>
  <c r="AG1607" i="12"/>
  <c r="AF1607" i="12"/>
  <c r="Z1607" i="12"/>
  <c r="AG1606" i="12"/>
  <c r="AF1606" i="12"/>
  <c r="Z1606" i="12"/>
  <c r="AG1605" i="12"/>
  <c r="AF1605" i="12"/>
  <c r="Z1605" i="12"/>
  <c r="AG1604" i="12"/>
  <c r="AF1604" i="12"/>
  <c r="Z1604" i="12"/>
  <c r="AG1603" i="12"/>
  <c r="AF1603" i="12"/>
  <c r="Z1603" i="12"/>
  <c r="AG1602" i="12"/>
  <c r="AF1602" i="12"/>
  <c r="Z1602" i="12"/>
  <c r="AG1601" i="12"/>
  <c r="AF1601" i="12"/>
  <c r="Z1601" i="12"/>
  <c r="AG1600" i="12"/>
  <c r="AF1600" i="12"/>
  <c r="Z1600" i="12"/>
  <c r="AG1599" i="12"/>
  <c r="AF1599" i="12"/>
  <c r="Z1599" i="12"/>
  <c r="AG1598" i="12"/>
  <c r="AF1598" i="12"/>
  <c r="Z1598" i="12"/>
  <c r="AG1597" i="12"/>
  <c r="AF1597" i="12"/>
  <c r="Z1597" i="12"/>
  <c r="AG1596" i="12"/>
  <c r="AF1596" i="12"/>
  <c r="Z1596" i="12"/>
  <c r="AG1595" i="12"/>
  <c r="AF1595" i="12"/>
  <c r="Z1595" i="12"/>
  <c r="AG1594" i="12"/>
  <c r="AF1594" i="12"/>
  <c r="Z1594" i="12"/>
  <c r="AG1593" i="12"/>
  <c r="AF1593" i="12"/>
  <c r="Z1593" i="12"/>
  <c r="AG1592" i="12"/>
  <c r="AF1592" i="12"/>
  <c r="Z1592" i="12"/>
  <c r="AG1591" i="12"/>
  <c r="AF1591" i="12"/>
  <c r="Z1591" i="12"/>
  <c r="AG1590" i="12"/>
  <c r="AF1590" i="12"/>
  <c r="Z1590" i="12"/>
  <c r="AG1589" i="12"/>
  <c r="AF1589" i="12"/>
  <c r="Z1589" i="12"/>
  <c r="AG1588" i="12"/>
  <c r="AF1588" i="12"/>
  <c r="Z1588" i="12"/>
  <c r="AG1587" i="12"/>
  <c r="AF1587" i="12"/>
  <c r="Z1587" i="12"/>
  <c r="AG1586" i="12"/>
  <c r="AF1586" i="12"/>
  <c r="Z1586" i="12"/>
  <c r="AG1585" i="12"/>
  <c r="AF1585" i="12"/>
  <c r="Z1585" i="12"/>
  <c r="AG1584" i="12"/>
  <c r="AF1584" i="12"/>
  <c r="Z1584" i="12"/>
  <c r="AG1583" i="12"/>
  <c r="AF1583" i="12"/>
  <c r="Z1583" i="12"/>
  <c r="AG1582" i="12"/>
  <c r="AF1582" i="12"/>
  <c r="Z1582" i="12"/>
  <c r="AG1581" i="12"/>
  <c r="AF1581" i="12"/>
  <c r="Z1581" i="12"/>
  <c r="AG1580" i="12"/>
  <c r="AF1580" i="12"/>
  <c r="Z1580" i="12"/>
  <c r="AG1579" i="12"/>
  <c r="AF1579" i="12"/>
  <c r="Z1579" i="12"/>
  <c r="AG1578" i="12"/>
  <c r="AF1578" i="12"/>
  <c r="Z1578" i="12"/>
  <c r="AG1577" i="12"/>
  <c r="AF1577" i="12"/>
  <c r="Z1577" i="12"/>
  <c r="AG1576" i="12"/>
  <c r="AF1576" i="12"/>
  <c r="Z1576" i="12"/>
  <c r="AG1575" i="12"/>
  <c r="AF1575" i="12"/>
  <c r="Z1575" i="12"/>
  <c r="AG1574" i="12"/>
  <c r="AF1574" i="12"/>
  <c r="Z1574" i="12"/>
  <c r="AG1573" i="12"/>
  <c r="AF1573" i="12"/>
  <c r="Z1573" i="12"/>
  <c r="AG1572" i="12"/>
  <c r="AF1572" i="12"/>
  <c r="Z1572" i="12"/>
  <c r="AG1571" i="12"/>
  <c r="AF1571" i="12"/>
  <c r="Z1571" i="12"/>
  <c r="AG1570" i="12"/>
  <c r="AF1570" i="12"/>
  <c r="Z1570" i="12"/>
  <c r="AG1569" i="12"/>
  <c r="AF1569" i="12"/>
  <c r="Z1569" i="12"/>
  <c r="AG1568" i="12"/>
  <c r="AF1568" i="12"/>
  <c r="Z1568" i="12"/>
  <c r="AG1567" i="12"/>
  <c r="AF1567" i="12"/>
  <c r="Z1567" i="12"/>
  <c r="AG1566" i="12"/>
  <c r="AF1566" i="12"/>
  <c r="Z1566" i="12"/>
  <c r="AG1565" i="12"/>
  <c r="AF1565" i="12"/>
  <c r="Z1565" i="12"/>
  <c r="AG1564" i="12"/>
  <c r="AF1564" i="12"/>
  <c r="Z1564" i="12"/>
  <c r="AG1563" i="12"/>
  <c r="AF1563" i="12"/>
  <c r="Z1563" i="12"/>
  <c r="AG1562" i="12"/>
  <c r="AF1562" i="12"/>
  <c r="Z1562" i="12"/>
  <c r="AG1561" i="12"/>
  <c r="AF1561" i="12"/>
  <c r="Z1561" i="12"/>
  <c r="AG1560" i="12"/>
  <c r="AF1560" i="12"/>
  <c r="Z1560" i="12"/>
  <c r="AG1559" i="12"/>
  <c r="AF1559" i="12"/>
  <c r="Z1559" i="12"/>
  <c r="AG1558" i="12"/>
  <c r="AF1558" i="12"/>
  <c r="Z1558" i="12"/>
  <c r="AG1557" i="12"/>
  <c r="AF1557" i="12"/>
  <c r="Z1557" i="12"/>
  <c r="AG1556" i="12"/>
  <c r="AF1556" i="12"/>
  <c r="Z1556" i="12"/>
  <c r="AG1555" i="12"/>
  <c r="AF1555" i="12"/>
  <c r="Z1555" i="12"/>
  <c r="AG1554" i="12"/>
  <c r="AF1554" i="12"/>
  <c r="Z1554" i="12"/>
  <c r="AG1553" i="12"/>
  <c r="AF1553" i="12"/>
  <c r="Z1553" i="12"/>
  <c r="AG1552" i="12"/>
  <c r="AF1552" i="12"/>
  <c r="Z1552" i="12"/>
  <c r="AG1551" i="12"/>
  <c r="AF1551" i="12"/>
  <c r="Z1551" i="12"/>
  <c r="AG1550" i="12"/>
  <c r="AF1550" i="12"/>
  <c r="Z1550" i="12"/>
  <c r="AG1549" i="12"/>
  <c r="AF1549" i="12"/>
  <c r="Z1549" i="12"/>
  <c r="AG1548" i="12"/>
  <c r="AF1548" i="12"/>
  <c r="Z1548" i="12"/>
  <c r="AG1547" i="12"/>
  <c r="AF1547" i="12"/>
  <c r="Z1547" i="12"/>
  <c r="AG1546" i="12"/>
  <c r="AF1546" i="12"/>
  <c r="Z1546" i="12"/>
  <c r="AG1545" i="12"/>
  <c r="AF1545" i="12"/>
  <c r="Z1545" i="12"/>
  <c r="AG1544" i="12"/>
  <c r="AF1544" i="12"/>
  <c r="Z1544" i="12"/>
  <c r="AG1543" i="12"/>
  <c r="AF1543" i="12"/>
  <c r="Z1543" i="12"/>
  <c r="AG1542" i="12"/>
  <c r="AF1542" i="12"/>
  <c r="Z1542" i="12"/>
  <c r="AG1541" i="12"/>
  <c r="AF1541" i="12"/>
  <c r="Z1541" i="12"/>
  <c r="AG1540" i="12"/>
  <c r="AF1540" i="12"/>
  <c r="Z1540" i="12"/>
  <c r="AG1539" i="12"/>
  <c r="AF1539" i="12"/>
  <c r="Z1539" i="12"/>
  <c r="AG1538" i="12"/>
  <c r="AF1538" i="12"/>
  <c r="Z1538" i="12"/>
  <c r="AG1537" i="12"/>
  <c r="AF1537" i="12"/>
  <c r="Z1537" i="12"/>
  <c r="AG1536" i="12"/>
  <c r="AF1536" i="12"/>
  <c r="Z1536" i="12"/>
  <c r="AG1535" i="12"/>
  <c r="AF1535" i="12"/>
  <c r="Z1535" i="12"/>
  <c r="AG1534" i="12"/>
  <c r="AF1534" i="12"/>
  <c r="Z1534" i="12"/>
  <c r="AG1533" i="12"/>
  <c r="AF1533" i="12"/>
  <c r="Z1533" i="12"/>
  <c r="AG1532" i="12"/>
  <c r="AF1532" i="12"/>
  <c r="Z1532" i="12"/>
  <c r="AG1531" i="12"/>
  <c r="AF1531" i="12"/>
  <c r="Z1531" i="12"/>
  <c r="AG1530" i="12"/>
  <c r="AF1530" i="12"/>
  <c r="Z1530" i="12"/>
  <c r="AG1529" i="12"/>
  <c r="AF1529" i="12"/>
  <c r="Z1529" i="12"/>
  <c r="AG1528" i="12"/>
  <c r="AF1528" i="12"/>
  <c r="Z1528" i="12"/>
  <c r="AG1527" i="12"/>
  <c r="AF1527" i="12"/>
  <c r="Z1527" i="12"/>
  <c r="AG1526" i="12"/>
  <c r="AF1526" i="12"/>
  <c r="Z1526" i="12"/>
  <c r="AG1525" i="12"/>
  <c r="AF1525" i="12"/>
  <c r="Z1525" i="12"/>
  <c r="AG1524" i="12"/>
  <c r="AF1524" i="12"/>
  <c r="Z1524" i="12"/>
  <c r="AG1523" i="12"/>
  <c r="AF1523" i="12"/>
  <c r="Z1523" i="12"/>
  <c r="AG1522" i="12"/>
  <c r="AF1522" i="12"/>
  <c r="Z1522" i="12"/>
  <c r="AG1521" i="12"/>
  <c r="AF1521" i="12"/>
  <c r="Z1521" i="12"/>
  <c r="AG1520" i="12"/>
  <c r="AF1520" i="12"/>
  <c r="Z1520" i="12"/>
  <c r="AG1519" i="12"/>
  <c r="AF1519" i="12"/>
  <c r="Z1519" i="12"/>
  <c r="AG1518" i="12"/>
  <c r="AF1518" i="12"/>
  <c r="Z1518" i="12"/>
  <c r="AG1517" i="12"/>
  <c r="AF1517" i="12"/>
  <c r="Z1517" i="12"/>
  <c r="AG1516" i="12"/>
  <c r="AF1516" i="12"/>
  <c r="Z1516" i="12"/>
  <c r="AG1515" i="12"/>
  <c r="AF1515" i="12"/>
  <c r="Z1515" i="12"/>
  <c r="AG1514" i="12"/>
  <c r="AF1514" i="12"/>
  <c r="Z1514" i="12"/>
  <c r="AG1513" i="12"/>
  <c r="AF1513" i="12"/>
  <c r="Z1513" i="12"/>
  <c r="AG1512" i="12"/>
  <c r="AF1512" i="12"/>
  <c r="Z1512" i="12"/>
  <c r="AG1511" i="12"/>
  <c r="AF1511" i="12"/>
  <c r="Z1511" i="12"/>
  <c r="AG1510" i="12"/>
  <c r="AF1510" i="12"/>
  <c r="Z1510" i="12"/>
  <c r="AG1509" i="12"/>
  <c r="AF1509" i="12"/>
  <c r="Z1509" i="12"/>
  <c r="AG1508" i="12"/>
  <c r="AF1508" i="12"/>
  <c r="Z1508" i="12"/>
  <c r="AG1507" i="12"/>
  <c r="AF1507" i="12"/>
  <c r="Z1507" i="12"/>
  <c r="AG1506" i="12"/>
  <c r="AF1506" i="12"/>
  <c r="Z1506" i="12"/>
  <c r="AG1505" i="12"/>
  <c r="AF1505" i="12"/>
  <c r="Z1505" i="12"/>
  <c r="AG1504" i="12"/>
  <c r="AF1504" i="12"/>
  <c r="Z1504" i="12"/>
  <c r="AG1503" i="12"/>
  <c r="AF1503" i="12"/>
  <c r="Z1503" i="12"/>
  <c r="AG1502" i="12"/>
  <c r="AF1502" i="12"/>
  <c r="Z1502" i="12"/>
  <c r="AG1501" i="12"/>
  <c r="AF1501" i="12"/>
  <c r="Z1501" i="12"/>
  <c r="AG1500" i="12"/>
  <c r="AF1500" i="12"/>
  <c r="Z1500" i="12"/>
  <c r="AG1499" i="12"/>
  <c r="AF1499" i="12"/>
  <c r="Z1499" i="12"/>
  <c r="AG1498" i="12"/>
  <c r="AF1498" i="12"/>
  <c r="Z1498" i="12"/>
  <c r="AG1497" i="12"/>
  <c r="AF1497" i="12"/>
  <c r="Z1497" i="12"/>
  <c r="AG1496" i="12"/>
  <c r="AF1496" i="12"/>
  <c r="Z1496" i="12"/>
  <c r="AG1495" i="12"/>
  <c r="AF1495" i="12"/>
  <c r="Z1495" i="12"/>
  <c r="AG1494" i="12"/>
  <c r="AF1494" i="12"/>
  <c r="Z1494" i="12"/>
  <c r="AG1493" i="12"/>
  <c r="AF1493" i="12"/>
  <c r="Z1493" i="12"/>
  <c r="AG1492" i="12"/>
  <c r="AF1492" i="12"/>
  <c r="Z1492" i="12"/>
  <c r="AG1491" i="12"/>
  <c r="AF1491" i="12"/>
  <c r="Z1491" i="12"/>
  <c r="AG1490" i="12"/>
  <c r="AF1490" i="12"/>
  <c r="Z1490" i="12"/>
  <c r="AG1489" i="12"/>
  <c r="AF1489" i="12"/>
  <c r="Z1489" i="12"/>
  <c r="AG1488" i="12"/>
  <c r="AF1488" i="12"/>
  <c r="Z1488" i="12"/>
  <c r="AG1487" i="12"/>
  <c r="AF1487" i="12"/>
  <c r="Z1487" i="12"/>
  <c r="AG1486" i="12"/>
  <c r="AF1486" i="12"/>
  <c r="Z1486" i="12"/>
  <c r="AG1485" i="12"/>
  <c r="AF1485" i="12"/>
  <c r="Z1485" i="12"/>
  <c r="AG1484" i="12"/>
  <c r="AF1484" i="12"/>
  <c r="Z1484" i="12"/>
  <c r="AG1483" i="12"/>
  <c r="AF1483" i="12"/>
  <c r="Z1483" i="12"/>
  <c r="AG1482" i="12"/>
  <c r="AF1482" i="12"/>
  <c r="Z1482" i="12"/>
  <c r="AG1481" i="12"/>
  <c r="AF1481" i="12"/>
  <c r="Z1481" i="12"/>
  <c r="AG1480" i="12"/>
  <c r="AF1480" i="12"/>
  <c r="Z1480" i="12"/>
  <c r="AG1479" i="12"/>
  <c r="AF1479" i="12"/>
  <c r="Z1479" i="12"/>
  <c r="AG1478" i="12"/>
  <c r="AF1478" i="12"/>
  <c r="Z1478" i="12"/>
  <c r="AG1477" i="12"/>
  <c r="AF1477" i="12"/>
  <c r="Z1477" i="12"/>
  <c r="AG1476" i="12"/>
  <c r="AF1476" i="12"/>
  <c r="Z1476" i="12"/>
  <c r="AG1475" i="12"/>
  <c r="AF1475" i="12"/>
  <c r="Z1475" i="12"/>
  <c r="AG1474" i="12"/>
  <c r="AF1474" i="12"/>
  <c r="Z1474" i="12"/>
  <c r="AG1473" i="12"/>
  <c r="AF1473" i="12"/>
  <c r="Z1473" i="12"/>
  <c r="AG1472" i="12"/>
  <c r="AF1472" i="12"/>
  <c r="Z1472" i="12"/>
  <c r="AG1471" i="12"/>
  <c r="AF1471" i="12"/>
  <c r="Z1471" i="12"/>
  <c r="AG1470" i="12"/>
  <c r="AF1470" i="12"/>
  <c r="Z1470" i="12"/>
  <c r="AG1469" i="12"/>
  <c r="AF1469" i="12"/>
  <c r="Z1469" i="12"/>
  <c r="AG1468" i="12"/>
  <c r="AF1468" i="12"/>
  <c r="Z1468" i="12"/>
  <c r="AG1467" i="12"/>
  <c r="AF1467" i="12"/>
  <c r="Z1467" i="12"/>
  <c r="AG1466" i="12"/>
  <c r="AF1466" i="12"/>
  <c r="Z1466" i="12"/>
  <c r="AG1465" i="12"/>
  <c r="AF1465" i="12"/>
  <c r="Z1465" i="12"/>
  <c r="AG1464" i="12"/>
  <c r="AF1464" i="12"/>
  <c r="Z1464" i="12"/>
  <c r="AG1463" i="12"/>
  <c r="AF1463" i="12"/>
  <c r="Z1463" i="12"/>
  <c r="AG1462" i="12"/>
  <c r="AF1462" i="12"/>
  <c r="Z1462" i="12"/>
  <c r="AG1461" i="12"/>
  <c r="AF1461" i="12"/>
  <c r="Z1461" i="12"/>
  <c r="AG1460" i="12"/>
  <c r="AF1460" i="12"/>
  <c r="Z1460" i="12"/>
  <c r="AG1459" i="12"/>
  <c r="AF1459" i="12"/>
  <c r="Z1459" i="12"/>
  <c r="AG1458" i="12"/>
  <c r="AF1458" i="12"/>
  <c r="Z1458" i="12"/>
  <c r="AG1457" i="12"/>
  <c r="AF1457" i="12"/>
  <c r="Z1457" i="12"/>
  <c r="AG1456" i="12"/>
  <c r="AF1456" i="12"/>
  <c r="Z1456" i="12"/>
  <c r="AG1455" i="12"/>
  <c r="AF1455" i="12"/>
  <c r="Z1455" i="12"/>
  <c r="AG1454" i="12"/>
  <c r="AF1454" i="12"/>
  <c r="Z1454" i="12"/>
  <c r="AG1453" i="12"/>
  <c r="AF1453" i="12"/>
  <c r="Z1453" i="12"/>
  <c r="AG1452" i="12"/>
  <c r="AF1452" i="12"/>
  <c r="Z1452" i="12"/>
  <c r="AG1451" i="12"/>
  <c r="AF1451" i="12"/>
  <c r="Z1451" i="12"/>
  <c r="AG1450" i="12"/>
  <c r="AF1450" i="12"/>
  <c r="Z1450" i="12"/>
  <c r="AG1449" i="12"/>
  <c r="AF1449" i="12"/>
  <c r="Z1449" i="12"/>
  <c r="AG1448" i="12"/>
  <c r="AF1448" i="12"/>
  <c r="Z1448" i="12"/>
  <c r="AG1447" i="12"/>
  <c r="AF1447" i="12"/>
  <c r="Z1447" i="12"/>
  <c r="AG1446" i="12"/>
  <c r="AF1446" i="12"/>
  <c r="Z1446" i="12"/>
  <c r="AG1445" i="12"/>
  <c r="AF1445" i="12"/>
  <c r="Z1445" i="12"/>
  <c r="AG1444" i="12"/>
  <c r="AF1444" i="12"/>
  <c r="Z1444" i="12"/>
  <c r="AG1443" i="12"/>
  <c r="AF1443" i="12"/>
  <c r="Z1443" i="12"/>
  <c r="AG1442" i="12"/>
  <c r="AF1442" i="12"/>
  <c r="Z1442" i="12"/>
  <c r="AG1441" i="12"/>
  <c r="AF1441" i="12"/>
  <c r="Z1441" i="12"/>
  <c r="AG1440" i="12"/>
  <c r="AF1440" i="12"/>
  <c r="Z1440" i="12"/>
  <c r="AG1439" i="12"/>
  <c r="AF1439" i="12"/>
  <c r="Z1439" i="12"/>
  <c r="AG1438" i="12"/>
  <c r="AF1438" i="12"/>
  <c r="Z1438" i="12"/>
  <c r="AG1437" i="12"/>
  <c r="AF1437" i="12"/>
  <c r="Z1437" i="12"/>
  <c r="AG1436" i="12"/>
  <c r="AF1436" i="12"/>
  <c r="Z1436" i="12"/>
  <c r="AG1435" i="12"/>
  <c r="AF1435" i="12"/>
  <c r="Z1435" i="12"/>
  <c r="AG1434" i="12"/>
  <c r="AF1434" i="12"/>
  <c r="Z1434" i="12"/>
  <c r="AG1433" i="12"/>
  <c r="AF1433" i="12"/>
  <c r="Z1433" i="12"/>
  <c r="AG1432" i="12"/>
  <c r="AF1432" i="12"/>
  <c r="Z1432" i="12"/>
  <c r="AG1431" i="12"/>
  <c r="AF1431" i="12"/>
  <c r="Z1431" i="12"/>
  <c r="AG1430" i="12"/>
  <c r="AF1430" i="12"/>
  <c r="Z1430" i="12"/>
  <c r="AG1429" i="12"/>
  <c r="AF1429" i="12"/>
  <c r="Z1429" i="12"/>
  <c r="AG1428" i="12"/>
  <c r="AF1428" i="12"/>
  <c r="Z1428" i="12"/>
  <c r="AG1427" i="12"/>
  <c r="AF1427" i="12"/>
  <c r="Z1427" i="12"/>
  <c r="AG1426" i="12"/>
  <c r="AF1426" i="12"/>
  <c r="Z1426" i="12"/>
  <c r="AG1425" i="12"/>
  <c r="AF1425" i="12"/>
  <c r="Z1425" i="12"/>
  <c r="AG1424" i="12"/>
  <c r="AF1424" i="12"/>
  <c r="Z1424" i="12"/>
  <c r="AG1423" i="12"/>
  <c r="AF1423" i="12"/>
  <c r="Z1423" i="12"/>
  <c r="AG1422" i="12"/>
  <c r="AF1422" i="12"/>
  <c r="Z1422" i="12"/>
  <c r="AG1421" i="12"/>
  <c r="AF1421" i="12"/>
  <c r="Z1421" i="12"/>
  <c r="AG1420" i="12"/>
  <c r="AF1420" i="12"/>
  <c r="Z1420" i="12"/>
  <c r="AG1419" i="12"/>
  <c r="AF1419" i="12"/>
  <c r="Z1419" i="12"/>
  <c r="AG1418" i="12"/>
  <c r="AF1418" i="12"/>
  <c r="Z1418" i="12"/>
  <c r="AG1417" i="12"/>
  <c r="AF1417" i="12"/>
  <c r="Z1417" i="12"/>
  <c r="AG1416" i="12"/>
  <c r="AF1416" i="12"/>
  <c r="Z1416" i="12"/>
  <c r="AG1415" i="12"/>
  <c r="AF1415" i="12"/>
  <c r="Z1415" i="12"/>
  <c r="AG1414" i="12"/>
  <c r="AF1414" i="12"/>
  <c r="Z1414" i="12"/>
  <c r="AG1413" i="12"/>
  <c r="AF1413" i="12"/>
  <c r="Z1413" i="12"/>
  <c r="AG1412" i="12"/>
  <c r="AF1412" i="12"/>
  <c r="Z1412" i="12"/>
  <c r="AG1411" i="12"/>
  <c r="AF1411" i="12"/>
  <c r="Z1411" i="12"/>
  <c r="AG1410" i="12"/>
  <c r="AF1410" i="12"/>
  <c r="Z1410" i="12"/>
  <c r="AG1409" i="12"/>
  <c r="AF1409" i="12"/>
  <c r="Z1409" i="12"/>
  <c r="AG1408" i="12"/>
  <c r="AF1408" i="12"/>
  <c r="Z1408" i="12"/>
  <c r="AG1407" i="12"/>
  <c r="AF1407" i="12"/>
  <c r="Z1407" i="12"/>
  <c r="AG1406" i="12"/>
  <c r="AF1406" i="12"/>
  <c r="Z1406" i="12"/>
  <c r="AG1405" i="12"/>
  <c r="AF1405" i="12"/>
  <c r="Z1405" i="12"/>
  <c r="AG1404" i="12"/>
  <c r="AF1404" i="12"/>
  <c r="Z1404" i="12"/>
  <c r="AG1403" i="12"/>
  <c r="AF1403" i="12"/>
  <c r="Z1403" i="12"/>
  <c r="AG1402" i="12"/>
  <c r="AF1402" i="12"/>
  <c r="Z1402" i="12"/>
  <c r="AG1401" i="12"/>
  <c r="AF1401" i="12"/>
  <c r="Z1401" i="12"/>
  <c r="AG1400" i="12"/>
  <c r="AF1400" i="12"/>
  <c r="Z1400" i="12"/>
  <c r="AG1399" i="12"/>
  <c r="AF1399" i="12"/>
  <c r="Z1399" i="12"/>
  <c r="AG1398" i="12"/>
  <c r="AF1398" i="12"/>
  <c r="Z1398" i="12"/>
  <c r="AG1397" i="12"/>
  <c r="AF1397" i="12"/>
  <c r="Z1397" i="12"/>
  <c r="AG1396" i="12"/>
  <c r="AF1396" i="12"/>
  <c r="Z1396" i="12"/>
  <c r="AG1395" i="12"/>
  <c r="AF1395" i="12"/>
  <c r="Z1395" i="12"/>
  <c r="AG1394" i="12"/>
  <c r="AF1394" i="12"/>
  <c r="Z1394" i="12"/>
  <c r="AG1393" i="12"/>
  <c r="AF1393" i="12"/>
  <c r="Z1393" i="12"/>
  <c r="AG1392" i="12"/>
  <c r="AF1392" i="12"/>
  <c r="Z1392" i="12"/>
  <c r="AG1391" i="12"/>
  <c r="AF1391" i="12"/>
  <c r="Z1391" i="12"/>
  <c r="AG1390" i="12"/>
  <c r="AF1390" i="12"/>
  <c r="Z1390" i="12"/>
  <c r="AG1389" i="12"/>
  <c r="AF1389" i="12"/>
  <c r="Z1389" i="12"/>
  <c r="AG1388" i="12"/>
  <c r="AF1388" i="12"/>
  <c r="Z1388" i="12"/>
  <c r="AG1387" i="12"/>
  <c r="AF1387" i="12"/>
  <c r="Z1387" i="12"/>
  <c r="AG1386" i="12"/>
  <c r="AF1386" i="12"/>
  <c r="Z1386" i="12"/>
  <c r="AG1385" i="12"/>
  <c r="AF1385" i="12"/>
  <c r="Z1385" i="12"/>
  <c r="AG1384" i="12"/>
  <c r="AF1384" i="12"/>
  <c r="Z1384" i="12"/>
  <c r="AG1383" i="12"/>
  <c r="AF1383" i="12"/>
  <c r="Z1383" i="12"/>
  <c r="AG1382" i="12"/>
  <c r="AF1382" i="12"/>
  <c r="Z1382" i="12"/>
  <c r="AG1381" i="12"/>
  <c r="AF1381" i="12"/>
  <c r="Z1381" i="12"/>
  <c r="AG1380" i="12"/>
  <c r="AF1380" i="12"/>
  <c r="Z1380" i="12"/>
  <c r="AG1379" i="12"/>
  <c r="AF1379" i="12"/>
  <c r="Z1379" i="12"/>
  <c r="AG1378" i="12"/>
  <c r="AF1378" i="12"/>
  <c r="Z1378" i="12"/>
  <c r="AG1377" i="12"/>
  <c r="AF1377" i="12"/>
  <c r="Z1377" i="12"/>
  <c r="AG1376" i="12"/>
  <c r="AF1376" i="12"/>
  <c r="Z1376" i="12"/>
  <c r="AG1375" i="12"/>
  <c r="AF1375" i="12"/>
  <c r="Z1375" i="12"/>
  <c r="AG1374" i="12"/>
  <c r="AF1374" i="12"/>
  <c r="Z1374" i="12"/>
  <c r="AG1373" i="12"/>
  <c r="AF1373" i="12"/>
  <c r="Z1373" i="12"/>
  <c r="AG1372" i="12"/>
  <c r="AF1372" i="12"/>
  <c r="Z1372" i="12"/>
  <c r="AG1371" i="12"/>
  <c r="AF1371" i="12"/>
  <c r="Z1371" i="12"/>
  <c r="AG1370" i="12"/>
  <c r="AF1370" i="12"/>
  <c r="Z1370" i="12"/>
  <c r="AG1369" i="12"/>
  <c r="AF1369" i="12"/>
  <c r="Z1369" i="12"/>
  <c r="AG1368" i="12"/>
  <c r="AF1368" i="12"/>
  <c r="Z1368" i="12"/>
  <c r="AG1367" i="12"/>
  <c r="AF1367" i="12"/>
  <c r="Z1367" i="12"/>
  <c r="AG1366" i="12"/>
  <c r="AF1366" i="12"/>
  <c r="Z1366" i="12"/>
  <c r="AG1365" i="12"/>
  <c r="AF1365" i="12"/>
  <c r="Z1365" i="12"/>
  <c r="AG1364" i="12"/>
  <c r="AF1364" i="12"/>
  <c r="Z1364" i="12"/>
  <c r="AG1363" i="12"/>
  <c r="AF1363" i="12"/>
  <c r="Z1363" i="12"/>
  <c r="AG1362" i="12"/>
  <c r="AF1362" i="12"/>
  <c r="Z1362" i="12"/>
  <c r="AG1361" i="12"/>
  <c r="AF1361" i="12"/>
  <c r="Z1361" i="12"/>
  <c r="AG1360" i="12"/>
  <c r="AF1360" i="12"/>
  <c r="Z1360" i="12"/>
  <c r="AG1359" i="12"/>
  <c r="AF1359" i="12"/>
  <c r="Z1359" i="12"/>
  <c r="AG1358" i="12"/>
  <c r="AF1358" i="12"/>
  <c r="Z1358" i="12"/>
  <c r="AG1357" i="12"/>
  <c r="AF1357" i="12"/>
  <c r="Z1357" i="12"/>
  <c r="AG1356" i="12"/>
  <c r="AF1356" i="12"/>
  <c r="Z1356" i="12"/>
  <c r="AG1355" i="12"/>
  <c r="AF1355" i="12"/>
  <c r="Z1355" i="12"/>
  <c r="AG1354" i="12"/>
  <c r="AF1354" i="12"/>
  <c r="Z1354" i="12"/>
  <c r="AG1353" i="12"/>
  <c r="AF1353" i="12"/>
  <c r="Z1353" i="12"/>
  <c r="AG1352" i="12"/>
  <c r="AF1352" i="12"/>
  <c r="Z1352" i="12"/>
  <c r="AG1351" i="12"/>
  <c r="AF1351" i="12"/>
  <c r="Z1351" i="12"/>
  <c r="AG1350" i="12"/>
  <c r="AF1350" i="12"/>
  <c r="Z1350" i="12"/>
  <c r="AG1349" i="12"/>
  <c r="AF1349" i="12"/>
  <c r="Z1349" i="12"/>
  <c r="AG1348" i="12"/>
  <c r="AF1348" i="12"/>
  <c r="Z1348" i="12"/>
  <c r="AG1347" i="12"/>
  <c r="AF1347" i="12"/>
  <c r="Z1347" i="12"/>
  <c r="AG1346" i="12"/>
  <c r="AF1346" i="12"/>
  <c r="Z1346" i="12"/>
  <c r="AG1345" i="12"/>
  <c r="AF1345" i="12"/>
  <c r="Z1345" i="12"/>
  <c r="AG1344" i="12"/>
  <c r="AF1344" i="12"/>
  <c r="Z1344" i="12"/>
  <c r="AG1343" i="12"/>
  <c r="AF1343" i="12"/>
  <c r="Z1343" i="12"/>
  <c r="AG1342" i="12"/>
  <c r="AF1342" i="12"/>
  <c r="Z1342" i="12"/>
  <c r="AG1341" i="12"/>
  <c r="AF1341" i="12"/>
  <c r="Z1341" i="12"/>
  <c r="AG1340" i="12"/>
  <c r="AF1340" i="12"/>
  <c r="Z1340" i="12"/>
  <c r="AG1339" i="12"/>
  <c r="AF1339" i="12"/>
  <c r="Z1339" i="12"/>
  <c r="AG1338" i="12"/>
  <c r="AF1338" i="12"/>
  <c r="Z1338" i="12"/>
  <c r="AG1337" i="12"/>
  <c r="AF1337" i="12"/>
  <c r="Z1337" i="12"/>
  <c r="AG1336" i="12"/>
  <c r="AF1336" i="12"/>
  <c r="Z1336" i="12"/>
  <c r="AG1335" i="12"/>
  <c r="AF1335" i="12"/>
  <c r="Z1335" i="12"/>
  <c r="AG1334" i="12"/>
  <c r="AF1334" i="12"/>
  <c r="Z1334" i="12"/>
  <c r="AG1333" i="12"/>
  <c r="AF1333" i="12"/>
  <c r="Z1333" i="12"/>
  <c r="AG1332" i="12"/>
  <c r="AF1332" i="12"/>
  <c r="Z1332" i="12"/>
  <c r="AG1331" i="12"/>
  <c r="AF1331" i="12"/>
  <c r="Z1331" i="12"/>
  <c r="AG1330" i="12"/>
  <c r="AF1330" i="12"/>
  <c r="Z1330" i="12"/>
  <c r="AG1329" i="12"/>
  <c r="AF1329" i="12"/>
  <c r="Z1329" i="12"/>
  <c r="AG1328" i="12"/>
  <c r="AF1328" i="12"/>
  <c r="Z1328" i="12"/>
  <c r="AG1327" i="12"/>
  <c r="AF1327" i="12"/>
  <c r="Z1327" i="12"/>
  <c r="AG1326" i="12"/>
  <c r="AF1326" i="12"/>
  <c r="Z1326" i="12"/>
  <c r="AG1325" i="12"/>
  <c r="AF1325" i="12"/>
  <c r="Z1325" i="12"/>
  <c r="AG1324" i="12"/>
  <c r="AF1324" i="12"/>
  <c r="Z1324" i="12"/>
  <c r="AG1323" i="12"/>
  <c r="AF1323" i="12"/>
  <c r="Z1323" i="12"/>
  <c r="AG1322" i="12"/>
  <c r="AF1322" i="12"/>
  <c r="Z1322" i="12"/>
  <c r="AG1321" i="12"/>
  <c r="AF1321" i="12"/>
  <c r="Z1321" i="12"/>
  <c r="AG1320" i="12"/>
  <c r="AF1320" i="12"/>
  <c r="Z1320" i="12"/>
  <c r="AG1319" i="12"/>
  <c r="AF1319" i="12"/>
  <c r="Z1319" i="12"/>
  <c r="AG1318" i="12"/>
  <c r="AF1318" i="12"/>
  <c r="Z1318" i="12"/>
  <c r="AG1317" i="12"/>
  <c r="AF1317" i="12"/>
  <c r="Z1317" i="12"/>
  <c r="AG1316" i="12"/>
  <c r="AF1316" i="12"/>
  <c r="Z1316" i="12"/>
  <c r="AG1315" i="12"/>
  <c r="AF1315" i="12"/>
  <c r="Z1315" i="12"/>
  <c r="AG1314" i="12"/>
  <c r="AF1314" i="12"/>
  <c r="Z1314" i="12"/>
  <c r="AG1313" i="12"/>
  <c r="AF1313" i="12"/>
  <c r="Z1313" i="12"/>
  <c r="AG1312" i="12"/>
  <c r="AF1312" i="12"/>
  <c r="Z1312" i="12"/>
  <c r="AG1311" i="12"/>
  <c r="AF1311" i="12"/>
  <c r="Z1311" i="12"/>
  <c r="AG1310" i="12"/>
  <c r="AF1310" i="12"/>
  <c r="Z1310" i="12"/>
  <c r="AG1309" i="12"/>
  <c r="AF1309" i="12"/>
  <c r="Z1309" i="12"/>
  <c r="AG1308" i="12"/>
  <c r="AF1308" i="12"/>
  <c r="Z1308" i="12"/>
  <c r="AG1307" i="12"/>
  <c r="AF1307" i="12"/>
  <c r="Z1307" i="12"/>
  <c r="AG1306" i="12"/>
  <c r="AF1306" i="12"/>
  <c r="Z1306" i="12"/>
  <c r="AG1305" i="12"/>
  <c r="AF1305" i="12"/>
  <c r="Z1305" i="12"/>
  <c r="AG1304" i="12"/>
  <c r="AF1304" i="12"/>
  <c r="Z1304" i="12"/>
  <c r="AG1303" i="12"/>
  <c r="AF1303" i="12"/>
  <c r="Z1303" i="12"/>
  <c r="AG1302" i="12"/>
  <c r="AF1302" i="12"/>
  <c r="Z1302" i="12"/>
  <c r="AG1301" i="12"/>
  <c r="AF1301" i="12"/>
  <c r="Z1301" i="12"/>
  <c r="AG1300" i="12"/>
  <c r="AF1300" i="12"/>
  <c r="Z1300" i="12"/>
  <c r="AG1299" i="12"/>
  <c r="AF1299" i="12"/>
  <c r="Z1299" i="12"/>
  <c r="AG1298" i="12"/>
  <c r="AF1298" i="12"/>
  <c r="Z1298" i="12"/>
  <c r="AG1297" i="12"/>
  <c r="AF1297" i="12"/>
  <c r="Z1297" i="12"/>
  <c r="AG1296" i="12"/>
  <c r="AF1296" i="12"/>
  <c r="Z1296" i="12"/>
  <c r="AG1295" i="12"/>
  <c r="AF1295" i="12"/>
  <c r="Z1295" i="12"/>
  <c r="AG1294" i="12"/>
  <c r="AF1294" i="12"/>
  <c r="Z1294" i="12"/>
  <c r="AG1293" i="12"/>
  <c r="AF1293" i="12"/>
  <c r="Z1293" i="12"/>
  <c r="AG1292" i="12"/>
  <c r="AF1292" i="12"/>
  <c r="Z1292" i="12"/>
  <c r="AG1291" i="12"/>
  <c r="AF1291" i="12"/>
  <c r="Z1291" i="12"/>
  <c r="AG1290" i="12"/>
  <c r="AF1290" i="12"/>
  <c r="Z1290" i="12"/>
  <c r="AG1289" i="12"/>
  <c r="AF1289" i="12"/>
  <c r="Z1289" i="12"/>
  <c r="AG1288" i="12"/>
  <c r="AF1288" i="12"/>
  <c r="Z1288" i="12"/>
  <c r="AG1287" i="12"/>
  <c r="AF1287" i="12"/>
  <c r="Z1287" i="12"/>
  <c r="AG1286" i="12"/>
  <c r="AF1286" i="12"/>
  <c r="Z1286" i="12"/>
  <c r="AG1285" i="12"/>
  <c r="AF1285" i="12"/>
  <c r="Z1285" i="12"/>
  <c r="AG1284" i="12"/>
  <c r="AF1284" i="12"/>
  <c r="Z1284" i="12"/>
  <c r="AG1283" i="12"/>
  <c r="AF1283" i="12"/>
  <c r="Z1283" i="12"/>
  <c r="AG1282" i="12"/>
  <c r="AF1282" i="12"/>
  <c r="Z1282" i="12"/>
  <c r="AG1281" i="12"/>
  <c r="AF1281" i="12"/>
  <c r="Z1281" i="12"/>
  <c r="AG1280" i="12"/>
  <c r="AF1280" i="12"/>
  <c r="Z1280" i="12"/>
  <c r="AG1279" i="12"/>
  <c r="AF1279" i="12"/>
  <c r="Z1279" i="12"/>
  <c r="AG1278" i="12"/>
  <c r="AF1278" i="12"/>
  <c r="Z1278" i="12"/>
  <c r="AG1277" i="12"/>
  <c r="AF1277" i="12"/>
  <c r="Z1277" i="12"/>
  <c r="AG1276" i="12"/>
  <c r="AF1276" i="12"/>
  <c r="Z1276" i="12"/>
  <c r="AG1275" i="12"/>
  <c r="AF1275" i="12"/>
  <c r="Z1275" i="12"/>
  <c r="AG1274" i="12"/>
  <c r="AF1274" i="12"/>
  <c r="Z1274" i="12"/>
  <c r="AG1273" i="12"/>
  <c r="AF1273" i="12"/>
  <c r="Z1273" i="12"/>
  <c r="AG1272" i="12"/>
  <c r="AF1272" i="12"/>
  <c r="Z1272" i="12"/>
  <c r="AG1271" i="12"/>
  <c r="AF1271" i="12"/>
  <c r="Z1271" i="12"/>
  <c r="AG1270" i="12"/>
  <c r="AF1270" i="12"/>
  <c r="Z1270" i="12"/>
  <c r="AG1269" i="12"/>
  <c r="AF1269" i="12"/>
  <c r="Z1269" i="12"/>
  <c r="AG1268" i="12"/>
  <c r="AF1268" i="12"/>
  <c r="Z1268" i="12"/>
  <c r="AG1267" i="12"/>
  <c r="AF1267" i="12"/>
  <c r="Z1267" i="12"/>
  <c r="AG1266" i="12"/>
  <c r="AF1266" i="12"/>
  <c r="Z1266" i="12"/>
  <c r="AG1265" i="12"/>
  <c r="AF1265" i="12"/>
  <c r="Z1265" i="12"/>
  <c r="AG1264" i="12"/>
  <c r="AF1264" i="12"/>
  <c r="Z1264" i="12"/>
  <c r="AG1263" i="12"/>
  <c r="AF1263" i="12"/>
  <c r="Z1263" i="12"/>
  <c r="AG1262" i="12"/>
  <c r="AF1262" i="12"/>
  <c r="Z1262" i="12"/>
  <c r="AG1261" i="12"/>
  <c r="AF1261" i="12"/>
  <c r="Z1261" i="12"/>
  <c r="AG1260" i="12"/>
  <c r="AF1260" i="12"/>
  <c r="Z1260" i="12"/>
  <c r="AG1259" i="12"/>
  <c r="AF1259" i="12"/>
  <c r="Z1259" i="12"/>
  <c r="AG1258" i="12"/>
  <c r="AF1258" i="12"/>
  <c r="Z1258" i="12"/>
  <c r="AG1257" i="12"/>
  <c r="AF1257" i="12"/>
  <c r="Z1257" i="12"/>
  <c r="AG1256" i="12"/>
  <c r="AF1256" i="12"/>
  <c r="Z1256" i="12"/>
  <c r="AG1255" i="12"/>
  <c r="AF1255" i="12"/>
  <c r="Z1255" i="12"/>
  <c r="AG1254" i="12"/>
  <c r="AF1254" i="12"/>
  <c r="Z1254" i="12"/>
  <c r="AG1253" i="12"/>
  <c r="AF1253" i="12"/>
  <c r="Z1253" i="12"/>
  <c r="AG1252" i="12"/>
  <c r="AF1252" i="12"/>
  <c r="Z1252" i="12"/>
  <c r="AG1251" i="12"/>
  <c r="AF1251" i="12"/>
  <c r="Z1251" i="12"/>
  <c r="AG1250" i="12"/>
  <c r="AF1250" i="12"/>
  <c r="Z1250" i="12"/>
  <c r="AG1249" i="12"/>
  <c r="AF1249" i="12"/>
  <c r="Z1249" i="12"/>
  <c r="AG1248" i="12"/>
  <c r="AF1248" i="12"/>
  <c r="Z1248" i="12"/>
  <c r="AG1247" i="12"/>
  <c r="AF1247" i="12"/>
  <c r="Z1247" i="12"/>
  <c r="AG1246" i="12"/>
  <c r="AF1246" i="12"/>
  <c r="Z1246" i="12"/>
  <c r="AG1245" i="12"/>
  <c r="AF1245" i="12"/>
  <c r="Z1245" i="12"/>
  <c r="AG1244" i="12"/>
  <c r="AF1244" i="12"/>
  <c r="Z1244" i="12"/>
  <c r="AG1243" i="12"/>
  <c r="AF1243" i="12"/>
  <c r="Z1243" i="12"/>
  <c r="AG1242" i="12"/>
  <c r="AF1242" i="12"/>
  <c r="Z1242" i="12"/>
  <c r="AG1241" i="12"/>
  <c r="AF1241" i="12"/>
  <c r="Z1241" i="12"/>
  <c r="AG1240" i="12"/>
  <c r="AF1240" i="12"/>
  <c r="Z1240" i="12"/>
  <c r="AG1239" i="12"/>
  <c r="AF1239" i="12"/>
  <c r="Z1239" i="12"/>
  <c r="AG1238" i="12"/>
  <c r="AF1238" i="12"/>
  <c r="Z1238" i="12"/>
  <c r="AG1237" i="12"/>
  <c r="AF1237" i="12"/>
  <c r="Z1237" i="12"/>
  <c r="AG1236" i="12"/>
  <c r="AF1236" i="12"/>
  <c r="Z1236" i="12"/>
  <c r="AG1235" i="12"/>
  <c r="AF1235" i="12"/>
  <c r="Z1235" i="12"/>
  <c r="AG1234" i="12"/>
  <c r="AF1234" i="12"/>
  <c r="Z1234" i="12"/>
  <c r="AG1233" i="12"/>
  <c r="AF1233" i="12"/>
  <c r="Z1233" i="12"/>
  <c r="AG1232" i="12"/>
  <c r="AF1232" i="12"/>
  <c r="Z1232" i="12"/>
  <c r="AG1231" i="12"/>
  <c r="AF1231" i="12"/>
  <c r="Z1231" i="12"/>
  <c r="AG1230" i="12"/>
  <c r="AF1230" i="12"/>
  <c r="Z1230" i="12"/>
  <c r="AG1229" i="12"/>
  <c r="AF1229" i="12"/>
  <c r="Z1229" i="12"/>
  <c r="AG1228" i="12"/>
  <c r="AF1228" i="12"/>
  <c r="Z1228" i="12"/>
  <c r="AG1227" i="12"/>
  <c r="AF1227" i="12"/>
  <c r="Z1227" i="12"/>
  <c r="AG1226" i="12"/>
  <c r="AF1226" i="12"/>
  <c r="Z1226" i="12"/>
  <c r="AG1225" i="12"/>
  <c r="AF1225" i="12"/>
  <c r="Z1225" i="12"/>
  <c r="AG1224" i="12"/>
  <c r="AF1224" i="12"/>
  <c r="Z1224" i="12"/>
  <c r="AG1223" i="12"/>
  <c r="AF1223" i="12"/>
  <c r="Z1223" i="12"/>
  <c r="AG1222" i="12"/>
  <c r="AF1222" i="12"/>
  <c r="Z1222" i="12"/>
  <c r="AG1221" i="12"/>
  <c r="AF1221" i="12"/>
  <c r="Z1221" i="12"/>
  <c r="AG1220" i="12"/>
  <c r="AF1220" i="12"/>
  <c r="Z1220" i="12"/>
  <c r="AG1219" i="12"/>
  <c r="AF1219" i="12"/>
  <c r="Z1219" i="12"/>
  <c r="AG1218" i="12"/>
  <c r="AF1218" i="12"/>
  <c r="Z1218" i="12"/>
  <c r="AG1217" i="12"/>
  <c r="AF1217" i="12"/>
  <c r="Z1217" i="12"/>
  <c r="AG1216" i="12"/>
  <c r="AF1216" i="12"/>
  <c r="Z1216" i="12"/>
  <c r="AG1215" i="12"/>
  <c r="AF1215" i="12"/>
  <c r="Z1215" i="12"/>
  <c r="AG1214" i="12"/>
  <c r="AF1214" i="12"/>
  <c r="Z1214" i="12"/>
  <c r="AG1213" i="12"/>
  <c r="AF1213" i="12"/>
  <c r="Z1213" i="12"/>
  <c r="AG1212" i="12"/>
  <c r="AF1212" i="12"/>
  <c r="Z1212" i="12"/>
  <c r="AG1211" i="12"/>
  <c r="AF1211" i="12"/>
  <c r="Z1211" i="12"/>
  <c r="AG1210" i="12"/>
  <c r="AF1210" i="12"/>
  <c r="Z1210" i="12"/>
  <c r="AG1209" i="12"/>
  <c r="AF1209" i="12"/>
  <c r="Z1209" i="12"/>
  <c r="AG1208" i="12"/>
  <c r="AF1208" i="12"/>
  <c r="Z1208" i="12"/>
  <c r="AG1207" i="12"/>
  <c r="AF1207" i="12"/>
  <c r="Z1207" i="12"/>
  <c r="AG1206" i="12"/>
  <c r="AF1206" i="12"/>
  <c r="Z1206" i="12"/>
  <c r="AG1205" i="12"/>
  <c r="AF1205" i="12"/>
  <c r="Z1205" i="12"/>
  <c r="AG1204" i="12"/>
  <c r="AF1204" i="12"/>
  <c r="Z1204" i="12"/>
  <c r="AG1203" i="12"/>
  <c r="AF1203" i="12"/>
  <c r="Z1203" i="12"/>
  <c r="AG1202" i="12"/>
  <c r="AF1202" i="12"/>
  <c r="Z1202" i="12"/>
  <c r="AG1201" i="12"/>
  <c r="AF1201" i="12"/>
  <c r="Z1201" i="12"/>
  <c r="AG1200" i="12"/>
  <c r="AF1200" i="12"/>
  <c r="Z1200" i="12"/>
  <c r="AG1199" i="12"/>
  <c r="AF1199" i="12"/>
  <c r="Z1199" i="12"/>
  <c r="AG1198" i="12"/>
  <c r="AF1198" i="12"/>
  <c r="Z1198" i="12"/>
  <c r="AG1197" i="12"/>
  <c r="AF1197" i="12"/>
  <c r="Z1197" i="12"/>
  <c r="AG1196" i="12"/>
  <c r="AF1196" i="12"/>
  <c r="Z1196" i="12"/>
  <c r="AG1195" i="12"/>
  <c r="AF1195" i="12"/>
  <c r="Z1195" i="12"/>
  <c r="AG1194" i="12"/>
  <c r="AF1194" i="12"/>
  <c r="Z1194" i="12"/>
  <c r="AG1193" i="12"/>
  <c r="AF1193" i="12"/>
  <c r="Z1193" i="12"/>
  <c r="AG1192" i="12"/>
  <c r="AF1192" i="12"/>
  <c r="Z1192" i="12"/>
  <c r="AG1191" i="12"/>
  <c r="AF1191" i="12"/>
  <c r="Z1191" i="12"/>
  <c r="AG1190" i="12"/>
  <c r="AF1190" i="12"/>
  <c r="Z1190" i="12"/>
  <c r="AG1189" i="12"/>
  <c r="AF1189" i="12"/>
  <c r="Z1189" i="12"/>
  <c r="AG1188" i="12"/>
  <c r="AF1188" i="12"/>
  <c r="Z1188" i="12"/>
  <c r="AG1187" i="12"/>
  <c r="AF1187" i="12"/>
  <c r="Z1187" i="12"/>
  <c r="AG1186" i="12"/>
  <c r="AF1186" i="12"/>
  <c r="Z1186" i="12"/>
  <c r="AG1185" i="12"/>
  <c r="AF1185" i="12"/>
  <c r="Z1185" i="12"/>
  <c r="AG1184" i="12"/>
  <c r="AF1184" i="12"/>
  <c r="Z1184" i="12"/>
  <c r="AG1183" i="12"/>
  <c r="AF1183" i="12"/>
  <c r="Z1183" i="12"/>
  <c r="AG1182" i="12"/>
  <c r="AF1182" i="12"/>
  <c r="Z1182" i="12"/>
  <c r="AG1181" i="12"/>
  <c r="AF1181" i="12"/>
  <c r="Z1181" i="12"/>
  <c r="AG1180" i="12"/>
  <c r="AF1180" i="12"/>
  <c r="Z1180" i="12"/>
  <c r="AG1179" i="12"/>
  <c r="AF1179" i="12"/>
  <c r="Z1179" i="12"/>
  <c r="AG1178" i="12"/>
  <c r="AF1178" i="12"/>
  <c r="Z1178" i="12"/>
  <c r="AG1177" i="12"/>
  <c r="AF1177" i="12"/>
  <c r="Z1177" i="12"/>
  <c r="AG1176" i="12"/>
  <c r="AF1176" i="12"/>
  <c r="Z1176" i="12"/>
  <c r="AG1175" i="12"/>
  <c r="AF1175" i="12"/>
  <c r="Z1175" i="12"/>
  <c r="AG1174" i="12"/>
  <c r="AF1174" i="12"/>
  <c r="Z1174" i="12"/>
  <c r="AG1173" i="12"/>
  <c r="AF1173" i="12"/>
  <c r="Z1173" i="12"/>
  <c r="AG1172" i="12"/>
  <c r="AF1172" i="12"/>
  <c r="Z1172" i="12"/>
  <c r="AG1171" i="12"/>
  <c r="AF1171" i="12"/>
  <c r="Z1171" i="12"/>
  <c r="AG1170" i="12"/>
  <c r="AF1170" i="12"/>
  <c r="Z1170" i="12"/>
  <c r="AG1169" i="12"/>
  <c r="AF1169" i="12"/>
  <c r="Z1169" i="12"/>
  <c r="AG1168" i="12"/>
  <c r="AF1168" i="12"/>
  <c r="Z1168" i="12"/>
  <c r="AG1167" i="12"/>
  <c r="AF1167" i="12"/>
  <c r="Z1167" i="12"/>
  <c r="AG1166" i="12"/>
  <c r="AF1166" i="12"/>
  <c r="Z1166" i="12"/>
  <c r="AG1165" i="12"/>
  <c r="AF1165" i="12"/>
  <c r="Z1165" i="12"/>
  <c r="AG1164" i="12"/>
  <c r="AF1164" i="12"/>
  <c r="Z1164" i="12"/>
  <c r="AG1163" i="12"/>
  <c r="AF1163" i="12"/>
  <c r="Z1163" i="12"/>
  <c r="AG1162" i="12"/>
  <c r="AF1162" i="12"/>
  <c r="Z1162" i="12"/>
  <c r="AG1161" i="12"/>
  <c r="AF1161" i="12"/>
  <c r="Z1161" i="12"/>
  <c r="AG1160" i="12"/>
  <c r="AF1160" i="12"/>
  <c r="Z1160" i="12"/>
  <c r="AG1159" i="12"/>
  <c r="AF1159" i="12"/>
  <c r="Z1159" i="12"/>
  <c r="AG1158" i="12"/>
  <c r="AF1158" i="12"/>
  <c r="Z1158" i="12"/>
  <c r="AG1157" i="12"/>
  <c r="AF1157" i="12"/>
  <c r="Z1157" i="12"/>
  <c r="AG1156" i="12"/>
  <c r="AF1156" i="12"/>
  <c r="Z1156" i="12"/>
  <c r="AG1155" i="12"/>
  <c r="AF1155" i="12"/>
  <c r="Z1155" i="12"/>
  <c r="AG1154" i="12"/>
  <c r="AF1154" i="12"/>
  <c r="Z1154" i="12"/>
  <c r="AG1153" i="12"/>
  <c r="AF1153" i="12"/>
  <c r="Z1153" i="12"/>
  <c r="AG1152" i="12"/>
  <c r="AF1152" i="12"/>
  <c r="Z1152" i="12"/>
  <c r="AG1151" i="12"/>
  <c r="AF1151" i="12"/>
  <c r="Z1151" i="12"/>
  <c r="AG1150" i="12"/>
  <c r="AF1150" i="12"/>
  <c r="Z1150" i="12"/>
  <c r="AG1149" i="12"/>
  <c r="AF1149" i="12"/>
  <c r="Z1149" i="12"/>
  <c r="AG1148" i="12"/>
  <c r="AF1148" i="12"/>
  <c r="Z1148" i="12"/>
  <c r="AG1147" i="12"/>
  <c r="AF1147" i="12"/>
  <c r="Z1147" i="12"/>
  <c r="AG1146" i="12"/>
  <c r="AF1146" i="12"/>
  <c r="Z1146" i="12"/>
  <c r="AG1145" i="12"/>
  <c r="AF1145" i="12"/>
  <c r="Z1145" i="12"/>
  <c r="AG1144" i="12"/>
  <c r="AF1144" i="12"/>
  <c r="Z1144" i="12"/>
  <c r="AG1143" i="12"/>
  <c r="AF1143" i="12"/>
  <c r="Z1143" i="12"/>
  <c r="AG1142" i="12"/>
  <c r="AF1142" i="12"/>
  <c r="Z1142" i="12"/>
  <c r="AG1141" i="12"/>
  <c r="AF1141" i="12"/>
  <c r="Z1141" i="12"/>
  <c r="AG1140" i="12"/>
  <c r="AF1140" i="12"/>
  <c r="Z1140" i="12"/>
  <c r="AG1139" i="12"/>
  <c r="AF1139" i="12"/>
  <c r="Z1139" i="12"/>
  <c r="AG1138" i="12"/>
  <c r="AF1138" i="12"/>
  <c r="Z1138" i="12"/>
  <c r="AG1137" i="12"/>
  <c r="AF1137" i="12"/>
  <c r="Z1137" i="12"/>
  <c r="AG1136" i="12"/>
  <c r="AF1136" i="12"/>
  <c r="Z1136" i="12"/>
  <c r="AG1135" i="12"/>
  <c r="AF1135" i="12"/>
  <c r="Z1135" i="12"/>
  <c r="AG1134" i="12"/>
  <c r="AF1134" i="12"/>
  <c r="Z1134" i="12"/>
  <c r="AG1133" i="12"/>
  <c r="AF1133" i="12"/>
  <c r="Z1133" i="12"/>
  <c r="AG1132" i="12"/>
  <c r="AF1132" i="12"/>
  <c r="Z1132" i="12"/>
  <c r="AG1131" i="12"/>
  <c r="AF1131" i="12"/>
  <c r="Z1131" i="12"/>
  <c r="AG1130" i="12"/>
  <c r="AF1130" i="12"/>
  <c r="Z1130" i="12"/>
  <c r="AG1129" i="12"/>
  <c r="AF1129" i="12"/>
  <c r="Z1129" i="12"/>
  <c r="AG1128" i="12"/>
  <c r="AF1128" i="12"/>
  <c r="Z1128" i="12"/>
  <c r="AG1127" i="12"/>
  <c r="AF1127" i="12"/>
  <c r="Z1127" i="12"/>
  <c r="AG1126" i="12"/>
  <c r="AF1126" i="12"/>
  <c r="Z1126" i="12"/>
  <c r="AG1125" i="12"/>
  <c r="AF1125" i="12"/>
  <c r="Z1125" i="12"/>
  <c r="AG1124" i="12"/>
  <c r="AF1124" i="12"/>
  <c r="Z1124" i="12"/>
  <c r="AG1123" i="12"/>
  <c r="AF1123" i="12"/>
  <c r="Z1123" i="12"/>
  <c r="AG1122" i="12"/>
  <c r="AF1122" i="12"/>
  <c r="Z1122" i="12"/>
  <c r="AG1121" i="12"/>
  <c r="AF1121" i="12"/>
  <c r="Z1121" i="12"/>
  <c r="AG1120" i="12"/>
  <c r="AF1120" i="12"/>
  <c r="Z1120" i="12"/>
  <c r="AG1119" i="12"/>
  <c r="AF1119" i="12"/>
  <c r="Z1119" i="12"/>
  <c r="AG1118" i="12"/>
  <c r="AF1118" i="12"/>
  <c r="Z1118" i="12"/>
  <c r="AG1117" i="12"/>
  <c r="AF1117" i="12"/>
  <c r="Z1117" i="12"/>
  <c r="AG1116" i="12"/>
  <c r="AF1116" i="12"/>
  <c r="Z1116" i="12"/>
  <c r="AG1115" i="12"/>
  <c r="AF1115" i="12"/>
  <c r="Z1115" i="12"/>
  <c r="AG1114" i="12"/>
  <c r="AF1114" i="12"/>
  <c r="Z1114" i="12"/>
  <c r="AG1113" i="12"/>
  <c r="AF1113" i="12"/>
  <c r="Z1113" i="12"/>
  <c r="AG1112" i="12"/>
  <c r="AF1112" i="12"/>
  <c r="Z1112" i="12"/>
  <c r="AG1111" i="12"/>
  <c r="AF1111" i="12"/>
  <c r="Z1111" i="12"/>
  <c r="AG1110" i="12"/>
  <c r="AF1110" i="12"/>
  <c r="Z1110" i="12"/>
  <c r="AG1109" i="12"/>
  <c r="AF1109" i="12"/>
  <c r="Z1109" i="12"/>
  <c r="AG1108" i="12"/>
  <c r="AF1108" i="12"/>
  <c r="Z1108" i="12"/>
  <c r="AG1107" i="12"/>
  <c r="AF1107" i="12"/>
  <c r="Z1107" i="12"/>
  <c r="AG1106" i="12"/>
  <c r="AF1106" i="12"/>
  <c r="Z1106" i="12"/>
  <c r="AG1105" i="12"/>
  <c r="AF1105" i="12"/>
  <c r="Z1105" i="12"/>
  <c r="AG1104" i="12"/>
  <c r="AF1104" i="12"/>
  <c r="Z1104" i="12"/>
  <c r="AG1103" i="12"/>
  <c r="AF1103" i="12"/>
  <c r="Z1103" i="12"/>
  <c r="AG1102" i="12"/>
  <c r="AF1102" i="12"/>
  <c r="Z1102" i="12"/>
  <c r="AG1101" i="12"/>
  <c r="AF1101" i="12"/>
  <c r="Z1101" i="12"/>
  <c r="AG1100" i="12"/>
  <c r="AF1100" i="12"/>
  <c r="Z1100" i="12"/>
  <c r="AG1099" i="12"/>
  <c r="AF1099" i="12"/>
  <c r="Z1099" i="12"/>
  <c r="AG1098" i="12"/>
  <c r="AF1098" i="12"/>
  <c r="Z1098" i="12"/>
  <c r="AG1097" i="12"/>
  <c r="AF1097" i="12"/>
  <c r="Z1097" i="12"/>
  <c r="AG1096" i="12"/>
  <c r="AF1096" i="12"/>
  <c r="Z1096" i="12"/>
  <c r="AG1095" i="12"/>
  <c r="AF1095" i="12"/>
  <c r="Z1095" i="12"/>
  <c r="AG1094" i="12"/>
  <c r="AF1094" i="12"/>
  <c r="Z1094" i="12"/>
  <c r="AG1093" i="12"/>
  <c r="AF1093" i="12"/>
  <c r="Z1093" i="12"/>
  <c r="AG1092" i="12"/>
  <c r="AF1092" i="12"/>
  <c r="Z1092" i="12"/>
  <c r="AG1091" i="12"/>
  <c r="AF1091" i="12"/>
  <c r="Z1091" i="12"/>
  <c r="AG1090" i="12"/>
  <c r="AF1090" i="12"/>
  <c r="Z1090" i="12"/>
  <c r="AG1089" i="12"/>
  <c r="AF1089" i="12"/>
  <c r="Z1089" i="12"/>
  <c r="AG1088" i="12"/>
  <c r="AF1088" i="12"/>
  <c r="Z1088" i="12"/>
  <c r="AG1087" i="12"/>
  <c r="AF1087" i="12"/>
  <c r="Z1087" i="12"/>
  <c r="AG1086" i="12"/>
  <c r="AF1086" i="12"/>
  <c r="Z1086" i="12"/>
  <c r="AG1085" i="12"/>
  <c r="AF1085" i="12"/>
  <c r="Z1085" i="12"/>
  <c r="AG1084" i="12"/>
  <c r="AF1084" i="12"/>
  <c r="Z1084" i="12"/>
  <c r="AG1083" i="12"/>
  <c r="AF1083" i="12"/>
  <c r="Z1083" i="12"/>
  <c r="AG1082" i="12"/>
  <c r="AF1082" i="12"/>
  <c r="Z1082" i="12"/>
  <c r="AG1081" i="12"/>
  <c r="AF1081" i="12"/>
  <c r="Z1081" i="12"/>
  <c r="AG1080" i="12"/>
  <c r="AF1080" i="12"/>
  <c r="Z1080" i="12"/>
  <c r="AG1079" i="12"/>
  <c r="AF1079" i="12"/>
  <c r="Z1079" i="12"/>
  <c r="AG1078" i="12"/>
  <c r="AF1078" i="12"/>
  <c r="Z1078" i="12"/>
  <c r="AG1077" i="12"/>
  <c r="AF1077" i="12"/>
  <c r="Z1077" i="12"/>
  <c r="AG1076" i="12"/>
  <c r="AF1076" i="12"/>
  <c r="Z1076" i="12"/>
  <c r="AG1075" i="12"/>
  <c r="AF1075" i="12"/>
  <c r="Z1075" i="12"/>
  <c r="AG1074" i="12"/>
  <c r="AF1074" i="12"/>
  <c r="Z1074" i="12"/>
  <c r="AG1073" i="12"/>
  <c r="AF1073" i="12"/>
  <c r="Z1073" i="12"/>
  <c r="AG1072" i="12"/>
  <c r="AF1072" i="12"/>
  <c r="Z1072" i="12"/>
  <c r="AG1071" i="12"/>
  <c r="AF1071" i="12"/>
  <c r="Z1071" i="12"/>
  <c r="AG1070" i="12"/>
  <c r="AF1070" i="12"/>
  <c r="Z1070" i="12"/>
  <c r="AG1069" i="12"/>
  <c r="AF1069" i="12"/>
  <c r="Z1069" i="12"/>
  <c r="AG1068" i="12"/>
  <c r="AF1068" i="12"/>
  <c r="Z1068" i="12"/>
  <c r="AG1067" i="12"/>
  <c r="AF1067" i="12"/>
  <c r="Z1067" i="12"/>
  <c r="AG1066" i="12"/>
  <c r="AF1066" i="12"/>
  <c r="Z1066" i="12"/>
  <c r="AG1065" i="12"/>
  <c r="AF1065" i="12"/>
  <c r="Z1065" i="12"/>
  <c r="AG1064" i="12"/>
  <c r="AF1064" i="12"/>
  <c r="Z1064" i="12"/>
  <c r="AG1063" i="12"/>
  <c r="AF1063" i="12"/>
  <c r="Z1063" i="12"/>
  <c r="AG1062" i="12"/>
  <c r="AF1062" i="12"/>
  <c r="Z1062" i="12"/>
  <c r="AG1061" i="12"/>
  <c r="AF1061" i="12"/>
  <c r="Z1061" i="12"/>
  <c r="AG1060" i="12"/>
  <c r="AF1060" i="12"/>
  <c r="Z1060" i="12"/>
  <c r="AG1059" i="12"/>
  <c r="AF1059" i="12"/>
  <c r="Z1059" i="12"/>
  <c r="AG1058" i="12"/>
  <c r="AF1058" i="12"/>
  <c r="Z1058" i="12"/>
  <c r="AG1057" i="12"/>
  <c r="AF1057" i="12"/>
  <c r="Z1057" i="12"/>
  <c r="AG1056" i="12"/>
  <c r="AF1056" i="12"/>
  <c r="Z1056" i="12"/>
  <c r="AG1055" i="12"/>
  <c r="AF1055" i="12"/>
  <c r="Z1055" i="12"/>
  <c r="AG1054" i="12"/>
  <c r="AF1054" i="12"/>
  <c r="Z1054" i="12"/>
  <c r="AG1053" i="12"/>
  <c r="AF1053" i="12"/>
  <c r="Z1053" i="12"/>
  <c r="AG1052" i="12"/>
  <c r="AF1052" i="12"/>
  <c r="Z1052" i="12"/>
  <c r="AG1051" i="12"/>
  <c r="AF1051" i="12"/>
  <c r="Z1051" i="12"/>
  <c r="AG1050" i="12"/>
  <c r="AF1050" i="12"/>
  <c r="Z1050" i="12"/>
  <c r="AG1049" i="12"/>
  <c r="AF1049" i="12"/>
  <c r="Z1049" i="12"/>
  <c r="AG1048" i="12"/>
  <c r="AF1048" i="12"/>
  <c r="Z1048" i="12"/>
  <c r="AG1047" i="12"/>
  <c r="AF1047" i="12"/>
  <c r="Z1047" i="12"/>
  <c r="AG1046" i="12"/>
  <c r="AF1046" i="12"/>
  <c r="Z1046" i="12"/>
  <c r="AG1045" i="12"/>
  <c r="AF1045" i="12"/>
  <c r="Z1045" i="12"/>
  <c r="AG1044" i="12"/>
  <c r="AF1044" i="12"/>
  <c r="Z1044" i="12"/>
  <c r="AG1043" i="12"/>
  <c r="AF1043" i="12"/>
  <c r="Z1043" i="12"/>
  <c r="AG1042" i="12"/>
  <c r="AF1042" i="12"/>
  <c r="Z1042" i="12"/>
  <c r="AG1041" i="12"/>
  <c r="AF1041" i="12"/>
  <c r="Z1041" i="12"/>
  <c r="AG1040" i="12"/>
  <c r="AF1040" i="12"/>
  <c r="Z1040" i="12"/>
  <c r="AG1039" i="12"/>
  <c r="AF1039" i="12"/>
  <c r="Z1039" i="12"/>
  <c r="AG1038" i="12"/>
  <c r="AF1038" i="12"/>
  <c r="Z1038" i="12"/>
  <c r="AG1037" i="12"/>
  <c r="AF1037" i="12"/>
  <c r="Z1037" i="12"/>
  <c r="AG1036" i="12"/>
  <c r="AF1036" i="12"/>
  <c r="Z1036" i="12"/>
  <c r="AG1035" i="12"/>
  <c r="AF1035" i="12"/>
  <c r="Z1035" i="12"/>
  <c r="AG1034" i="12"/>
  <c r="AF1034" i="12"/>
  <c r="Z1034" i="12"/>
  <c r="AG1033" i="12"/>
  <c r="AF1033" i="12"/>
  <c r="Z1033" i="12"/>
  <c r="AG1032" i="12"/>
  <c r="AF1032" i="12"/>
  <c r="Z1032" i="12"/>
  <c r="AG1031" i="12"/>
  <c r="AF1031" i="12"/>
  <c r="Z1031" i="12"/>
  <c r="AG1030" i="12"/>
  <c r="AF1030" i="12"/>
  <c r="Z1030" i="12"/>
  <c r="AG1029" i="12"/>
  <c r="AF1029" i="12"/>
  <c r="Z1029" i="12"/>
  <c r="AG1028" i="12"/>
  <c r="AF1028" i="12"/>
  <c r="Z1028" i="12"/>
  <c r="AG1027" i="12"/>
  <c r="AF1027" i="12"/>
  <c r="Z1027" i="12"/>
  <c r="AG1026" i="12"/>
  <c r="AF1026" i="12"/>
  <c r="Z1026" i="12"/>
  <c r="AG1025" i="12"/>
  <c r="AF1025" i="12"/>
  <c r="Z1025" i="12"/>
  <c r="AG1024" i="12"/>
  <c r="AF1024" i="12"/>
  <c r="Z1024" i="12"/>
  <c r="AG1023" i="12"/>
  <c r="AF1023" i="12"/>
  <c r="Z1023" i="12"/>
  <c r="AG1022" i="12"/>
  <c r="AF1022" i="12"/>
  <c r="Z1022" i="12"/>
  <c r="AG1021" i="12"/>
  <c r="AF1021" i="12"/>
  <c r="Z1021" i="12"/>
  <c r="AG1020" i="12"/>
  <c r="AF1020" i="12"/>
  <c r="Z1020" i="12"/>
  <c r="AG1019" i="12"/>
  <c r="AF1019" i="12"/>
  <c r="Z1019" i="12"/>
  <c r="AG1018" i="12"/>
  <c r="AF1018" i="12"/>
  <c r="Z1018" i="12"/>
  <c r="AG1017" i="12"/>
  <c r="AF1017" i="12"/>
  <c r="Z1017" i="12"/>
  <c r="AG1016" i="12"/>
  <c r="AF1016" i="12"/>
  <c r="Z1016" i="12"/>
  <c r="AG1015" i="12"/>
  <c r="AF1015" i="12"/>
  <c r="Z1015" i="12"/>
  <c r="AG1014" i="12"/>
  <c r="AF1014" i="12"/>
  <c r="Z1014" i="12"/>
  <c r="AG1013" i="12"/>
  <c r="AF1013" i="12"/>
  <c r="Z1013" i="12"/>
  <c r="AG1012" i="12"/>
  <c r="AF1012" i="12"/>
  <c r="Z1012" i="12"/>
  <c r="AG1011" i="12"/>
  <c r="AF1011" i="12"/>
  <c r="Z1011" i="12"/>
  <c r="AG1010" i="12"/>
  <c r="AF1010" i="12"/>
  <c r="Z1010" i="12"/>
  <c r="AG1009" i="12"/>
  <c r="AF1009" i="12"/>
  <c r="Z1009" i="12"/>
  <c r="AG1008" i="12"/>
  <c r="AF1008" i="12"/>
  <c r="Z1008" i="12"/>
  <c r="AG1007" i="12"/>
  <c r="AF1007" i="12"/>
  <c r="Z1007" i="12"/>
  <c r="AG1006" i="12"/>
  <c r="AF1006" i="12"/>
  <c r="Z1006" i="12"/>
  <c r="AG1005" i="12"/>
  <c r="AF1005" i="12"/>
  <c r="Z1005" i="12"/>
  <c r="AG1004" i="12"/>
  <c r="AF1004" i="12"/>
  <c r="Z1004" i="12"/>
  <c r="AG1003" i="12"/>
  <c r="AF1003" i="12"/>
  <c r="Z1003" i="12"/>
  <c r="AG1002" i="12"/>
  <c r="AF1002" i="12"/>
  <c r="Z1002" i="12"/>
  <c r="AG1001" i="12"/>
  <c r="AF1001" i="12"/>
  <c r="Z1001" i="12"/>
  <c r="AG1000" i="12"/>
  <c r="AF1000" i="12"/>
  <c r="Z1000" i="12"/>
  <c r="AG999" i="12"/>
  <c r="AF999" i="12"/>
  <c r="Z999" i="12"/>
  <c r="AG998" i="12"/>
  <c r="AF998" i="12"/>
  <c r="Z998" i="12"/>
  <c r="AG997" i="12"/>
  <c r="AF997" i="12"/>
  <c r="Z997" i="12"/>
  <c r="AG996" i="12"/>
  <c r="AF996" i="12"/>
  <c r="Z996" i="12"/>
  <c r="AG995" i="12"/>
  <c r="AF995" i="12"/>
  <c r="Z995" i="12"/>
  <c r="AG994" i="12"/>
  <c r="AF994" i="12"/>
  <c r="Z994" i="12"/>
  <c r="AG993" i="12"/>
  <c r="AF993" i="12"/>
  <c r="Z993" i="12"/>
  <c r="AG992" i="12"/>
  <c r="AF992" i="12"/>
  <c r="Z992" i="12"/>
  <c r="AG991" i="12"/>
  <c r="AF991" i="12"/>
  <c r="Z991" i="12"/>
  <c r="AG990" i="12"/>
  <c r="AF990" i="12"/>
  <c r="Z990" i="12"/>
  <c r="AG989" i="12"/>
  <c r="AF989" i="12"/>
  <c r="Z989" i="12"/>
  <c r="AG988" i="12"/>
  <c r="AF988" i="12"/>
  <c r="Z988" i="12"/>
  <c r="AG987" i="12"/>
  <c r="AF987" i="12"/>
  <c r="Z987" i="12"/>
  <c r="AG986" i="12"/>
  <c r="AF986" i="12"/>
  <c r="Z986" i="12"/>
  <c r="AG985" i="12"/>
  <c r="AF985" i="12"/>
  <c r="Z985" i="12"/>
  <c r="AG984" i="12"/>
  <c r="AF984" i="12"/>
  <c r="Z984" i="12"/>
  <c r="AG983" i="12"/>
  <c r="AF983" i="12"/>
  <c r="Z983" i="12"/>
  <c r="AG982" i="12"/>
  <c r="AF982" i="12"/>
  <c r="Z982" i="12"/>
  <c r="AG981" i="12"/>
  <c r="AF981" i="12"/>
  <c r="Z981" i="12"/>
  <c r="AG980" i="12"/>
  <c r="AF980" i="12"/>
  <c r="Z980" i="12"/>
  <c r="AG979" i="12"/>
  <c r="AF979" i="12"/>
  <c r="Z979" i="12"/>
  <c r="AG978" i="12"/>
  <c r="AF978" i="12"/>
  <c r="Z978" i="12"/>
  <c r="AG977" i="12"/>
  <c r="AF977" i="12"/>
  <c r="Z977" i="12"/>
  <c r="AG976" i="12"/>
  <c r="AF976" i="12"/>
  <c r="Z976" i="12"/>
  <c r="AG975" i="12"/>
  <c r="AF975" i="12"/>
  <c r="Z975" i="12"/>
  <c r="AG974" i="12"/>
  <c r="AF974" i="12"/>
  <c r="Z974" i="12"/>
  <c r="AG973" i="12"/>
  <c r="AF973" i="12"/>
  <c r="Z973" i="12"/>
  <c r="AG972" i="12"/>
  <c r="AF972" i="12"/>
  <c r="Z972" i="12"/>
  <c r="AG971" i="12"/>
  <c r="AF971" i="12"/>
  <c r="Z971" i="12"/>
  <c r="AG970" i="12"/>
  <c r="AF970" i="12"/>
  <c r="Z970" i="12"/>
  <c r="AG969" i="12"/>
  <c r="AF969" i="12"/>
  <c r="Z969" i="12"/>
  <c r="AG968" i="12"/>
  <c r="AF968" i="12"/>
  <c r="Z968" i="12"/>
  <c r="AG967" i="12"/>
  <c r="AF967" i="12"/>
  <c r="Z967" i="12"/>
  <c r="AG966" i="12"/>
  <c r="AF966" i="12"/>
  <c r="Z966" i="12"/>
  <c r="AG965" i="12"/>
  <c r="AF965" i="12"/>
  <c r="Z965" i="12"/>
  <c r="AG964" i="12"/>
  <c r="AF964" i="12"/>
  <c r="Z964" i="12"/>
  <c r="AG963" i="12"/>
  <c r="AF963" i="12"/>
  <c r="Z963" i="12"/>
  <c r="AG962" i="12"/>
  <c r="AF962" i="12"/>
  <c r="Z962" i="12"/>
  <c r="AG961" i="12"/>
  <c r="AF961" i="12"/>
  <c r="Z961" i="12"/>
  <c r="AG960" i="12"/>
  <c r="AF960" i="12"/>
  <c r="Z960" i="12"/>
  <c r="AG959" i="12"/>
  <c r="AF959" i="12"/>
  <c r="Z959" i="12"/>
  <c r="AG958" i="12"/>
  <c r="AF958" i="12"/>
  <c r="Z958" i="12"/>
  <c r="AG957" i="12"/>
  <c r="AF957" i="12"/>
  <c r="Z957" i="12"/>
  <c r="AG956" i="12"/>
  <c r="AF956" i="12"/>
  <c r="Z956" i="12"/>
  <c r="AG955" i="12"/>
  <c r="AF955" i="12"/>
  <c r="Z955" i="12"/>
  <c r="AG954" i="12"/>
  <c r="AF954" i="12"/>
  <c r="Z954" i="12"/>
  <c r="AG953" i="12"/>
  <c r="AF953" i="12"/>
  <c r="Z953" i="12"/>
  <c r="AG952" i="12"/>
  <c r="AF952" i="12"/>
  <c r="Z952" i="12"/>
  <c r="AG951" i="12"/>
  <c r="AF951" i="12"/>
  <c r="Z951" i="12"/>
  <c r="AG950" i="12"/>
  <c r="AF950" i="12"/>
  <c r="Z950" i="12"/>
  <c r="AG949" i="12"/>
  <c r="AF949" i="12"/>
  <c r="Z949" i="12"/>
  <c r="AG948" i="12"/>
  <c r="AF948" i="12"/>
  <c r="Z948" i="12"/>
  <c r="AG947" i="12"/>
  <c r="AF947" i="12"/>
  <c r="Z947" i="12"/>
  <c r="AG946" i="12"/>
  <c r="AF946" i="12"/>
  <c r="Z946" i="12"/>
  <c r="AG945" i="12"/>
  <c r="AF945" i="12"/>
  <c r="Z945" i="12"/>
  <c r="AG944" i="12"/>
  <c r="AF944" i="12"/>
  <c r="Z944" i="12"/>
  <c r="AG943" i="12"/>
  <c r="AF943" i="12"/>
  <c r="Z943" i="12"/>
  <c r="AG942" i="12"/>
  <c r="AF942" i="12"/>
  <c r="Z942" i="12"/>
  <c r="AG941" i="12"/>
  <c r="AF941" i="12"/>
  <c r="Z941" i="12"/>
  <c r="AG940" i="12"/>
  <c r="AF940" i="12"/>
  <c r="Z940" i="12"/>
  <c r="AG939" i="12"/>
  <c r="AF939" i="12"/>
  <c r="Z939" i="12"/>
  <c r="AG938" i="12"/>
  <c r="AF938" i="12"/>
  <c r="Z938" i="12"/>
  <c r="AG937" i="12"/>
  <c r="AF937" i="12"/>
  <c r="Z937" i="12"/>
  <c r="AG936" i="12"/>
  <c r="AF936" i="12"/>
  <c r="Z936" i="12"/>
  <c r="AG935" i="12"/>
  <c r="AF935" i="12"/>
  <c r="Z935" i="12"/>
  <c r="AG934" i="12"/>
  <c r="AF934" i="12"/>
  <c r="Z934" i="12"/>
  <c r="AG933" i="12"/>
  <c r="AF933" i="12"/>
  <c r="Z933" i="12"/>
  <c r="AG932" i="12"/>
  <c r="AF932" i="12"/>
  <c r="Z932" i="12"/>
  <c r="AG931" i="12"/>
  <c r="AF931" i="12"/>
  <c r="Z931" i="12"/>
  <c r="AG930" i="12"/>
  <c r="AF930" i="12"/>
  <c r="Z930" i="12"/>
  <c r="AG929" i="12"/>
  <c r="AF929" i="12"/>
  <c r="Z929" i="12"/>
  <c r="AG928" i="12"/>
  <c r="AF928" i="12"/>
  <c r="Z928" i="12"/>
  <c r="AG927" i="12"/>
  <c r="AF927" i="12"/>
  <c r="Z927" i="12"/>
  <c r="AG926" i="12"/>
  <c r="AF926" i="12"/>
  <c r="Z926" i="12"/>
  <c r="AG925" i="12"/>
  <c r="AF925" i="12"/>
  <c r="Z925" i="12"/>
  <c r="AG924" i="12"/>
  <c r="AF924" i="12"/>
  <c r="Z924" i="12"/>
  <c r="AG923" i="12"/>
  <c r="AF923" i="12"/>
  <c r="Z923" i="12"/>
  <c r="AG922" i="12"/>
  <c r="AF922" i="12"/>
  <c r="Z922" i="12"/>
  <c r="AG921" i="12"/>
  <c r="AF921" i="12"/>
  <c r="Z921" i="12"/>
  <c r="AG920" i="12"/>
  <c r="AF920" i="12"/>
  <c r="Z920" i="12"/>
  <c r="AG919" i="12"/>
  <c r="AF919" i="12"/>
  <c r="Z919" i="12"/>
  <c r="AG918" i="12"/>
  <c r="AF918" i="12"/>
  <c r="Z918" i="12"/>
  <c r="AG917" i="12"/>
  <c r="AF917" i="12"/>
  <c r="Z917" i="12"/>
  <c r="AG916" i="12"/>
  <c r="AF916" i="12"/>
  <c r="Z916" i="12"/>
  <c r="AG915" i="12"/>
  <c r="AF915" i="12"/>
  <c r="Z915" i="12"/>
  <c r="AG914" i="12"/>
  <c r="AF914" i="12"/>
  <c r="Z914" i="12"/>
  <c r="AG913" i="12"/>
  <c r="AF913" i="12"/>
  <c r="Z913" i="12"/>
  <c r="AG912" i="12"/>
  <c r="AF912" i="12"/>
  <c r="Z912" i="12"/>
  <c r="AG911" i="12"/>
  <c r="AF911" i="12"/>
  <c r="Z911" i="12"/>
  <c r="AG910" i="12"/>
  <c r="AF910" i="12"/>
  <c r="Z910" i="12"/>
  <c r="AG909" i="12"/>
  <c r="AF909" i="12"/>
  <c r="Z909" i="12"/>
  <c r="AG908" i="12"/>
  <c r="AF908" i="12"/>
  <c r="Z908" i="12"/>
  <c r="AG907" i="12"/>
  <c r="AF907" i="12"/>
  <c r="Z907" i="12"/>
  <c r="AG906" i="12"/>
  <c r="AF906" i="12"/>
  <c r="Z906" i="12"/>
  <c r="AG905" i="12"/>
  <c r="AF905" i="12"/>
  <c r="Z905" i="12"/>
  <c r="AG904" i="12"/>
  <c r="AF904" i="12"/>
  <c r="Z904" i="12"/>
  <c r="AG903" i="12"/>
  <c r="AF903" i="12"/>
  <c r="Z903" i="12"/>
  <c r="AG902" i="12"/>
  <c r="AF902" i="12"/>
  <c r="Z902" i="12"/>
  <c r="AG901" i="12"/>
  <c r="AF901" i="12"/>
  <c r="Z901" i="12"/>
  <c r="AG900" i="12"/>
  <c r="AF900" i="12"/>
  <c r="Z900" i="12"/>
  <c r="AG899" i="12"/>
  <c r="AF899" i="12"/>
  <c r="Z899" i="12"/>
  <c r="AG898" i="12"/>
  <c r="AF898" i="12"/>
  <c r="Z898" i="12"/>
  <c r="AG897" i="12"/>
  <c r="AF897" i="12"/>
  <c r="Z897" i="12"/>
  <c r="AG896" i="12"/>
  <c r="AF896" i="12"/>
  <c r="Z896" i="12"/>
  <c r="AG895" i="12"/>
  <c r="AF895" i="12"/>
  <c r="Z895" i="12"/>
  <c r="AG894" i="12"/>
  <c r="AF894" i="12"/>
  <c r="Z894" i="12"/>
  <c r="AG893" i="12"/>
  <c r="AF893" i="12"/>
  <c r="Z893" i="12"/>
  <c r="AG892" i="12"/>
  <c r="AF892" i="12"/>
  <c r="Z892" i="12"/>
  <c r="AG891" i="12"/>
  <c r="AF891" i="12"/>
  <c r="Z891" i="12"/>
  <c r="AG890" i="12"/>
  <c r="AF890" i="12"/>
  <c r="Z890" i="12"/>
  <c r="AG889" i="12"/>
  <c r="AF889" i="12"/>
  <c r="Z889" i="12"/>
  <c r="AG888" i="12"/>
  <c r="AF888" i="12"/>
  <c r="Z888" i="12"/>
  <c r="AG887" i="12"/>
  <c r="AF887" i="12"/>
  <c r="Z887" i="12"/>
  <c r="AG886" i="12"/>
  <c r="AF886" i="12"/>
  <c r="Z886" i="12"/>
  <c r="AG885" i="12"/>
  <c r="AF885" i="12"/>
  <c r="Z885" i="12"/>
  <c r="AG884" i="12"/>
  <c r="AF884" i="12"/>
  <c r="Z884" i="12"/>
  <c r="AG883" i="12"/>
  <c r="AF883" i="12"/>
  <c r="Z883" i="12"/>
  <c r="AG882" i="12"/>
  <c r="AF882" i="12"/>
  <c r="Z882" i="12"/>
  <c r="AG881" i="12"/>
  <c r="AF881" i="12"/>
  <c r="Z881" i="12"/>
  <c r="AG880" i="12"/>
  <c r="AF880" i="12"/>
  <c r="Z880" i="12"/>
  <c r="AG879" i="12"/>
  <c r="AF879" i="12"/>
  <c r="Z879" i="12"/>
  <c r="AG878" i="12"/>
  <c r="AF878" i="12"/>
  <c r="Z878" i="12"/>
  <c r="AG877" i="12"/>
  <c r="AF877" i="12"/>
  <c r="Z877" i="12"/>
  <c r="AG876" i="12"/>
  <c r="AF876" i="12"/>
  <c r="Z876" i="12"/>
  <c r="AG875" i="12"/>
  <c r="AF875" i="12"/>
  <c r="Z875" i="12"/>
  <c r="AG874" i="12"/>
  <c r="AF874" i="12"/>
  <c r="Z874" i="12"/>
  <c r="AG873" i="12"/>
  <c r="AF873" i="12"/>
  <c r="Z873" i="12"/>
  <c r="AG872" i="12"/>
  <c r="AF872" i="12"/>
  <c r="Z872" i="12"/>
  <c r="AG871" i="12"/>
  <c r="AF871" i="12"/>
  <c r="Z871" i="12"/>
  <c r="AG870" i="12"/>
  <c r="AF870" i="12"/>
  <c r="Z870" i="12"/>
  <c r="AG869" i="12"/>
  <c r="AF869" i="12"/>
  <c r="Z869" i="12"/>
  <c r="AG868" i="12"/>
  <c r="AF868" i="12"/>
  <c r="Z868" i="12"/>
  <c r="AG867" i="12"/>
  <c r="AF867" i="12"/>
  <c r="Z867" i="12"/>
  <c r="AG866" i="12"/>
  <c r="AF866" i="12"/>
  <c r="Z866" i="12"/>
  <c r="AG865" i="12"/>
  <c r="AF865" i="12"/>
  <c r="Z865" i="12"/>
  <c r="AG864" i="12"/>
  <c r="AF864" i="12"/>
  <c r="Z864" i="12"/>
  <c r="AG863" i="12"/>
  <c r="AF863" i="12"/>
  <c r="Z863" i="12"/>
  <c r="AG862" i="12"/>
  <c r="AF862" i="12"/>
  <c r="Z862" i="12"/>
  <c r="AG861" i="12"/>
  <c r="AF861" i="12"/>
  <c r="Z861" i="12"/>
  <c r="AG860" i="12"/>
  <c r="AF860" i="12"/>
  <c r="Z860" i="12"/>
  <c r="AG859" i="12"/>
  <c r="AF859" i="12"/>
  <c r="Z859" i="12"/>
  <c r="AG858" i="12"/>
  <c r="AF858" i="12"/>
  <c r="Z858" i="12"/>
  <c r="AG857" i="12"/>
  <c r="AF857" i="12"/>
  <c r="Z857" i="12"/>
  <c r="AG856" i="12"/>
  <c r="AF856" i="12"/>
  <c r="Z856" i="12"/>
  <c r="AG855" i="12"/>
  <c r="AF855" i="12"/>
  <c r="Z855" i="12"/>
  <c r="AG854" i="12"/>
  <c r="AF854" i="12"/>
  <c r="Z854" i="12"/>
  <c r="AG853" i="12"/>
  <c r="AF853" i="12"/>
  <c r="Z853" i="12"/>
  <c r="AG852" i="12"/>
  <c r="AF852" i="12"/>
  <c r="Z852" i="12"/>
  <c r="AG851" i="12"/>
  <c r="AF851" i="12"/>
  <c r="Z851" i="12"/>
  <c r="AG850" i="12"/>
  <c r="AF850" i="12"/>
  <c r="Z850" i="12"/>
  <c r="AG849" i="12"/>
  <c r="AF849" i="12"/>
  <c r="Z849" i="12"/>
  <c r="AG848" i="12"/>
  <c r="AF848" i="12"/>
  <c r="Z848" i="12"/>
  <c r="AG847" i="12"/>
  <c r="AF847" i="12"/>
  <c r="Z847" i="12"/>
  <c r="AG846" i="12"/>
  <c r="AF846" i="12"/>
  <c r="Z846" i="12"/>
  <c r="AG845" i="12"/>
  <c r="AF845" i="12"/>
  <c r="Z845" i="12"/>
  <c r="AG844" i="12"/>
  <c r="AF844" i="12"/>
  <c r="Z844" i="12"/>
  <c r="AG843" i="12"/>
  <c r="AF843" i="12"/>
  <c r="Z843" i="12"/>
  <c r="AG842" i="12"/>
  <c r="AF842" i="12"/>
  <c r="Z842" i="12"/>
  <c r="AG841" i="12"/>
  <c r="AF841" i="12"/>
  <c r="Z841" i="12"/>
  <c r="AG840" i="12"/>
  <c r="AF840" i="12"/>
  <c r="Z840" i="12"/>
  <c r="AG839" i="12"/>
  <c r="AF839" i="12"/>
  <c r="Z839" i="12"/>
  <c r="AG838" i="12"/>
  <c r="AF838" i="12"/>
  <c r="Z838" i="12"/>
  <c r="AG837" i="12"/>
  <c r="AF837" i="12"/>
  <c r="Z837" i="12"/>
  <c r="AG836" i="12"/>
  <c r="AF836" i="12"/>
  <c r="Z836" i="12"/>
  <c r="AG835" i="12"/>
  <c r="AF835" i="12"/>
  <c r="Z835" i="12"/>
  <c r="AG834" i="12"/>
  <c r="AF834" i="12"/>
  <c r="Z834" i="12"/>
  <c r="AG833" i="12"/>
  <c r="AF833" i="12"/>
  <c r="Z833" i="12"/>
  <c r="AG832" i="12"/>
  <c r="AF832" i="12"/>
  <c r="Z832" i="12"/>
  <c r="AG831" i="12"/>
  <c r="AF831" i="12"/>
  <c r="Z831" i="12"/>
  <c r="AG830" i="12"/>
  <c r="AF830" i="12"/>
  <c r="Z830" i="12"/>
  <c r="AG829" i="12"/>
  <c r="AF829" i="12"/>
  <c r="Z829" i="12"/>
  <c r="AG828" i="12"/>
  <c r="AF828" i="12"/>
  <c r="Z828" i="12"/>
  <c r="AG827" i="12"/>
  <c r="AF827" i="12"/>
  <c r="Z827" i="12"/>
  <c r="AG826" i="12"/>
  <c r="AF826" i="12"/>
  <c r="Z826" i="12"/>
  <c r="AG825" i="12"/>
  <c r="AF825" i="12"/>
  <c r="Z825" i="12"/>
  <c r="AG824" i="12"/>
  <c r="AF824" i="12"/>
  <c r="Z824" i="12"/>
  <c r="AG823" i="12"/>
  <c r="AF823" i="12"/>
  <c r="Z823" i="12"/>
  <c r="AG822" i="12"/>
  <c r="AF822" i="12"/>
  <c r="Z822" i="12"/>
  <c r="AG821" i="12"/>
  <c r="AF821" i="12"/>
  <c r="Z821" i="12"/>
  <c r="AG820" i="12"/>
  <c r="AF820" i="12"/>
  <c r="Z820" i="12"/>
  <c r="AG819" i="12"/>
  <c r="AF819" i="12"/>
  <c r="Z819" i="12"/>
  <c r="AG818" i="12"/>
  <c r="AF818" i="12"/>
  <c r="Z818" i="12"/>
  <c r="AG817" i="12"/>
  <c r="AF817" i="12"/>
  <c r="Z817" i="12"/>
  <c r="AG816" i="12"/>
  <c r="AF816" i="12"/>
  <c r="Z816" i="12"/>
  <c r="AG815" i="12"/>
  <c r="AF815" i="12"/>
  <c r="Z815" i="12"/>
  <c r="AG814" i="12"/>
  <c r="AF814" i="12"/>
  <c r="Z814" i="12"/>
  <c r="AG813" i="12"/>
  <c r="AF813" i="12"/>
  <c r="Z813" i="12"/>
  <c r="AG812" i="12"/>
  <c r="AF812" i="12"/>
  <c r="Z812" i="12"/>
  <c r="AG811" i="12"/>
  <c r="AF811" i="12"/>
  <c r="Z811" i="12"/>
  <c r="AG810" i="12"/>
  <c r="AF810" i="12"/>
  <c r="Z810" i="12"/>
  <c r="AG809" i="12"/>
  <c r="AF809" i="12"/>
  <c r="Z809" i="12"/>
  <c r="AG808" i="12"/>
  <c r="AF808" i="12"/>
  <c r="Z808" i="12"/>
  <c r="AG807" i="12"/>
  <c r="AF807" i="12"/>
  <c r="Z807" i="12"/>
  <c r="AG806" i="12"/>
  <c r="AF806" i="12"/>
  <c r="Z806" i="12"/>
  <c r="AG805" i="12"/>
  <c r="AF805" i="12"/>
  <c r="Z805" i="12"/>
  <c r="AG804" i="12"/>
  <c r="AF804" i="12"/>
  <c r="Z804" i="12"/>
  <c r="AG803" i="12"/>
  <c r="AF803" i="12"/>
  <c r="Z803" i="12"/>
  <c r="AG802" i="12"/>
  <c r="AF802" i="12"/>
  <c r="Z802" i="12"/>
  <c r="AG801" i="12"/>
  <c r="AF801" i="12"/>
  <c r="Z801" i="12"/>
  <c r="AG800" i="12"/>
  <c r="AF800" i="12"/>
  <c r="Z800" i="12"/>
  <c r="AG799" i="12"/>
  <c r="AF799" i="12"/>
  <c r="Z799" i="12"/>
  <c r="AG798" i="12"/>
  <c r="AF798" i="12"/>
  <c r="Z798" i="12"/>
  <c r="AG797" i="12"/>
  <c r="AF797" i="12"/>
  <c r="Z797" i="12"/>
  <c r="AG796" i="12"/>
  <c r="AF796" i="12"/>
  <c r="Z796" i="12"/>
  <c r="AG795" i="12"/>
  <c r="AF795" i="12"/>
  <c r="Z795" i="12"/>
  <c r="AG794" i="12"/>
  <c r="AF794" i="12"/>
  <c r="Z794" i="12"/>
  <c r="AG793" i="12"/>
  <c r="AF793" i="12"/>
  <c r="Z793" i="12"/>
  <c r="AG792" i="12"/>
  <c r="AF792" i="12"/>
  <c r="Z792" i="12"/>
  <c r="AG791" i="12"/>
  <c r="AF791" i="12"/>
  <c r="Z791" i="12"/>
  <c r="AG790" i="12"/>
  <c r="AF790" i="12"/>
  <c r="Z790" i="12"/>
  <c r="AG789" i="12"/>
  <c r="AF789" i="12"/>
  <c r="Z789" i="12"/>
  <c r="AG788" i="12"/>
  <c r="AF788" i="12"/>
  <c r="Z788" i="12"/>
  <c r="AG787" i="12"/>
  <c r="AF787" i="12"/>
  <c r="Z787" i="12"/>
  <c r="AG786" i="12"/>
  <c r="AF786" i="12"/>
  <c r="Z786" i="12"/>
  <c r="AG785" i="12"/>
  <c r="AF785" i="12"/>
  <c r="Z785" i="12"/>
  <c r="AG784" i="12"/>
  <c r="AF784" i="12"/>
  <c r="Z784" i="12"/>
  <c r="AG783" i="12"/>
  <c r="AF783" i="12"/>
  <c r="Z783" i="12"/>
  <c r="AG782" i="12"/>
  <c r="AF782" i="12"/>
  <c r="Z782" i="12"/>
  <c r="AG781" i="12"/>
  <c r="AF781" i="12"/>
  <c r="Z781" i="12"/>
  <c r="AG780" i="12"/>
  <c r="AF780" i="12"/>
  <c r="Z780" i="12"/>
  <c r="AG779" i="12"/>
  <c r="AF779" i="12"/>
  <c r="Z779" i="12"/>
  <c r="AG778" i="12"/>
  <c r="AF778" i="12"/>
  <c r="Z778" i="12"/>
  <c r="AG777" i="12"/>
  <c r="AF777" i="12"/>
  <c r="Z777" i="12"/>
  <c r="AG776" i="12"/>
  <c r="AF776" i="12"/>
  <c r="Z776" i="12"/>
  <c r="AG775" i="12"/>
  <c r="AF775" i="12"/>
  <c r="Z775" i="12"/>
  <c r="AG774" i="12"/>
  <c r="AF774" i="12"/>
  <c r="Z774" i="12"/>
  <c r="AG773" i="12"/>
  <c r="AF773" i="12"/>
  <c r="Z773" i="12"/>
  <c r="AG772" i="12"/>
  <c r="AF772" i="12"/>
  <c r="Z772" i="12"/>
  <c r="AG771" i="12"/>
  <c r="AF771" i="12"/>
  <c r="Z771" i="12"/>
  <c r="AG770" i="12"/>
  <c r="AF770" i="12"/>
  <c r="Z770" i="12"/>
  <c r="AG769" i="12"/>
  <c r="AF769" i="12"/>
  <c r="Z769" i="12"/>
  <c r="AG768" i="12"/>
  <c r="AF768" i="12"/>
  <c r="Z768" i="12"/>
  <c r="AG767" i="12"/>
  <c r="AF767" i="12"/>
  <c r="Z767" i="12"/>
  <c r="AG766" i="12"/>
  <c r="AF766" i="12"/>
  <c r="Z766" i="12"/>
  <c r="AG765" i="12"/>
  <c r="AF765" i="12"/>
  <c r="Z765" i="12"/>
  <c r="AG764" i="12"/>
  <c r="AF764" i="12"/>
  <c r="Z764" i="12"/>
  <c r="AG763" i="12"/>
  <c r="AF763" i="12"/>
  <c r="Z763" i="12"/>
  <c r="AG762" i="12"/>
  <c r="AF762" i="12"/>
  <c r="Z762" i="12"/>
  <c r="AG761" i="12"/>
  <c r="AF761" i="12"/>
  <c r="Z761" i="12"/>
  <c r="AG760" i="12"/>
  <c r="AF760" i="12"/>
  <c r="Z760" i="12"/>
  <c r="AG759" i="12"/>
  <c r="AF759" i="12"/>
  <c r="Z759" i="12"/>
  <c r="AG758" i="12"/>
  <c r="AF758" i="12"/>
  <c r="Z758" i="12"/>
  <c r="AG757" i="12"/>
  <c r="AF757" i="12"/>
  <c r="Z757" i="12"/>
  <c r="AG756" i="12"/>
  <c r="AF756" i="12"/>
  <c r="Z756" i="12"/>
  <c r="AG755" i="12"/>
  <c r="AF755" i="12"/>
  <c r="Z755" i="12"/>
  <c r="AG754" i="12"/>
  <c r="AF754" i="12"/>
  <c r="Z754" i="12"/>
  <c r="AG753" i="12"/>
  <c r="AF753" i="12"/>
  <c r="Z753" i="12"/>
  <c r="AG752" i="12"/>
  <c r="AF752" i="12"/>
  <c r="Z752" i="12"/>
  <c r="AG751" i="12"/>
  <c r="AF751" i="12"/>
  <c r="Z751" i="12"/>
  <c r="AG750" i="12"/>
  <c r="AF750" i="12"/>
  <c r="Z750" i="12"/>
  <c r="AG749" i="12"/>
  <c r="AF749" i="12"/>
  <c r="Z749" i="12"/>
  <c r="AG748" i="12"/>
  <c r="AF748" i="12"/>
  <c r="Z748" i="12"/>
  <c r="AG747" i="12"/>
  <c r="AF747" i="12"/>
  <c r="Z747" i="12"/>
  <c r="AG746" i="12"/>
  <c r="AF746" i="12"/>
  <c r="Z746" i="12"/>
  <c r="AG745" i="12"/>
  <c r="AF745" i="12"/>
  <c r="Z745" i="12"/>
  <c r="AG744" i="12"/>
  <c r="AF744" i="12"/>
  <c r="Z744" i="12"/>
  <c r="AG743" i="12"/>
  <c r="AF743" i="12"/>
  <c r="Z743" i="12"/>
  <c r="AG742" i="12"/>
  <c r="AF742" i="12"/>
  <c r="Z742" i="12"/>
  <c r="AG741" i="12"/>
  <c r="AF741" i="12"/>
  <c r="Z741" i="12"/>
  <c r="AG740" i="12"/>
  <c r="AF740" i="12"/>
  <c r="Z740" i="12"/>
  <c r="AG739" i="12"/>
  <c r="AF739" i="12"/>
  <c r="Z739" i="12"/>
  <c r="AG738" i="12"/>
  <c r="AF738" i="12"/>
  <c r="Z738" i="12"/>
  <c r="AG737" i="12"/>
  <c r="AF737" i="12"/>
  <c r="Z737" i="12"/>
  <c r="AG736" i="12"/>
  <c r="AF736" i="12"/>
  <c r="Z736" i="12"/>
  <c r="AG735" i="12"/>
  <c r="AF735" i="12"/>
  <c r="Z735" i="12"/>
  <c r="AG734" i="12"/>
  <c r="AF734" i="12"/>
  <c r="Z734" i="12"/>
  <c r="AG733" i="12"/>
  <c r="AF733" i="12"/>
  <c r="Z733" i="12"/>
  <c r="AG732" i="12"/>
  <c r="AF732" i="12"/>
  <c r="Z732" i="12"/>
  <c r="AG731" i="12"/>
  <c r="AF731" i="12"/>
  <c r="Z731" i="12"/>
  <c r="AG730" i="12"/>
  <c r="AF730" i="12"/>
  <c r="Z730" i="12"/>
  <c r="AG729" i="12"/>
  <c r="AF729" i="12"/>
  <c r="Z729" i="12"/>
  <c r="AG728" i="12"/>
  <c r="AF728" i="12"/>
  <c r="Z728" i="12"/>
  <c r="AG727" i="12"/>
  <c r="AF727" i="12"/>
  <c r="Z727" i="12"/>
  <c r="AG726" i="12"/>
  <c r="AF726" i="12"/>
  <c r="Z726" i="12"/>
  <c r="AG725" i="12"/>
  <c r="AF725" i="12"/>
  <c r="Z725" i="12"/>
  <c r="AG724" i="12"/>
  <c r="AF724" i="12"/>
  <c r="Z724" i="12"/>
  <c r="AG723" i="12"/>
  <c r="AF723" i="12"/>
  <c r="Z723" i="12"/>
  <c r="AG722" i="12"/>
  <c r="AF722" i="12"/>
  <c r="Z722" i="12"/>
  <c r="AG721" i="12"/>
  <c r="AF721" i="12"/>
  <c r="Z721" i="12"/>
  <c r="AG720" i="12"/>
  <c r="AF720" i="12"/>
  <c r="Z720" i="12"/>
  <c r="AG719" i="12"/>
  <c r="AF719" i="12"/>
  <c r="Z719" i="12"/>
  <c r="AG718" i="12"/>
  <c r="AF718" i="12"/>
  <c r="Z718" i="12"/>
  <c r="AG717" i="12"/>
  <c r="AF717" i="12"/>
  <c r="Z717" i="12"/>
  <c r="AG716" i="12"/>
  <c r="AF716" i="12"/>
  <c r="Z716" i="12"/>
  <c r="AG715" i="12"/>
  <c r="AF715" i="12"/>
  <c r="Z715" i="12"/>
  <c r="AG714" i="12"/>
  <c r="AF714" i="12"/>
  <c r="Z714" i="12"/>
  <c r="AG713" i="12"/>
  <c r="AF713" i="12"/>
  <c r="Z713" i="12"/>
  <c r="AG712" i="12"/>
  <c r="AF712" i="12"/>
  <c r="Z712" i="12"/>
  <c r="AG711" i="12"/>
  <c r="AF711" i="12"/>
  <c r="Z711" i="12"/>
  <c r="AG710" i="12"/>
  <c r="AF710" i="12"/>
  <c r="Z710" i="12"/>
  <c r="AG709" i="12"/>
  <c r="AF709" i="12"/>
  <c r="Z709" i="12"/>
  <c r="AG708" i="12"/>
  <c r="AF708" i="12"/>
  <c r="Z708" i="12"/>
  <c r="AG707" i="12"/>
  <c r="AF707" i="12"/>
  <c r="Z707" i="12"/>
  <c r="AG706" i="12"/>
  <c r="AF706" i="12"/>
  <c r="Z706" i="12"/>
  <c r="AG705" i="12"/>
  <c r="AF705" i="12"/>
  <c r="Z705" i="12"/>
  <c r="AG704" i="12"/>
  <c r="AF704" i="12"/>
  <c r="Z704" i="12"/>
  <c r="AG703" i="12"/>
  <c r="AF703" i="12"/>
  <c r="Z703" i="12"/>
  <c r="AG702" i="12"/>
  <c r="AF702" i="12"/>
  <c r="Z702" i="12"/>
  <c r="AG701" i="12"/>
  <c r="AF701" i="12"/>
  <c r="Z701" i="12"/>
  <c r="AG700" i="12"/>
  <c r="AF700" i="12"/>
  <c r="Z700" i="12"/>
  <c r="AG699" i="12"/>
  <c r="AF699" i="12"/>
  <c r="Z699" i="12"/>
  <c r="AG698" i="12"/>
  <c r="AF698" i="12"/>
  <c r="Z698" i="12"/>
  <c r="AG697" i="12"/>
  <c r="AF697" i="12"/>
  <c r="Z697" i="12"/>
  <c r="AG696" i="12"/>
  <c r="AF696" i="12"/>
  <c r="Z696" i="12"/>
  <c r="AG695" i="12"/>
  <c r="AF695" i="12"/>
  <c r="Z695" i="12"/>
  <c r="AG694" i="12"/>
  <c r="AF694" i="12"/>
  <c r="Z694" i="12"/>
  <c r="AG693" i="12"/>
  <c r="AF693" i="12"/>
  <c r="Z693" i="12"/>
  <c r="AG692" i="12"/>
  <c r="AF692" i="12"/>
  <c r="Z692" i="12"/>
  <c r="AG691" i="12"/>
  <c r="AF691" i="12"/>
  <c r="Z691" i="12"/>
  <c r="AG690" i="12"/>
  <c r="AF690" i="12"/>
  <c r="Z690" i="12"/>
  <c r="AG689" i="12"/>
  <c r="AF689" i="12"/>
  <c r="Z689" i="12"/>
  <c r="AG688" i="12"/>
  <c r="AF688" i="12"/>
  <c r="Z688" i="12"/>
  <c r="AG687" i="12"/>
  <c r="AF687" i="12"/>
  <c r="Z687" i="12"/>
  <c r="AG686" i="12"/>
  <c r="AF686" i="12"/>
  <c r="Z686" i="12"/>
  <c r="AG685" i="12"/>
  <c r="AF685" i="12"/>
  <c r="Z685" i="12"/>
  <c r="AG684" i="12"/>
  <c r="AF684" i="12"/>
  <c r="Z684" i="12"/>
  <c r="AG683" i="12"/>
  <c r="AF683" i="12"/>
  <c r="Z683" i="12"/>
  <c r="AG682" i="12"/>
  <c r="AF682" i="12"/>
  <c r="Z682" i="12"/>
  <c r="AG681" i="12"/>
  <c r="AF681" i="12"/>
  <c r="Z681" i="12"/>
  <c r="AG680" i="12"/>
  <c r="AF680" i="12"/>
  <c r="Z680" i="12"/>
  <c r="AG679" i="12"/>
  <c r="AF679" i="12"/>
  <c r="Z679" i="12"/>
  <c r="AG678" i="12"/>
  <c r="AF678" i="12"/>
  <c r="Z678" i="12"/>
  <c r="AG677" i="12"/>
  <c r="AF677" i="12"/>
  <c r="Z677" i="12"/>
  <c r="AG676" i="12"/>
  <c r="AF676" i="12"/>
  <c r="Z676" i="12"/>
  <c r="AG675" i="12"/>
  <c r="AF675" i="12"/>
  <c r="Z675" i="12"/>
  <c r="AG674" i="12"/>
  <c r="AF674" i="12"/>
  <c r="Z674" i="12"/>
  <c r="AG673" i="12"/>
  <c r="AF673" i="12"/>
  <c r="Z673" i="12"/>
  <c r="AG672" i="12"/>
  <c r="AF672" i="12"/>
  <c r="Z672" i="12"/>
  <c r="AG671" i="12"/>
  <c r="AF671" i="12"/>
  <c r="Z671" i="12"/>
  <c r="AG670" i="12"/>
  <c r="AF670" i="12"/>
  <c r="Z670" i="12"/>
  <c r="AG669" i="12"/>
  <c r="AF669" i="12"/>
  <c r="Z669" i="12"/>
  <c r="AG668" i="12"/>
  <c r="AF668" i="12"/>
  <c r="Z668" i="12"/>
  <c r="AG667" i="12"/>
  <c r="AF667" i="12"/>
  <c r="Z667" i="12"/>
  <c r="AG666" i="12"/>
  <c r="AF666" i="12"/>
  <c r="Z666" i="12"/>
  <c r="AG665" i="12"/>
  <c r="AF665" i="12"/>
  <c r="Z665" i="12"/>
  <c r="AG664" i="12"/>
  <c r="AF664" i="12"/>
  <c r="Z664" i="12"/>
  <c r="AG663" i="12"/>
  <c r="AF663" i="12"/>
  <c r="Z663" i="12"/>
  <c r="AG662" i="12"/>
  <c r="AF662" i="12"/>
  <c r="Z662" i="12"/>
  <c r="AG661" i="12"/>
  <c r="AF661" i="12"/>
  <c r="Z661" i="12"/>
  <c r="AG660" i="12"/>
  <c r="AF660" i="12"/>
  <c r="Z660" i="12"/>
  <c r="AG659" i="12"/>
  <c r="AF659" i="12"/>
  <c r="Z659" i="12"/>
  <c r="AG658" i="12"/>
  <c r="AF658" i="12"/>
  <c r="Z658" i="12"/>
  <c r="AG657" i="12"/>
  <c r="AF657" i="12"/>
  <c r="Z657" i="12"/>
  <c r="AG656" i="12"/>
  <c r="AF656" i="12"/>
  <c r="Z656" i="12"/>
  <c r="AG655" i="12"/>
  <c r="AF655" i="12"/>
  <c r="Z655" i="12"/>
  <c r="AG654" i="12"/>
  <c r="AF654" i="12"/>
  <c r="Z654" i="12"/>
  <c r="AG653" i="12"/>
  <c r="AF653" i="12"/>
  <c r="Z653" i="12"/>
  <c r="AG652" i="12"/>
  <c r="AF652" i="12"/>
  <c r="Z652" i="12"/>
  <c r="AG651" i="12"/>
  <c r="AF651" i="12"/>
  <c r="Z651" i="12"/>
  <c r="AG650" i="12"/>
  <c r="AF650" i="12"/>
  <c r="Z650" i="12"/>
  <c r="AG649" i="12"/>
  <c r="AF649" i="12"/>
  <c r="Z649" i="12"/>
  <c r="AG648" i="12"/>
  <c r="AF648" i="12"/>
  <c r="Z648" i="12"/>
  <c r="AG647" i="12"/>
  <c r="AF647" i="12"/>
  <c r="Z647" i="12"/>
  <c r="AG646" i="12"/>
  <c r="AF646" i="12"/>
  <c r="Z646" i="12"/>
  <c r="AG645" i="12"/>
  <c r="AF645" i="12"/>
  <c r="Z645" i="12"/>
  <c r="AG644" i="12"/>
  <c r="AF644" i="12"/>
  <c r="Z644" i="12"/>
  <c r="AG643" i="12"/>
  <c r="AF643" i="12"/>
  <c r="Z643" i="12"/>
  <c r="AG642" i="12"/>
  <c r="AF642" i="12"/>
  <c r="Z642" i="12"/>
  <c r="AG641" i="12"/>
  <c r="AF641" i="12"/>
  <c r="Z641" i="12"/>
  <c r="AG640" i="12"/>
  <c r="AF640" i="12"/>
  <c r="Z640" i="12"/>
  <c r="AG639" i="12"/>
  <c r="AF639" i="12"/>
  <c r="Z639" i="12"/>
  <c r="AG638" i="12"/>
  <c r="AF638" i="12"/>
  <c r="Z638" i="12"/>
  <c r="AG637" i="12"/>
  <c r="AF637" i="12"/>
  <c r="Z637" i="12"/>
  <c r="AG636" i="12"/>
  <c r="AF636" i="12"/>
  <c r="Z636" i="12"/>
  <c r="AG635" i="12"/>
  <c r="AF635" i="12"/>
  <c r="Z635" i="12"/>
  <c r="AG634" i="12"/>
  <c r="AF634" i="12"/>
  <c r="Z634" i="12"/>
  <c r="AG633" i="12"/>
  <c r="AF633" i="12"/>
  <c r="Z633" i="12"/>
  <c r="AG632" i="12"/>
  <c r="AF632" i="12"/>
  <c r="Z632" i="12"/>
  <c r="AG631" i="12"/>
  <c r="AF631" i="12"/>
  <c r="Z631" i="12"/>
  <c r="AG630" i="12"/>
  <c r="AF630" i="12"/>
  <c r="Z630" i="12"/>
  <c r="AG629" i="12"/>
  <c r="AF629" i="12"/>
  <c r="Z629" i="12"/>
  <c r="AG628" i="12"/>
  <c r="AF628" i="12"/>
  <c r="Z628" i="12"/>
  <c r="AG627" i="12"/>
  <c r="AF627" i="12"/>
  <c r="Z627" i="12"/>
  <c r="AG626" i="12"/>
  <c r="AF626" i="12"/>
  <c r="Z626" i="12"/>
  <c r="AG625" i="12"/>
  <c r="AF625" i="12"/>
  <c r="Z625" i="12"/>
  <c r="AG624" i="12"/>
  <c r="AF624" i="12"/>
  <c r="Z624" i="12"/>
  <c r="AG623" i="12"/>
  <c r="AF623" i="12"/>
  <c r="Z623" i="12"/>
  <c r="AG622" i="12"/>
  <c r="AF622" i="12"/>
  <c r="Z622" i="12"/>
  <c r="AG621" i="12"/>
  <c r="AF621" i="12"/>
  <c r="Z621" i="12"/>
  <c r="AG620" i="12"/>
  <c r="AF620" i="12"/>
  <c r="Z620" i="12"/>
  <c r="AG619" i="12"/>
  <c r="AF619" i="12"/>
  <c r="Z619" i="12"/>
  <c r="AG618" i="12"/>
  <c r="AF618" i="12"/>
  <c r="Z618" i="12"/>
  <c r="AG617" i="12"/>
  <c r="AF617" i="12"/>
  <c r="Z617" i="12"/>
  <c r="AG616" i="12"/>
  <c r="AF616" i="12"/>
  <c r="Z616" i="12"/>
  <c r="AG615" i="12"/>
  <c r="AF615" i="12"/>
  <c r="Z615" i="12"/>
  <c r="AG614" i="12"/>
  <c r="AF614" i="12"/>
  <c r="Z614" i="12"/>
  <c r="AG613" i="12"/>
  <c r="AF613" i="12"/>
  <c r="Z613" i="12"/>
  <c r="AG612" i="12"/>
  <c r="AF612" i="12"/>
  <c r="Z612" i="12"/>
  <c r="AG611" i="12"/>
  <c r="AF611" i="12"/>
  <c r="Z611" i="12"/>
  <c r="AG610" i="12"/>
  <c r="AF610" i="12"/>
  <c r="Z610" i="12"/>
  <c r="AG609" i="12"/>
  <c r="AF609" i="12"/>
  <c r="Z609" i="12"/>
  <c r="AG608" i="12"/>
  <c r="AF608" i="12"/>
  <c r="Z608" i="12"/>
  <c r="AG607" i="12"/>
  <c r="AF607" i="12"/>
  <c r="Z607" i="12"/>
  <c r="AG606" i="12"/>
  <c r="AF606" i="12"/>
  <c r="Z606" i="12"/>
  <c r="AG605" i="12"/>
  <c r="AF605" i="12"/>
  <c r="Z605" i="12"/>
  <c r="AG604" i="12"/>
  <c r="AF604" i="12"/>
  <c r="Z604" i="12"/>
  <c r="AG603" i="12"/>
  <c r="AF603" i="12"/>
  <c r="Z603" i="12"/>
  <c r="AG602" i="12"/>
  <c r="AF602" i="12"/>
  <c r="Z602" i="12"/>
  <c r="AG601" i="12"/>
  <c r="AF601" i="12"/>
  <c r="Z601" i="12"/>
  <c r="AG600" i="12"/>
  <c r="AF600" i="12"/>
  <c r="Z600" i="12"/>
  <c r="AG599" i="12"/>
  <c r="AF599" i="12"/>
  <c r="Z599" i="12"/>
  <c r="AG598" i="12"/>
  <c r="AF598" i="12"/>
  <c r="Z598" i="12"/>
  <c r="AG597" i="12"/>
  <c r="AF597" i="12"/>
  <c r="Z597" i="12"/>
  <c r="AG596" i="12"/>
  <c r="AF596" i="12"/>
  <c r="Z596" i="12"/>
  <c r="AG595" i="12"/>
  <c r="AF595" i="12"/>
  <c r="Z595" i="12"/>
  <c r="AG594" i="12"/>
  <c r="AF594" i="12"/>
  <c r="Z594" i="12"/>
  <c r="AG593" i="12"/>
  <c r="AF593" i="12"/>
  <c r="Z593" i="12"/>
  <c r="AG592" i="12"/>
  <c r="AF592" i="12"/>
  <c r="Z592" i="12"/>
  <c r="AG591" i="12"/>
  <c r="AF591" i="12"/>
  <c r="Z591" i="12"/>
  <c r="AG590" i="12"/>
  <c r="AF590" i="12"/>
  <c r="Z590" i="12"/>
  <c r="AG589" i="12"/>
  <c r="AF589" i="12"/>
  <c r="Z589" i="12"/>
  <c r="AG588" i="12"/>
  <c r="AF588" i="12"/>
  <c r="Z588" i="12"/>
  <c r="AG587" i="12"/>
  <c r="AF587" i="12"/>
  <c r="Z587" i="12"/>
  <c r="AG586" i="12"/>
  <c r="AF586" i="12"/>
  <c r="Z586" i="12"/>
  <c r="AG585" i="12"/>
  <c r="AF585" i="12"/>
  <c r="Z585" i="12"/>
  <c r="AG584" i="12"/>
  <c r="AF584" i="12"/>
  <c r="Z584" i="12"/>
  <c r="AG583" i="12"/>
  <c r="AF583" i="12"/>
  <c r="Z583" i="12"/>
  <c r="AG582" i="12"/>
  <c r="AF582" i="12"/>
  <c r="Z582" i="12"/>
  <c r="AG581" i="12"/>
  <c r="AF581" i="12"/>
  <c r="Z581" i="12"/>
  <c r="AG580" i="12"/>
  <c r="AF580" i="12"/>
  <c r="Z580" i="12"/>
  <c r="AG579" i="12"/>
  <c r="AF579" i="12"/>
  <c r="Z579" i="12"/>
  <c r="AG578" i="12"/>
  <c r="AF578" i="12"/>
  <c r="Z578" i="12"/>
  <c r="AG577" i="12"/>
  <c r="AF577" i="12"/>
  <c r="Z577" i="12"/>
  <c r="AG576" i="12"/>
  <c r="AF576" i="12"/>
  <c r="Z576" i="12"/>
  <c r="AG575" i="12"/>
  <c r="AF575" i="12"/>
  <c r="Z575" i="12"/>
  <c r="AG574" i="12"/>
  <c r="AF574" i="12"/>
  <c r="Z574" i="12"/>
  <c r="AG573" i="12"/>
  <c r="AF573" i="12"/>
  <c r="Z573" i="12"/>
  <c r="AG572" i="12"/>
  <c r="AF572" i="12"/>
  <c r="Z572" i="12"/>
  <c r="AG571" i="12"/>
  <c r="AF571" i="12"/>
  <c r="Z571" i="12"/>
  <c r="AG570" i="12"/>
  <c r="AF570" i="12"/>
  <c r="Z570" i="12"/>
  <c r="AG569" i="12"/>
  <c r="AF569" i="12"/>
  <c r="Z569" i="12"/>
  <c r="AG568" i="12"/>
  <c r="AF568" i="12"/>
  <c r="Z568" i="12"/>
  <c r="AG567" i="12"/>
  <c r="AF567" i="12"/>
  <c r="Z567" i="12"/>
  <c r="AG566" i="12"/>
  <c r="AF566" i="12"/>
  <c r="Z566" i="12"/>
  <c r="AG565" i="12"/>
  <c r="AF565" i="12"/>
  <c r="Z565" i="12"/>
  <c r="AG564" i="12"/>
  <c r="AF564" i="12"/>
  <c r="Z564" i="12"/>
  <c r="AG563" i="12"/>
  <c r="AF563" i="12"/>
  <c r="Z563" i="12"/>
  <c r="AG562" i="12"/>
  <c r="AF562" i="12"/>
  <c r="Z562" i="12"/>
  <c r="AG561" i="12"/>
  <c r="AF561" i="12"/>
  <c r="Z561" i="12"/>
  <c r="AG560" i="12"/>
  <c r="AF560" i="12"/>
  <c r="Z560" i="12"/>
  <c r="AG559" i="12"/>
  <c r="AF559" i="12"/>
  <c r="Z559" i="12"/>
  <c r="AG558" i="12"/>
  <c r="AF558" i="12"/>
  <c r="Z558" i="12"/>
  <c r="AG557" i="12"/>
  <c r="AF557" i="12"/>
  <c r="Z557" i="12"/>
  <c r="AG556" i="12"/>
  <c r="AF556" i="12"/>
  <c r="Z556" i="12"/>
  <c r="AG555" i="12"/>
  <c r="AF555" i="12"/>
  <c r="Z555" i="12"/>
  <c r="AG554" i="12"/>
  <c r="AF554" i="12"/>
  <c r="Z554" i="12"/>
  <c r="AG553" i="12"/>
  <c r="AF553" i="12"/>
  <c r="Z553" i="12"/>
  <c r="AG552" i="12"/>
  <c r="AF552" i="12"/>
  <c r="Z552" i="12"/>
  <c r="AG551" i="12"/>
  <c r="AF551" i="12"/>
  <c r="Z551" i="12"/>
  <c r="AG550" i="12"/>
  <c r="AF550" i="12"/>
  <c r="Z550" i="12"/>
  <c r="AG549" i="12"/>
  <c r="AF549" i="12"/>
  <c r="Z549" i="12"/>
  <c r="AG548" i="12"/>
  <c r="AF548" i="12"/>
  <c r="Z548" i="12"/>
  <c r="AG547" i="12"/>
  <c r="AF547" i="12"/>
  <c r="Z547" i="12"/>
  <c r="AG546" i="12"/>
  <c r="AF546" i="12"/>
  <c r="Z546" i="12"/>
  <c r="AG545" i="12"/>
  <c r="AF545" i="12"/>
  <c r="Z545" i="12"/>
  <c r="AG544" i="12"/>
  <c r="AF544" i="12"/>
  <c r="Z544" i="12"/>
  <c r="AG543" i="12"/>
  <c r="AF543" i="12"/>
  <c r="Z543" i="12"/>
  <c r="AG542" i="12"/>
  <c r="AF542" i="12"/>
  <c r="Z542" i="12"/>
  <c r="AG541" i="12"/>
  <c r="AF541" i="12"/>
  <c r="Z541" i="12"/>
  <c r="AG540" i="12"/>
  <c r="AF540" i="12"/>
  <c r="Z540" i="12"/>
  <c r="AG539" i="12"/>
  <c r="AF539" i="12"/>
  <c r="Z539" i="12"/>
  <c r="AG538" i="12"/>
  <c r="AF538" i="12"/>
  <c r="Z538" i="12"/>
  <c r="AG537" i="12"/>
  <c r="AF537" i="12"/>
  <c r="Z537" i="12"/>
  <c r="AG536" i="12"/>
  <c r="AF536" i="12"/>
  <c r="Z536" i="12"/>
  <c r="AG535" i="12"/>
  <c r="AF535" i="12"/>
  <c r="Z535" i="12"/>
  <c r="AG534" i="12"/>
  <c r="AF534" i="12"/>
  <c r="Z534" i="12"/>
  <c r="AG533" i="12"/>
  <c r="AF533" i="12"/>
  <c r="Z533" i="12"/>
  <c r="AG532" i="12"/>
  <c r="AF532" i="12"/>
  <c r="Z532" i="12"/>
  <c r="AG531" i="12"/>
  <c r="AF531" i="12"/>
  <c r="Z531" i="12"/>
  <c r="AG530" i="12"/>
  <c r="AF530" i="12"/>
  <c r="Z530" i="12"/>
  <c r="AG529" i="12"/>
  <c r="AF529" i="12"/>
  <c r="Z529" i="12"/>
  <c r="AG528" i="12"/>
  <c r="AF528" i="12"/>
  <c r="Z528" i="12"/>
  <c r="AG527" i="12"/>
  <c r="AF527" i="12"/>
  <c r="Z527" i="12"/>
  <c r="AG526" i="12"/>
  <c r="AF526" i="12"/>
  <c r="Z526" i="12"/>
  <c r="AG525" i="12"/>
  <c r="AF525" i="12"/>
  <c r="Z525" i="12"/>
  <c r="AG524" i="12"/>
  <c r="AF524" i="12"/>
  <c r="Z524" i="12"/>
  <c r="AG523" i="12"/>
  <c r="AF523" i="12"/>
  <c r="Z523" i="12"/>
  <c r="AG522" i="12"/>
  <c r="AF522" i="12"/>
  <c r="Z522" i="12"/>
  <c r="AG521" i="12"/>
  <c r="AF521" i="12"/>
  <c r="Z521" i="12"/>
  <c r="AG520" i="12"/>
  <c r="AF520" i="12"/>
  <c r="Z520" i="12"/>
  <c r="AG519" i="12"/>
  <c r="AF519" i="12"/>
  <c r="Z519" i="12"/>
  <c r="AG518" i="12"/>
  <c r="AF518" i="12"/>
  <c r="Z518" i="12"/>
  <c r="AG517" i="12"/>
  <c r="AF517" i="12"/>
  <c r="Z517" i="12"/>
  <c r="AG516" i="12"/>
  <c r="AF516" i="12"/>
  <c r="Z516" i="12"/>
  <c r="AG515" i="12"/>
  <c r="AF515" i="12"/>
  <c r="Z515" i="12"/>
  <c r="AG514" i="12"/>
  <c r="AF514" i="12"/>
  <c r="Z514" i="12"/>
  <c r="AG513" i="12"/>
  <c r="AF513" i="12"/>
  <c r="Z513" i="12"/>
  <c r="AG512" i="12"/>
  <c r="AF512" i="12"/>
  <c r="Z512" i="12"/>
  <c r="AG511" i="12"/>
  <c r="AF511" i="12"/>
  <c r="Z511" i="12"/>
  <c r="AG510" i="12"/>
  <c r="AF510" i="12"/>
  <c r="Z510" i="12"/>
  <c r="AG509" i="12"/>
  <c r="AF509" i="12"/>
  <c r="Z509" i="12"/>
  <c r="AG508" i="12"/>
  <c r="AF508" i="12"/>
  <c r="Z508" i="12"/>
  <c r="AG507" i="12"/>
  <c r="AF507" i="12"/>
  <c r="Z507" i="12"/>
  <c r="AG506" i="12"/>
  <c r="AF506" i="12"/>
  <c r="Z506" i="12"/>
  <c r="AG505" i="12"/>
  <c r="AF505" i="12"/>
  <c r="Z505" i="12"/>
  <c r="AG504" i="12"/>
  <c r="AF504" i="12"/>
  <c r="Z504" i="12"/>
  <c r="AG503" i="12"/>
  <c r="AF503" i="12"/>
  <c r="Z503" i="12"/>
  <c r="AG502" i="12"/>
  <c r="AF502" i="12"/>
  <c r="Z502" i="12"/>
  <c r="AG501" i="12"/>
  <c r="AF501" i="12"/>
  <c r="Z501" i="12"/>
  <c r="AG500" i="12"/>
  <c r="AF500" i="12"/>
  <c r="Z500" i="12"/>
  <c r="AG499" i="12"/>
  <c r="AF499" i="12"/>
  <c r="Z499" i="12"/>
  <c r="AG498" i="12"/>
  <c r="AF498" i="12"/>
  <c r="Z498" i="12"/>
  <c r="AG497" i="12"/>
  <c r="AF497" i="12"/>
  <c r="Z497" i="12"/>
  <c r="AG496" i="12"/>
  <c r="AF496" i="12"/>
  <c r="Z496" i="12"/>
  <c r="AG495" i="12"/>
  <c r="AF495" i="12"/>
  <c r="Z495" i="12"/>
  <c r="AG494" i="12"/>
  <c r="AF494" i="12"/>
  <c r="Z494" i="12"/>
  <c r="AG493" i="12"/>
  <c r="AF493" i="12"/>
  <c r="Z493" i="12"/>
  <c r="AG492" i="12"/>
  <c r="AF492" i="12"/>
  <c r="Z492" i="12"/>
  <c r="AG491" i="12"/>
  <c r="AF491" i="12"/>
  <c r="Z491" i="12"/>
  <c r="AG490" i="12"/>
  <c r="AF490" i="12"/>
  <c r="Z490" i="12"/>
  <c r="AG489" i="12"/>
  <c r="AF489" i="12"/>
  <c r="Z489" i="12"/>
  <c r="AG488" i="12"/>
  <c r="AF488" i="12"/>
  <c r="Z488" i="12"/>
  <c r="AG487" i="12"/>
  <c r="AF487" i="12"/>
  <c r="Z487" i="12"/>
  <c r="AG486" i="12"/>
  <c r="AF486" i="12"/>
  <c r="Z486" i="12"/>
  <c r="AG485" i="12"/>
  <c r="AF485" i="12"/>
  <c r="Z485" i="12"/>
  <c r="AG484" i="12"/>
  <c r="AF484" i="12"/>
  <c r="Z484" i="12"/>
  <c r="AG483" i="12"/>
  <c r="AF483" i="12"/>
  <c r="Z483" i="12"/>
  <c r="AG482" i="12"/>
  <c r="AF482" i="12"/>
  <c r="Z482" i="12"/>
  <c r="AG481" i="12"/>
  <c r="AF481" i="12"/>
  <c r="Z481" i="12"/>
  <c r="AG480" i="12"/>
  <c r="AF480" i="12"/>
  <c r="Z480" i="12"/>
  <c r="AG479" i="12"/>
  <c r="AF479" i="12"/>
  <c r="Z479" i="12"/>
  <c r="AG478" i="12"/>
  <c r="AF478" i="12"/>
  <c r="Z478" i="12"/>
  <c r="AG477" i="12"/>
  <c r="AF477" i="12"/>
  <c r="Z477" i="12"/>
  <c r="AG476" i="12"/>
  <c r="AF476" i="12"/>
  <c r="Z476" i="12"/>
  <c r="AG475" i="12"/>
  <c r="AF475" i="12"/>
  <c r="Z475" i="12"/>
  <c r="AG474" i="12"/>
  <c r="AF474" i="12"/>
  <c r="Z474" i="12"/>
  <c r="AG473" i="12"/>
  <c r="AF473" i="12"/>
  <c r="Z473" i="12"/>
  <c r="AG472" i="12"/>
  <c r="AF472" i="12"/>
  <c r="Z472" i="12"/>
  <c r="AG471" i="12"/>
  <c r="AF471" i="12"/>
  <c r="Z471" i="12"/>
  <c r="AG470" i="12"/>
  <c r="AF470" i="12"/>
  <c r="Z470" i="12"/>
  <c r="AG469" i="12"/>
  <c r="AF469" i="12"/>
  <c r="Z469" i="12"/>
  <c r="AG468" i="12"/>
  <c r="AF468" i="12"/>
  <c r="Z468" i="12"/>
  <c r="AG467" i="12"/>
  <c r="AF467" i="12"/>
  <c r="Z467" i="12"/>
  <c r="AG466" i="12"/>
  <c r="AF466" i="12"/>
  <c r="Z466" i="12"/>
  <c r="AG465" i="12"/>
  <c r="AF465" i="12"/>
  <c r="Z465" i="12"/>
  <c r="AG464" i="12"/>
  <c r="AF464" i="12"/>
  <c r="Z464" i="12"/>
  <c r="AG463" i="12"/>
  <c r="AF463" i="12"/>
  <c r="Z463" i="12"/>
  <c r="AG462" i="12"/>
  <c r="AF462" i="12"/>
  <c r="Z462" i="12"/>
  <c r="AG461" i="12"/>
  <c r="AF461" i="12"/>
  <c r="Z461" i="12"/>
  <c r="AG460" i="12"/>
  <c r="AF460" i="12"/>
  <c r="Z460" i="12"/>
  <c r="AG459" i="12"/>
  <c r="AF459" i="12"/>
  <c r="Z459" i="12"/>
  <c r="AG458" i="12"/>
  <c r="AF458" i="12"/>
  <c r="Z458" i="12"/>
  <c r="AG457" i="12"/>
  <c r="AF457" i="12"/>
  <c r="Z457" i="12"/>
  <c r="AG456" i="12"/>
  <c r="AF456" i="12"/>
  <c r="Z456" i="12"/>
  <c r="AG455" i="12"/>
  <c r="AF455" i="12"/>
  <c r="Z455" i="12"/>
  <c r="AG454" i="12"/>
  <c r="AF454" i="12"/>
  <c r="Z454" i="12"/>
  <c r="AG453" i="12"/>
  <c r="AF453" i="12"/>
  <c r="Z453" i="12"/>
  <c r="AG452" i="12"/>
  <c r="AF452" i="12"/>
  <c r="Z452" i="12"/>
  <c r="AG451" i="12"/>
  <c r="AF451" i="12"/>
  <c r="Z451" i="12"/>
  <c r="AG450" i="12"/>
  <c r="AF450" i="12"/>
  <c r="Z450" i="12"/>
  <c r="AG449" i="12"/>
  <c r="AF449" i="12"/>
  <c r="Z449" i="12"/>
  <c r="AG448" i="12"/>
  <c r="AF448" i="12"/>
  <c r="Z448" i="12"/>
  <c r="AG447" i="12"/>
  <c r="AF447" i="12"/>
  <c r="Z447" i="12"/>
  <c r="AG446" i="12"/>
  <c r="AF446" i="12"/>
  <c r="Z446" i="12"/>
  <c r="AG445" i="12"/>
  <c r="AF445" i="12"/>
  <c r="Z445" i="12"/>
  <c r="AG444" i="12"/>
  <c r="AF444" i="12"/>
  <c r="Z444" i="12"/>
  <c r="AG443" i="12"/>
  <c r="AF443" i="12"/>
  <c r="Z443" i="12"/>
  <c r="AG442" i="12"/>
  <c r="AF442" i="12"/>
  <c r="Z442" i="12"/>
  <c r="AG441" i="12"/>
  <c r="AF441" i="12"/>
  <c r="Z441" i="12"/>
  <c r="AG440" i="12"/>
  <c r="AF440" i="12"/>
  <c r="Z440" i="12"/>
  <c r="AG439" i="12"/>
  <c r="AF439" i="12"/>
  <c r="Z439" i="12"/>
  <c r="AG438" i="12"/>
  <c r="AF438" i="12"/>
  <c r="Z438" i="12"/>
  <c r="AG437" i="12"/>
  <c r="AF437" i="12"/>
  <c r="Z437" i="12"/>
  <c r="AG436" i="12"/>
  <c r="AF436" i="12"/>
  <c r="Z436" i="12"/>
  <c r="AG435" i="12"/>
  <c r="AF435" i="12"/>
  <c r="Z435" i="12"/>
  <c r="AG434" i="12"/>
  <c r="AF434" i="12"/>
  <c r="Z434" i="12"/>
  <c r="AG433" i="12"/>
  <c r="AF433" i="12"/>
  <c r="Z433" i="12"/>
  <c r="AG432" i="12"/>
  <c r="AF432" i="12"/>
  <c r="Z432" i="12"/>
  <c r="AG431" i="12"/>
  <c r="AF431" i="12"/>
  <c r="Z431" i="12"/>
  <c r="AG430" i="12"/>
  <c r="AF430" i="12"/>
  <c r="Z430" i="12"/>
  <c r="AG429" i="12"/>
  <c r="AF429" i="12"/>
  <c r="Z429" i="12"/>
  <c r="AG428" i="12"/>
  <c r="AF428" i="12"/>
  <c r="Z428" i="12"/>
  <c r="AG427" i="12"/>
  <c r="AF427" i="12"/>
  <c r="Z427" i="12"/>
  <c r="AG426" i="12"/>
  <c r="AF426" i="12"/>
  <c r="Z426" i="12"/>
  <c r="AG425" i="12"/>
  <c r="AF425" i="12"/>
  <c r="Z425" i="12"/>
  <c r="AG424" i="12"/>
  <c r="AF424" i="12"/>
  <c r="Z424" i="12"/>
  <c r="AG423" i="12"/>
  <c r="AF423" i="12"/>
  <c r="Z423" i="12"/>
  <c r="AG422" i="12"/>
  <c r="AF422" i="12"/>
  <c r="Z422" i="12"/>
  <c r="AG421" i="12"/>
  <c r="AF421" i="12"/>
  <c r="Z421" i="12"/>
  <c r="AG420" i="12"/>
  <c r="AF420" i="12"/>
  <c r="Z420" i="12"/>
  <c r="AG419" i="12"/>
  <c r="AF419" i="12"/>
  <c r="Z419" i="12"/>
  <c r="AG418" i="12"/>
  <c r="AF418" i="12"/>
  <c r="Z418" i="12"/>
  <c r="AG417" i="12"/>
  <c r="AF417" i="12"/>
  <c r="Z417" i="12"/>
  <c r="AG416" i="12"/>
  <c r="AF416" i="12"/>
  <c r="Z416" i="12"/>
  <c r="AG415" i="12"/>
  <c r="AF415" i="12"/>
  <c r="Z415" i="12"/>
  <c r="AG414" i="12"/>
  <c r="AF414" i="12"/>
  <c r="Z414" i="12"/>
  <c r="AG413" i="12"/>
  <c r="AF413" i="12"/>
  <c r="Z413" i="12"/>
  <c r="AG412" i="12"/>
  <c r="AF412" i="12"/>
  <c r="Z412" i="12"/>
  <c r="AG411" i="12"/>
  <c r="AF411" i="12"/>
  <c r="Z411" i="12"/>
  <c r="AG410" i="12"/>
  <c r="AF410" i="12"/>
  <c r="Z410" i="12"/>
  <c r="AG409" i="12"/>
  <c r="AF409" i="12"/>
  <c r="Z409" i="12"/>
  <c r="AG408" i="12"/>
  <c r="AF408" i="12"/>
  <c r="Z408" i="12"/>
  <c r="AG407" i="12"/>
  <c r="AF407" i="12"/>
  <c r="Z407" i="12"/>
  <c r="AG406" i="12"/>
  <c r="AF406" i="12"/>
  <c r="Z406" i="12"/>
  <c r="AG405" i="12"/>
  <c r="AF405" i="12"/>
  <c r="Z405" i="12"/>
  <c r="AG404" i="12"/>
  <c r="AF404" i="12"/>
  <c r="Z404" i="12"/>
  <c r="AG403" i="12"/>
  <c r="AF403" i="12"/>
  <c r="Z403" i="12"/>
  <c r="AG402" i="12"/>
  <c r="AF402" i="12"/>
  <c r="Z402" i="12"/>
  <c r="AG401" i="12"/>
  <c r="AF401" i="12"/>
  <c r="Z401" i="12"/>
  <c r="AG400" i="12"/>
  <c r="AF400" i="12"/>
  <c r="Z400" i="12"/>
  <c r="AG399" i="12"/>
  <c r="AF399" i="12"/>
  <c r="Z399" i="12"/>
  <c r="AG398" i="12"/>
  <c r="AF398" i="12"/>
  <c r="Z398" i="12"/>
  <c r="AG397" i="12"/>
  <c r="AF397" i="12"/>
  <c r="Z397" i="12"/>
  <c r="AG396" i="12"/>
  <c r="AF396" i="12"/>
  <c r="Z396" i="12"/>
  <c r="AG395" i="12"/>
  <c r="AF395" i="12"/>
  <c r="Z395" i="12"/>
  <c r="AG394" i="12"/>
  <c r="AF394" i="12"/>
  <c r="Z394" i="12"/>
  <c r="AG393" i="12"/>
  <c r="AF393" i="12"/>
  <c r="Z393" i="12"/>
  <c r="AG392" i="12"/>
  <c r="AF392" i="12"/>
  <c r="Z392" i="12"/>
  <c r="AG391" i="12"/>
  <c r="AF391" i="12"/>
  <c r="Z391" i="12"/>
  <c r="AG390" i="12"/>
  <c r="AF390" i="12"/>
  <c r="Z390" i="12"/>
  <c r="AG389" i="12"/>
  <c r="AF389" i="12"/>
  <c r="Z389" i="12"/>
  <c r="AG388" i="12"/>
  <c r="AF388" i="12"/>
  <c r="Z388" i="12"/>
  <c r="AG387" i="12"/>
  <c r="AF387" i="12"/>
  <c r="Z387" i="12"/>
  <c r="AG386" i="12"/>
  <c r="AF386" i="12"/>
  <c r="Z386" i="12"/>
  <c r="AG385" i="12"/>
  <c r="AF385" i="12"/>
  <c r="Z385" i="12"/>
  <c r="AG384" i="12"/>
  <c r="AF384" i="12"/>
  <c r="Z384" i="12"/>
  <c r="AG383" i="12"/>
  <c r="AF383" i="12"/>
  <c r="Z383" i="12"/>
  <c r="AG382" i="12"/>
  <c r="AF382" i="12"/>
  <c r="Z382" i="12"/>
  <c r="AG381" i="12"/>
  <c r="AF381" i="12"/>
  <c r="Z381" i="12"/>
  <c r="AG380" i="12"/>
  <c r="AF380" i="12"/>
  <c r="Z380" i="12"/>
  <c r="AG379" i="12"/>
  <c r="AF379" i="12"/>
  <c r="Z379" i="12"/>
  <c r="AG378" i="12"/>
  <c r="AF378" i="12"/>
  <c r="Z378" i="12"/>
  <c r="AG377" i="12"/>
  <c r="AF377" i="12"/>
  <c r="Z377" i="12"/>
  <c r="AG376" i="12"/>
  <c r="AF376" i="12"/>
  <c r="Z376" i="12"/>
  <c r="AG375" i="12"/>
  <c r="AF375" i="12"/>
  <c r="Z375" i="12"/>
  <c r="AG374" i="12"/>
  <c r="AF374" i="12"/>
  <c r="Z374" i="12"/>
  <c r="AG373" i="12"/>
  <c r="AF373" i="12"/>
  <c r="Z373" i="12"/>
  <c r="AG372" i="12"/>
  <c r="AF372" i="12"/>
  <c r="Z372" i="12"/>
  <c r="AG371" i="12"/>
  <c r="AF371" i="12"/>
  <c r="Z371" i="12"/>
  <c r="AG370" i="12"/>
  <c r="AF370" i="12"/>
  <c r="Z370" i="12"/>
  <c r="AG369" i="12"/>
  <c r="AF369" i="12"/>
  <c r="Z369" i="12"/>
  <c r="AG368" i="12"/>
  <c r="AF368" i="12"/>
  <c r="Z368" i="12"/>
  <c r="AG367" i="12"/>
  <c r="AF367" i="12"/>
  <c r="Z367" i="12"/>
  <c r="AG366" i="12"/>
  <c r="AF366" i="12"/>
  <c r="Z366" i="12"/>
  <c r="AG365" i="12"/>
  <c r="AF365" i="12"/>
  <c r="Z365" i="12"/>
  <c r="AG364" i="12"/>
  <c r="AF364" i="12"/>
  <c r="Z364" i="12"/>
  <c r="AG363" i="12"/>
  <c r="AF363" i="12"/>
  <c r="Z363" i="12"/>
  <c r="AG362" i="12"/>
  <c r="AF362" i="12"/>
  <c r="Z362" i="12"/>
  <c r="AG361" i="12"/>
  <c r="AF361" i="12"/>
  <c r="Z361" i="12"/>
  <c r="AG360" i="12"/>
  <c r="AF360" i="12"/>
  <c r="Z360" i="12"/>
  <c r="AG359" i="12"/>
  <c r="AF359" i="12"/>
  <c r="Z359" i="12"/>
  <c r="AG358" i="12"/>
  <c r="AF358" i="12"/>
  <c r="Z358" i="12"/>
  <c r="AG357" i="12"/>
  <c r="AF357" i="12"/>
  <c r="Z357" i="12"/>
  <c r="AG356" i="12"/>
  <c r="AF356" i="12"/>
  <c r="Z356" i="12"/>
  <c r="AG355" i="12"/>
  <c r="AF355" i="12"/>
  <c r="Z355" i="12"/>
  <c r="AG354" i="12"/>
  <c r="AF354" i="12"/>
  <c r="Z354" i="12"/>
  <c r="AG353" i="12"/>
  <c r="AF353" i="12"/>
  <c r="Z353" i="12"/>
  <c r="AG352" i="12"/>
  <c r="AF352" i="12"/>
  <c r="Z352" i="12"/>
  <c r="AG351" i="12"/>
  <c r="AF351" i="12"/>
  <c r="Z351" i="12"/>
  <c r="AG350" i="12"/>
  <c r="AF350" i="12"/>
  <c r="Z350" i="12"/>
  <c r="AG349" i="12"/>
  <c r="AF349" i="12"/>
  <c r="Z349" i="12"/>
  <c r="AG348" i="12"/>
  <c r="AF348" i="12"/>
  <c r="Z348" i="12"/>
  <c r="AG347" i="12"/>
  <c r="AF347" i="12"/>
  <c r="Z347" i="12"/>
  <c r="AG346" i="12"/>
  <c r="AF346" i="12"/>
  <c r="Z346" i="12"/>
  <c r="AG345" i="12"/>
  <c r="AF345" i="12"/>
  <c r="Z345" i="12"/>
  <c r="AG344" i="12"/>
  <c r="AF344" i="12"/>
  <c r="Z344" i="12"/>
  <c r="AG343" i="12"/>
  <c r="AF343" i="12"/>
  <c r="Z343" i="12"/>
  <c r="AG342" i="12"/>
  <c r="AF342" i="12"/>
  <c r="Z342" i="12"/>
  <c r="AG341" i="12"/>
  <c r="AF341" i="12"/>
  <c r="Z341" i="12"/>
  <c r="AG340" i="12"/>
  <c r="AF340" i="12"/>
  <c r="Z340" i="12"/>
  <c r="AG339" i="12"/>
  <c r="AF339" i="12"/>
  <c r="Z339" i="12"/>
  <c r="AG338" i="12"/>
  <c r="AF338" i="12"/>
  <c r="Z338" i="12"/>
  <c r="AG337" i="12"/>
  <c r="AF337" i="12"/>
  <c r="Z337" i="12"/>
  <c r="AG336" i="12"/>
  <c r="AF336" i="12"/>
  <c r="Z336" i="12"/>
  <c r="AG335" i="12"/>
  <c r="AF335" i="12"/>
  <c r="Z335" i="12"/>
  <c r="AG334" i="12"/>
  <c r="AF334" i="12"/>
  <c r="Z334" i="12"/>
  <c r="AG333" i="12"/>
  <c r="AF333" i="12"/>
  <c r="Z333" i="12"/>
  <c r="AG332" i="12"/>
  <c r="AF332" i="12"/>
  <c r="Z332" i="12"/>
  <c r="AG331" i="12"/>
  <c r="AF331" i="12"/>
  <c r="Z331" i="12"/>
  <c r="AG330" i="12"/>
  <c r="AF330" i="12"/>
  <c r="Z330" i="12"/>
  <c r="AG329" i="12"/>
  <c r="AF329" i="12"/>
  <c r="Z329" i="12"/>
  <c r="AG328" i="12"/>
  <c r="AF328" i="12"/>
  <c r="Z328" i="12"/>
  <c r="AG327" i="12"/>
  <c r="AF327" i="12"/>
  <c r="Z327" i="12"/>
  <c r="AG326" i="12"/>
  <c r="AF326" i="12"/>
  <c r="Z326" i="12"/>
  <c r="AG325" i="12"/>
  <c r="AF325" i="12"/>
  <c r="Z325" i="12"/>
  <c r="AG324" i="12"/>
  <c r="AF324" i="12"/>
  <c r="Z324" i="12"/>
  <c r="AG323" i="12"/>
  <c r="AF323" i="12"/>
  <c r="Z323" i="12"/>
  <c r="AG322" i="12"/>
  <c r="AF322" i="12"/>
  <c r="Z322" i="12"/>
  <c r="AG321" i="12"/>
  <c r="AF321" i="12"/>
  <c r="Z321" i="12"/>
  <c r="AG320" i="12"/>
  <c r="AF320" i="12"/>
  <c r="Z320" i="12"/>
  <c r="AG319" i="12"/>
  <c r="AF319" i="12"/>
  <c r="Z319" i="12"/>
  <c r="AG318" i="12"/>
  <c r="AF318" i="12"/>
  <c r="Z318" i="12"/>
  <c r="AG317" i="12"/>
  <c r="AF317" i="12"/>
  <c r="Z317" i="12"/>
  <c r="AG316" i="12"/>
  <c r="AF316" i="12"/>
  <c r="Z316" i="12"/>
  <c r="AG315" i="12"/>
  <c r="AF315" i="12"/>
  <c r="Z315" i="12"/>
  <c r="AG314" i="12"/>
  <c r="AF314" i="12"/>
  <c r="Z314" i="12"/>
  <c r="AG313" i="12"/>
  <c r="AF313" i="12"/>
  <c r="Z313" i="12"/>
  <c r="AG312" i="12"/>
  <c r="AF312" i="12"/>
  <c r="Z312" i="12"/>
  <c r="AG311" i="12"/>
  <c r="AF311" i="12"/>
  <c r="Z311" i="12"/>
  <c r="AG310" i="12"/>
  <c r="AF310" i="12"/>
  <c r="Z310" i="12"/>
  <c r="AG309" i="12"/>
  <c r="AF309" i="12"/>
  <c r="Z309" i="12"/>
  <c r="AG308" i="12"/>
  <c r="AF308" i="12"/>
  <c r="Z308" i="12"/>
  <c r="AG307" i="12"/>
  <c r="AF307" i="12"/>
  <c r="Z307" i="12"/>
  <c r="AG306" i="12"/>
  <c r="AF306" i="12"/>
  <c r="Z306" i="12"/>
  <c r="AG305" i="12"/>
  <c r="AF305" i="12"/>
  <c r="Z305" i="12"/>
  <c r="AG304" i="12"/>
  <c r="AF304" i="12"/>
  <c r="Z304" i="12"/>
  <c r="AG303" i="12"/>
  <c r="AF303" i="12"/>
  <c r="Z303" i="12"/>
  <c r="AG302" i="12"/>
  <c r="AF302" i="12"/>
  <c r="Z302" i="12"/>
  <c r="AG301" i="12"/>
  <c r="AF301" i="12"/>
  <c r="Z301" i="12"/>
  <c r="AG300" i="12"/>
  <c r="AF300" i="12"/>
  <c r="Z300" i="12"/>
  <c r="AG299" i="12"/>
  <c r="AF299" i="12"/>
  <c r="Z299" i="12"/>
  <c r="AG298" i="12"/>
  <c r="AF298" i="12"/>
  <c r="Z298" i="12"/>
  <c r="AG297" i="12"/>
  <c r="AF297" i="12"/>
  <c r="Z297" i="12"/>
  <c r="AG296" i="12"/>
  <c r="AF296" i="12"/>
  <c r="Z296" i="12"/>
  <c r="AG295" i="12"/>
  <c r="AF295" i="12"/>
  <c r="Z295" i="12"/>
  <c r="AG294" i="12"/>
  <c r="AF294" i="12"/>
  <c r="Z294" i="12"/>
  <c r="AG293" i="12"/>
  <c r="AF293" i="12"/>
  <c r="Z293" i="12"/>
  <c r="AG292" i="12"/>
  <c r="AF292" i="12"/>
  <c r="Z292" i="12"/>
  <c r="AG291" i="12"/>
  <c r="AF291" i="12"/>
  <c r="Z291" i="12"/>
  <c r="AG290" i="12"/>
  <c r="AF290" i="12"/>
  <c r="Z290" i="12"/>
  <c r="AG289" i="12"/>
  <c r="AF289" i="12"/>
  <c r="Z289" i="12"/>
  <c r="AG288" i="12"/>
  <c r="AF288" i="12"/>
  <c r="Z288" i="12"/>
  <c r="AG287" i="12"/>
  <c r="AF287" i="12"/>
  <c r="Z287" i="12"/>
  <c r="AG286" i="12"/>
  <c r="AF286" i="12"/>
  <c r="Z286" i="12"/>
  <c r="AG285" i="12"/>
  <c r="AF285" i="12"/>
  <c r="Z285" i="12"/>
  <c r="AG284" i="12"/>
  <c r="AF284" i="12"/>
  <c r="Z284" i="12"/>
  <c r="AG283" i="12"/>
  <c r="AF283" i="12"/>
  <c r="Z283" i="12"/>
  <c r="AG282" i="12"/>
  <c r="AF282" i="12"/>
  <c r="Z282" i="12"/>
  <c r="AG281" i="12"/>
  <c r="AF281" i="12"/>
  <c r="Z281" i="12"/>
  <c r="AG280" i="12"/>
  <c r="AF280" i="12"/>
  <c r="Z280" i="12"/>
  <c r="AG279" i="12"/>
  <c r="AF279" i="12"/>
  <c r="Z279" i="12"/>
  <c r="AG278" i="12"/>
  <c r="AF278" i="12"/>
  <c r="Z278" i="12"/>
  <c r="AG277" i="12"/>
  <c r="AF277" i="12"/>
  <c r="Z277" i="12"/>
  <c r="AG276" i="12"/>
  <c r="AF276" i="12"/>
  <c r="Z276" i="12"/>
  <c r="AG275" i="12"/>
  <c r="AF275" i="12"/>
  <c r="Z275" i="12"/>
  <c r="AG274" i="12"/>
  <c r="AF274" i="12"/>
  <c r="Z274" i="12"/>
  <c r="AG273" i="12"/>
  <c r="AF273" i="12"/>
  <c r="Z273" i="12"/>
  <c r="AG272" i="12"/>
  <c r="AF272" i="12"/>
  <c r="Z272" i="12"/>
  <c r="AG271" i="12"/>
  <c r="AF271" i="12"/>
  <c r="Z271" i="12"/>
  <c r="AG270" i="12"/>
  <c r="AF270" i="12"/>
  <c r="Z270" i="12"/>
  <c r="AG269" i="12"/>
  <c r="AF269" i="12"/>
  <c r="Z269" i="12"/>
  <c r="AG268" i="12"/>
  <c r="AF268" i="12"/>
  <c r="Z268" i="12"/>
  <c r="AG267" i="12"/>
  <c r="AF267" i="12"/>
  <c r="Z267" i="12"/>
  <c r="AG266" i="12"/>
  <c r="AF266" i="12"/>
  <c r="Z266" i="12"/>
  <c r="AG265" i="12"/>
  <c r="AF265" i="12"/>
  <c r="Z265" i="12"/>
  <c r="AG264" i="12"/>
  <c r="AF264" i="12"/>
  <c r="Z264" i="12"/>
  <c r="AG263" i="12"/>
  <c r="AF263" i="12"/>
  <c r="Z263" i="12"/>
  <c r="AG262" i="12"/>
  <c r="AF262" i="12"/>
  <c r="Z262" i="12"/>
  <c r="AG261" i="12"/>
  <c r="AF261" i="12"/>
  <c r="Z261" i="12"/>
  <c r="AG260" i="12"/>
  <c r="AF260" i="12"/>
  <c r="Z260" i="12"/>
  <c r="AG259" i="12"/>
  <c r="AF259" i="12"/>
  <c r="Z259" i="12"/>
  <c r="AG258" i="12"/>
  <c r="AF258" i="12"/>
  <c r="Z258" i="12"/>
  <c r="AG257" i="12"/>
  <c r="AF257" i="12"/>
  <c r="Z257" i="12"/>
  <c r="AG256" i="12"/>
  <c r="AF256" i="12"/>
  <c r="Z256" i="12"/>
  <c r="AG255" i="12"/>
  <c r="AF255" i="12"/>
  <c r="Z255" i="12"/>
  <c r="AG254" i="12"/>
  <c r="AF254" i="12"/>
  <c r="Z254" i="12"/>
  <c r="AG253" i="12"/>
  <c r="AF253" i="12"/>
  <c r="Z253" i="12"/>
  <c r="AG252" i="12"/>
  <c r="AF252" i="12"/>
  <c r="Z252" i="12"/>
  <c r="AG251" i="12"/>
  <c r="AF251" i="12"/>
  <c r="Z251" i="12"/>
  <c r="AG250" i="12"/>
  <c r="AF250" i="12"/>
  <c r="Z250" i="12"/>
  <c r="AG249" i="12"/>
  <c r="AF249" i="12"/>
  <c r="Z249" i="12"/>
  <c r="AG248" i="12"/>
  <c r="AF248" i="12"/>
  <c r="Z248" i="12"/>
  <c r="AG247" i="12"/>
  <c r="AF247" i="12"/>
  <c r="Z247" i="12"/>
  <c r="AG246" i="12"/>
  <c r="AF246" i="12"/>
  <c r="Z246" i="12"/>
  <c r="AG245" i="12"/>
  <c r="AF245" i="12"/>
  <c r="Z245" i="12"/>
  <c r="AG244" i="12"/>
  <c r="AF244" i="12"/>
  <c r="Z244" i="12"/>
  <c r="AG243" i="12"/>
  <c r="AF243" i="12"/>
  <c r="Z243" i="12"/>
  <c r="AG242" i="12"/>
  <c r="AF242" i="12"/>
  <c r="Z242" i="12"/>
  <c r="AG241" i="12"/>
  <c r="AF241" i="12"/>
  <c r="Z241" i="12"/>
  <c r="AG240" i="12"/>
  <c r="AF240" i="12"/>
  <c r="Z240" i="12"/>
  <c r="AG239" i="12"/>
  <c r="AF239" i="12"/>
  <c r="Z239" i="12"/>
  <c r="AG238" i="12"/>
  <c r="AF238" i="12"/>
  <c r="Z238" i="12"/>
  <c r="AG237" i="12"/>
  <c r="AF237" i="12"/>
  <c r="Z237" i="12"/>
  <c r="AG236" i="12"/>
  <c r="AF236" i="12"/>
  <c r="Z236" i="12"/>
  <c r="AG235" i="12"/>
  <c r="AF235" i="12"/>
  <c r="Z235" i="12"/>
  <c r="AG234" i="12"/>
  <c r="AF234" i="12"/>
  <c r="Z234" i="12"/>
  <c r="AG233" i="12"/>
  <c r="AF233" i="12"/>
  <c r="Z233" i="12"/>
  <c r="AG232" i="12"/>
  <c r="AF232" i="12"/>
  <c r="Z232" i="12"/>
  <c r="AG231" i="12"/>
  <c r="AF231" i="12"/>
  <c r="Z231" i="12"/>
  <c r="AG230" i="12"/>
  <c r="AF230" i="12"/>
  <c r="Z230" i="12"/>
  <c r="AG229" i="12"/>
  <c r="AF229" i="12"/>
  <c r="Z229" i="12"/>
  <c r="AG228" i="12"/>
  <c r="AF228" i="12"/>
  <c r="Z228" i="12"/>
  <c r="AG227" i="12"/>
  <c r="AF227" i="12"/>
  <c r="Z227" i="12"/>
  <c r="AG226" i="12"/>
  <c r="AF226" i="12"/>
  <c r="Z226" i="12"/>
  <c r="AG225" i="12"/>
  <c r="AF225" i="12"/>
  <c r="Z225" i="12"/>
  <c r="AG224" i="12"/>
  <c r="AF224" i="12"/>
  <c r="Z224" i="12"/>
  <c r="AG223" i="12"/>
  <c r="AF223" i="12"/>
  <c r="Z223" i="12"/>
  <c r="AG222" i="12"/>
  <c r="AF222" i="12"/>
  <c r="Z222" i="12"/>
  <c r="AG221" i="12"/>
  <c r="AF221" i="12"/>
  <c r="Z221" i="12"/>
  <c r="AG220" i="12"/>
  <c r="AF220" i="12"/>
  <c r="Z220" i="12"/>
  <c r="AG219" i="12"/>
  <c r="AF219" i="12"/>
  <c r="Z219" i="12"/>
  <c r="AG218" i="12"/>
  <c r="AF218" i="12"/>
  <c r="Z218" i="12"/>
  <c r="AG217" i="12"/>
  <c r="AF217" i="12"/>
  <c r="Z217" i="12"/>
  <c r="AG216" i="12"/>
  <c r="AF216" i="12"/>
  <c r="Z216" i="12"/>
  <c r="AG215" i="12"/>
  <c r="AF215" i="12"/>
  <c r="Z215" i="12"/>
  <c r="AG214" i="12"/>
  <c r="AF214" i="12"/>
  <c r="Z214" i="12"/>
  <c r="AG213" i="12"/>
  <c r="AF213" i="12"/>
  <c r="Z213" i="12"/>
  <c r="AG212" i="12"/>
  <c r="AF212" i="12"/>
  <c r="Z212" i="12"/>
  <c r="AG211" i="12"/>
  <c r="AF211" i="12"/>
  <c r="Z211" i="12"/>
  <c r="AG210" i="12"/>
  <c r="AF210" i="12"/>
  <c r="Z210" i="12"/>
  <c r="AG209" i="12"/>
  <c r="AF209" i="12"/>
  <c r="Z209" i="12"/>
  <c r="AG208" i="12"/>
  <c r="AF208" i="12"/>
  <c r="Z208" i="12"/>
  <c r="AG207" i="12"/>
  <c r="AF207" i="12"/>
  <c r="Z207" i="12"/>
  <c r="AG206" i="12"/>
  <c r="AF206" i="12"/>
  <c r="Z206" i="12"/>
  <c r="AG205" i="12"/>
  <c r="AF205" i="12"/>
  <c r="Z205" i="12"/>
  <c r="AG204" i="12"/>
  <c r="AF204" i="12"/>
  <c r="Z204" i="12"/>
  <c r="AG203" i="12"/>
  <c r="AF203" i="12"/>
  <c r="Z203" i="12"/>
  <c r="AG202" i="12"/>
  <c r="AF202" i="12"/>
  <c r="Z202" i="12"/>
  <c r="AG201" i="12"/>
  <c r="AF201" i="12"/>
  <c r="Z201" i="12"/>
  <c r="AG200" i="12"/>
  <c r="AF200" i="12"/>
  <c r="Z200" i="12"/>
  <c r="AG199" i="12"/>
  <c r="AF199" i="12"/>
  <c r="Z199" i="12"/>
  <c r="AG198" i="12"/>
  <c r="AF198" i="12"/>
  <c r="Z198" i="12"/>
  <c r="AG197" i="12"/>
  <c r="AF197" i="12"/>
  <c r="Z197" i="12"/>
  <c r="AG196" i="12"/>
  <c r="AF196" i="12"/>
  <c r="Z196" i="12"/>
  <c r="AG195" i="12"/>
  <c r="AF195" i="12"/>
  <c r="Z195" i="12"/>
  <c r="AG194" i="12"/>
  <c r="AF194" i="12"/>
  <c r="Z194" i="12"/>
  <c r="AG193" i="12"/>
  <c r="AF193" i="12"/>
  <c r="Z193" i="12"/>
  <c r="AG192" i="12"/>
  <c r="AF192" i="12"/>
  <c r="Z192" i="12"/>
  <c r="AG191" i="12"/>
  <c r="AF191" i="12"/>
  <c r="Z191" i="12"/>
  <c r="AG190" i="12"/>
  <c r="AF190" i="12"/>
  <c r="Z190" i="12"/>
  <c r="AG189" i="12"/>
  <c r="AF189" i="12"/>
  <c r="Z189" i="12"/>
  <c r="AG188" i="12"/>
  <c r="AF188" i="12"/>
  <c r="Z188" i="12"/>
  <c r="AG187" i="12"/>
  <c r="AF187" i="12"/>
  <c r="Z187" i="12"/>
  <c r="AG186" i="12"/>
  <c r="AF186" i="12"/>
  <c r="Z186" i="12"/>
  <c r="AG185" i="12"/>
  <c r="AF185" i="12"/>
  <c r="Z185" i="12"/>
  <c r="AG184" i="12"/>
  <c r="AF184" i="12"/>
  <c r="Z184" i="12"/>
  <c r="AG183" i="12"/>
  <c r="AF183" i="12"/>
  <c r="Z183" i="12"/>
  <c r="AG182" i="12"/>
  <c r="AF182" i="12"/>
  <c r="Z182" i="12"/>
  <c r="AG181" i="12"/>
  <c r="AF181" i="12"/>
  <c r="Z181" i="12"/>
  <c r="AG180" i="12"/>
  <c r="AF180" i="12"/>
  <c r="Z180" i="12"/>
  <c r="AG179" i="12"/>
  <c r="AF179" i="12"/>
  <c r="Z179" i="12"/>
  <c r="AG178" i="12"/>
  <c r="AF178" i="12"/>
  <c r="Z178" i="12"/>
  <c r="AG177" i="12"/>
  <c r="AF177" i="12"/>
  <c r="Z177" i="12"/>
  <c r="AG176" i="12"/>
  <c r="AF176" i="12"/>
  <c r="Z176" i="12"/>
  <c r="AG175" i="12"/>
  <c r="AF175" i="12"/>
  <c r="Z175" i="12"/>
  <c r="AG174" i="12"/>
  <c r="AF174" i="12"/>
  <c r="Z174" i="12"/>
  <c r="AG173" i="12"/>
  <c r="AF173" i="12"/>
  <c r="Z173" i="12"/>
  <c r="AG172" i="12"/>
  <c r="AF172" i="12"/>
  <c r="Z172" i="12"/>
  <c r="AG171" i="12"/>
  <c r="AF171" i="12"/>
  <c r="Z171" i="12"/>
  <c r="AG170" i="12"/>
  <c r="AF170" i="12"/>
  <c r="Z170" i="12"/>
  <c r="AG169" i="12"/>
  <c r="AF169" i="12"/>
  <c r="Z169" i="12"/>
  <c r="AG168" i="12"/>
  <c r="AF168" i="12"/>
  <c r="Z168" i="12"/>
  <c r="AG167" i="12"/>
  <c r="AF167" i="12"/>
  <c r="Z167" i="12"/>
  <c r="AG166" i="12"/>
  <c r="AF166" i="12"/>
  <c r="Z166" i="12"/>
  <c r="AG165" i="12"/>
  <c r="AF165" i="12"/>
  <c r="Z165" i="12"/>
  <c r="AG164" i="12"/>
  <c r="AF164" i="12"/>
  <c r="Z164" i="12"/>
  <c r="AG163" i="12"/>
  <c r="AF163" i="12"/>
  <c r="Z163" i="12"/>
  <c r="AG162" i="12"/>
  <c r="AF162" i="12"/>
  <c r="Z162" i="12"/>
  <c r="AG161" i="12"/>
  <c r="AF161" i="12"/>
  <c r="Z161" i="12"/>
  <c r="AG160" i="12"/>
  <c r="AF160" i="12"/>
  <c r="Z160" i="12"/>
  <c r="AG159" i="12"/>
  <c r="AF159" i="12"/>
  <c r="Z159" i="12"/>
  <c r="AG158" i="12"/>
  <c r="AF158" i="12"/>
  <c r="Z158" i="12"/>
  <c r="AG157" i="12"/>
  <c r="AF157" i="12"/>
  <c r="Z157" i="12"/>
  <c r="AG156" i="12"/>
  <c r="AF156" i="12"/>
  <c r="Z156" i="12"/>
  <c r="AG155" i="12"/>
  <c r="AF155" i="12"/>
  <c r="Z155" i="12"/>
  <c r="AG154" i="12"/>
  <c r="AF154" i="12"/>
  <c r="Z154" i="12"/>
  <c r="AG153" i="12"/>
  <c r="AF153" i="12"/>
  <c r="Z153" i="12"/>
  <c r="AG152" i="12"/>
  <c r="AF152" i="12"/>
  <c r="Z152" i="12"/>
  <c r="AG151" i="12"/>
  <c r="AF151" i="12"/>
  <c r="Z151" i="12"/>
  <c r="AG150" i="12"/>
  <c r="AF150" i="12"/>
  <c r="Z150" i="12"/>
  <c r="AG149" i="12"/>
  <c r="AF149" i="12"/>
  <c r="Z149" i="12"/>
  <c r="AG148" i="12"/>
  <c r="AF148" i="12"/>
  <c r="Z148" i="12"/>
  <c r="AG147" i="12"/>
  <c r="AF147" i="12"/>
  <c r="Z147" i="12"/>
  <c r="AG146" i="12"/>
  <c r="AF146" i="12"/>
  <c r="Z146" i="12"/>
  <c r="AG145" i="12"/>
  <c r="AF145" i="12"/>
  <c r="Z145" i="12"/>
  <c r="AG144" i="12"/>
  <c r="AF144" i="12"/>
  <c r="Z144" i="12"/>
  <c r="AG143" i="12"/>
  <c r="AF143" i="12"/>
  <c r="Z143" i="12"/>
  <c r="AG142" i="12"/>
  <c r="AF142" i="12"/>
  <c r="Z142" i="12"/>
  <c r="AG141" i="12"/>
  <c r="AF141" i="12"/>
  <c r="Z141" i="12"/>
  <c r="AG140" i="12"/>
  <c r="AF140" i="12"/>
  <c r="Z140" i="12"/>
  <c r="AG139" i="12"/>
  <c r="AF139" i="12"/>
  <c r="Z139" i="12"/>
  <c r="AG138" i="12"/>
  <c r="AF138" i="12"/>
  <c r="Z138" i="12"/>
  <c r="AG137" i="12"/>
  <c r="AF137" i="12"/>
  <c r="Z137" i="12"/>
  <c r="AG136" i="12"/>
  <c r="AF136" i="12"/>
  <c r="Z136" i="12"/>
  <c r="AG135" i="12"/>
  <c r="AF135" i="12"/>
  <c r="Z135" i="12"/>
  <c r="AG134" i="12"/>
  <c r="AF134" i="12"/>
  <c r="Z134" i="12"/>
  <c r="AG133" i="12"/>
  <c r="AF133" i="12"/>
  <c r="Z133" i="12"/>
  <c r="AG132" i="12"/>
  <c r="AF132" i="12"/>
  <c r="Z132" i="12"/>
  <c r="AG131" i="12"/>
  <c r="AF131" i="12"/>
  <c r="Z131" i="12"/>
  <c r="AG130" i="12"/>
  <c r="AF130" i="12"/>
  <c r="Z130" i="12"/>
  <c r="AG129" i="12"/>
  <c r="AF129" i="12"/>
  <c r="Z129" i="12"/>
  <c r="AG128" i="12"/>
  <c r="AF128" i="12"/>
  <c r="Z128" i="12"/>
  <c r="AG127" i="12"/>
  <c r="AF127" i="12"/>
  <c r="Z127" i="12"/>
  <c r="AG126" i="12"/>
  <c r="AF126" i="12"/>
  <c r="Z126" i="12"/>
  <c r="AG125" i="12"/>
  <c r="AF125" i="12"/>
  <c r="Z125" i="12"/>
  <c r="AG124" i="12"/>
  <c r="AF124" i="12"/>
  <c r="Z124" i="12"/>
  <c r="AG123" i="12"/>
  <c r="AF123" i="12"/>
  <c r="Z123" i="12"/>
  <c r="AG122" i="12"/>
  <c r="AF122" i="12"/>
  <c r="Z122" i="12"/>
  <c r="AG121" i="12"/>
  <c r="AF121" i="12"/>
  <c r="Z121" i="12"/>
  <c r="AG120" i="12"/>
  <c r="AF120" i="12"/>
  <c r="Z120" i="12"/>
  <c r="AG119" i="12"/>
  <c r="AF119" i="12"/>
  <c r="Z119" i="12"/>
  <c r="AG118" i="12"/>
  <c r="AF118" i="12"/>
  <c r="Z118" i="12"/>
  <c r="AG117" i="12"/>
  <c r="AF117" i="12"/>
  <c r="Z117" i="12"/>
  <c r="AG116" i="12"/>
  <c r="AF116" i="12"/>
  <c r="Z116" i="12"/>
  <c r="AG115" i="12"/>
  <c r="AF115" i="12"/>
  <c r="Z115" i="12"/>
  <c r="AG114" i="12"/>
  <c r="AF114" i="12"/>
  <c r="Z114" i="12"/>
  <c r="AG113" i="12"/>
  <c r="AF113" i="12"/>
  <c r="Z113" i="12"/>
  <c r="AG112" i="12"/>
  <c r="AF112" i="12"/>
  <c r="Z112" i="12"/>
  <c r="AG111" i="12"/>
  <c r="AF111" i="12"/>
  <c r="Z111" i="12"/>
  <c r="AG110" i="12"/>
  <c r="AF110" i="12"/>
  <c r="Z110" i="12"/>
  <c r="AG109" i="12"/>
  <c r="AF109" i="12"/>
  <c r="Z109" i="12"/>
  <c r="AG108" i="12"/>
  <c r="AF108" i="12"/>
  <c r="Z108" i="12"/>
  <c r="AG107" i="12"/>
  <c r="AF107" i="12"/>
  <c r="Z107" i="12"/>
  <c r="AG106" i="12"/>
  <c r="AF106" i="12"/>
  <c r="Z106" i="12"/>
  <c r="AG105" i="12"/>
  <c r="AF105" i="12"/>
  <c r="Z105" i="12"/>
  <c r="AG104" i="12"/>
  <c r="AF104" i="12"/>
  <c r="Z104" i="12"/>
  <c r="AG103" i="12"/>
  <c r="AF103" i="12"/>
  <c r="Z103" i="12"/>
  <c r="AG102" i="12"/>
  <c r="AF102" i="12"/>
  <c r="Z102" i="12"/>
  <c r="AG101" i="12"/>
  <c r="AF101" i="12"/>
  <c r="Z101" i="12"/>
  <c r="AG100" i="12"/>
  <c r="AF100" i="12"/>
  <c r="Z100" i="12"/>
  <c r="AG99" i="12"/>
  <c r="AF99" i="12"/>
  <c r="Z99" i="12"/>
  <c r="AG98" i="12"/>
  <c r="AF98" i="12"/>
  <c r="Z98" i="12"/>
  <c r="AG97" i="12"/>
  <c r="AF97" i="12"/>
  <c r="Z97" i="12"/>
  <c r="AG96" i="12"/>
  <c r="AF96" i="12"/>
  <c r="Z96" i="12"/>
  <c r="AG95" i="12"/>
  <c r="AF95" i="12"/>
  <c r="Z95" i="12"/>
  <c r="AG94" i="12"/>
  <c r="AF94" i="12"/>
  <c r="Z94" i="12"/>
  <c r="AG93" i="12"/>
  <c r="AF93" i="12"/>
  <c r="Z93" i="12"/>
  <c r="AG92" i="12"/>
  <c r="AF92" i="12"/>
  <c r="Z92" i="12"/>
  <c r="AG91" i="12"/>
  <c r="AF91" i="12"/>
  <c r="Z91" i="12"/>
  <c r="AG90" i="12"/>
  <c r="AF90" i="12"/>
  <c r="Z90" i="12"/>
  <c r="AG89" i="12"/>
  <c r="AF89" i="12"/>
  <c r="Z89" i="12"/>
  <c r="AG88" i="12"/>
  <c r="AF88" i="12"/>
  <c r="Z88" i="12"/>
  <c r="AG87" i="12"/>
  <c r="AF87" i="12"/>
  <c r="Z87" i="12"/>
  <c r="AG86" i="12"/>
  <c r="AF86" i="12"/>
  <c r="Z86" i="12"/>
  <c r="AG85" i="12"/>
  <c r="AF85" i="12"/>
  <c r="Z85" i="12"/>
  <c r="AG84" i="12"/>
  <c r="AF84" i="12"/>
  <c r="Z84" i="12"/>
  <c r="AG83" i="12"/>
  <c r="AF83" i="12"/>
  <c r="Z83" i="12"/>
  <c r="AG82" i="12"/>
  <c r="AF82" i="12"/>
  <c r="Z82" i="12"/>
  <c r="AG81" i="12"/>
  <c r="AF81" i="12"/>
  <c r="Z81" i="12"/>
  <c r="AG80" i="12"/>
  <c r="AF80" i="12"/>
  <c r="Z80" i="12"/>
  <c r="AG79" i="12"/>
  <c r="AF79" i="12"/>
  <c r="Z79" i="12"/>
  <c r="AG78" i="12"/>
  <c r="AF78" i="12"/>
  <c r="Z78" i="12"/>
  <c r="AG77" i="12"/>
  <c r="AF77" i="12"/>
  <c r="Z77" i="12"/>
  <c r="AG76" i="12"/>
  <c r="AF76" i="12"/>
  <c r="Z76" i="12"/>
  <c r="AG75" i="12"/>
  <c r="AF75" i="12"/>
  <c r="Z75" i="12"/>
  <c r="AG74" i="12"/>
  <c r="AF74" i="12"/>
  <c r="Z74" i="12"/>
  <c r="AG73" i="12"/>
  <c r="AF73" i="12"/>
  <c r="Z73" i="12"/>
  <c r="AG72" i="12"/>
  <c r="AF72" i="12"/>
  <c r="Z72" i="12"/>
  <c r="AG71" i="12"/>
  <c r="AF71" i="12"/>
  <c r="Z71" i="12"/>
  <c r="AG70" i="12"/>
  <c r="AF70" i="12"/>
  <c r="Z70" i="12"/>
  <c r="AG69" i="12"/>
  <c r="AF69" i="12"/>
  <c r="Z69" i="12"/>
  <c r="AG68" i="12"/>
  <c r="AF68" i="12"/>
  <c r="Z68" i="12"/>
  <c r="AG67" i="12"/>
  <c r="AF67" i="12"/>
  <c r="Z67" i="12"/>
  <c r="AG66" i="12"/>
  <c r="AF66" i="12"/>
  <c r="Z66" i="12"/>
  <c r="AG65" i="12"/>
  <c r="AF65" i="12"/>
  <c r="Z65" i="12"/>
  <c r="AG64" i="12"/>
  <c r="AF64" i="12"/>
  <c r="Z64" i="12"/>
  <c r="AG63" i="12"/>
  <c r="AF63" i="12"/>
  <c r="Z63" i="12"/>
  <c r="AG62" i="12"/>
  <c r="AF62" i="12"/>
  <c r="Z62" i="12"/>
  <c r="AG61" i="12"/>
  <c r="AF61" i="12"/>
  <c r="Z61" i="12"/>
  <c r="AG60" i="12"/>
  <c r="AF60" i="12"/>
  <c r="Z60" i="12"/>
  <c r="AG59" i="12"/>
  <c r="AF59" i="12"/>
  <c r="Z59" i="12"/>
  <c r="AG58" i="12"/>
  <c r="AF58" i="12"/>
  <c r="Z58" i="12"/>
  <c r="AG57" i="12"/>
  <c r="AF57" i="12"/>
  <c r="Z57" i="12"/>
  <c r="AG56" i="12"/>
  <c r="AF56" i="12"/>
  <c r="Z56" i="12"/>
  <c r="AG55" i="12"/>
  <c r="AF55" i="12"/>
  <c r="Z55" i="12"/>
  <c r="AG54" i="12"/>
  <c r="AF54" i="12"/>
  <c r="Z54" i="12"/>
  <c r="AG53" i="12"/>
  <c r="AF53" i="12"/>
  <c r="Z53" i="12"/>
  <c r="AG52" i="12"/>
  <c r="AF52" i="12"/>
  <c r="Z52" i="12"/>
  <c r="AG51" i="12"/>
  <c r="AF51" i="12"/>
  <c r="Z51" i="12"/>
  <c r="AG50" i="12"/>
  <c r="AF50" i="12"/>
  <c r="Z50" i="12"/>
  <c r="AG49" i="12"/>
  <c r="AF49" i="12"/>
  <c r="Z49" i="12"/>
  <c r="AG48" i="12"/>
  <c r="AF48" i="12"/>
  <c r="Z48" i="12"/>
  <c r="AG47" i="12"/>
  <c r="AF47" i="12"/>
  <c r="Z47" i="12"/>
  <c r="AG46" i="12"/>
  <c r="AF46" i="12"/>
  <c r="Z46" i="12"/>
  <c r="AG45" i="12"/>
  <c r="AF45" i="12"/>
  <c r="Z45" i="12"/>
  <c r="AG44" i="12"/>
  <c r="AF44" i="12"/>
  <c r="Z44" i="12"/>
  <c r="AG43" i="12"/>
  <c r="AF43" i="12"/>
  <c r="Z43" i="12"/>
  <c r="AG42" i="12"/>
  <c r="AF42" i="12"/>
  <c r="Z42" i="12"/>
  <c r="AG41" i="12"/>
  <c r="AF41" i="12"/>
  <c r="Z41" i="12"/>
  <c r="AG40" i="12"/>
  <c r="AF40" i="12"/>
  <c r="Z40" i="12"/>
  <c r="AG39" i="12"/>
  <c r="AF39" i="12"/>
  <c r="Z39" i="12"/>
  <c r="AG38" i="12"/>
  <c r="AF38" i="12"/>
  <c r="Z38" i="12"/>
  <c r="AG37" i="12"/>
  <c r="AF37" i="12"/>
  <c r="Z37" i="12"/>
  <c r="AG36" i="12"/>
  <c r="AF36" i="12"/>
  <c r="Z36" i="12"/>
  <c r="AG35" i="12"/>
  <c r="AF35" i="12"/>
  <c r="Z35" i="12"/>
  <c r="AG34" i="12"/>
  <c r="AF34" i="12"/>
  <c r="Z34" i="12"/>
  <c r="AG33" i="12"/>
  <c r="AF33" i="12"/>
  <c r="Z33" i="12"/>
  <c r="AG32" i="12"/>
  <c r="AF32" i="12"/>
  <c r="Z32" i="12"/>
  <c r="AG31" i="12"/>
  <c r="AF31" i="12"/>
  <c r="Z31" i="12"/>
  <c r="AG30" i="12"/>
  <c r="AF30" i="12"/>
  <c r="Z30" i="12"/>
  <c r="AG29" i="12"/>
  <c r="AF29" i="12"/>
  <c r="Z29" i="12"/>
  <c r="AG28" i="12"/>
  <c r="AF28" i="12"/>
  <c r="Z28" i="12"/>
  <c r="AG27" i="12"/>
  <c r="AF27" i="12"/>
  <c r="Z27" i="12"/>
  <c r="AG26" i="12"/>
  <c r="AF26" i="12"/>
  <c r="Z26" i="12"/>
  <c r="AG25" i="12"/>
  <c r="AF25" i="12"/>
  <c r="Z25" i="12"/>
  <c r="AG24" i="12"/>
  <c r="AF24" i="12"/>
  <c r="Z24" i="12"/>
  <c r="AG23" i="12"/>
  <c r="AF23" i="12"/>
  <c r="Z23" i="12"/>
  <c r="AG22" i="12"/>
  <c r="AF22" i="12"/>
  <c r="Z22" i="12"/>
  <c r="AG21" i="12"/>
  <c r="AF21" i="12"/>
  <c r="Z21" i="12"/>
  <c r="AG20" i="12"/>
  <c r="AF20" i="12"/>
  <c r="Z20" i="12"/>
  <c r="AG19" i="12"/>
  <c r="AF19" i="12"/>
  <c r="Z19" i="12"/>
  <c r="AG18" i="12"/>
  <c r="AF18" i="12"/>
  <c r="Z18" i="12"/>
  <c r="AG17" i="12"/>
  <c r="AF17" i="12"/>
  <c r="Z17" i="12"/>
  <c r="AG16" i="12"/>
  <c r="AF16" i="12"/>
  <c r="Z16" i="12"/>
  <c r="AG15" i="12"/>
  <c r="AF15" i="12"/>
  <c r="Z15" i="12"/>
  <c r="AG14" i="12"/>
  <c r="AF14" i="12"/>
  <c r="Z14" i="12"/>
  <c r="AG13" i="12"/>
  <c r="AF13" i="12"/>
  <c r="Z13" i="12"/>
  <c r="AG12" i="12"/>
  <c r="AF12" i="12"/>
  <c r="Z12" i="12"/>
  <c r="AG11" i="12"/>
  <c r="AF11" i="12"/>
  <c r="Z11" i="12"/>
  <c r="AG10" i="12"/>
  <c r="AF10" i="12"/>
  <c r="Z10" i="12"/>
  <c r="AG9" i="12"/>
  <c r="AF9" i="12"/>
  <c r="Z9" i="12"/>
  <c r="AG8" i="12"/>
  <c r="AF8" i="12"/>
  <c r="Z8" i="12"/>
  <c r="AG7" i="12"/>
  <c r="AF7" i="12"/>
  <c r="Z7" i="12"/>
  <c r="AG6" i="12"/>
  <c r="AF6" i="12"/>
  <c r="Z6" i="12"/>
  <c r="AG5" i="12"/>
  <c r="AF5" i="12"/>
  <c r="Z5" i="12"/>
  <c r="AG4" i="12"/>
  <c r="AF4" i="12"/>
  <c r="Z4" i="12"/>
  <c r="AG3" i="12"/>
  <c r="AF3" i="12"/>
  <c r="Z3" i="12"/>
  <c r="AG2" i="12"/>
  <c r="AF2" i="12"/>
  <c r="Z2" i="12"/>
  <c r="F40" i="13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E110" i="3"/>
  <c r="AA110" i="3"/>
  <c r="Z110" i="3"/>
  <c r="AE109" i="3"/>
  <c r="AA109" i="3"/>
  <c r="Z109" i="3"/>
  <c r="AE108" i="3"/>
  <c r="AA108" i="3"/>
  <c r="Z108" i="3"/>
  <c r="AE107" i="3"/>
  <c r="AA107" i="3"/>
  <c r="Z107" i="3"/>
  <c r="AE106" i="3"/>
  <c r="AA106" i="3"/>
  <c r="Z106" i="3"/>
  <c r="AE105" i="3"/>
  <c r="AA105" i="3"/>
  <c r="Z105" i="3"/>
  <c r="AE104" i="3"/>
  <c r="AA104" i="3"/>
  <c r="Z104" i="3"/>
  <c r="AE103" i="3"/>
  <c r="AA103" i="3"/>
  <c r="Z103" i="3"/>
  <c r="AE102" i="3"/>
  <c r="AA102" i="3"/>
  <c r="Z102" i="3"/>
  <c r="AE101" i="3"/>
  <c r="AA101" i="3"/>
  <c r="Z101" i="3"/>
  <c r="AE100" i="3"/>
  <c r="AA100" i="3"/>
  <c r="Z100" i="3"/>
  <c r="AE99" i="3"/>
  <c r="AA99" i="3"/>
  <c r="Z99" i="3"/>
  <c r="AE98" i="3"/>
  <c r="AA98" i="3"/>
  <c r="Z98" i="3"/>
  <c r="AE97" i="3"/>
  <c r="AA97" i="3"/>
  <c r="Z97" i="3"/>
  <c r="AE96" i="3"/>
  <c r="AA96" i="3"/>
  <c r="Z96" i="3"/>
  <c r="AE95" i="3"/>
  <c r="AA95" i="3"/>
  <c r="Z95" i="3"/>
  <c r="AE94" i="3"/>
  <c r="AA94" i="3"/>
  <c r="Z94" i="3"/>
  <c r="AE93" i="3"/>
  <c r="AA93" i="3"/>
  <c r="Z93" i="3"/>
  <c r="AE92" i="3"/>
  <c r="AA92" i="3"/>
  <c r="Z92" i="3"/>
  <c r="AE91" i="3"/>
  <c r="AA91" i="3"/>
  <c r="Z91" i="3"/>
  <c r="AE90" i="3"/>
  <c r="AA90" i="3"/>
  <c r="Z90" i="3"/>
  <c r="AE89" i="3"/>
  <c r="AA89" i="3"/>
  <c r="Z89" i="3"/>
  <c r="AE88" i="3"/>
  <c r="AA88" i="3"/>
  <c r="Z88" i="3"/>
  <c r="AE87" i="3"/>
  <c r="AA87" i="3"/>
  <c r="Z87" i="3"/>
  <c r="AE86" i="3"/>
  <c r="AA86" i="3"/>
  <c r="Z86" i="3"/>
  <c r="AE85" i="3"/>
  <c r="AA85" i="3"/>
  <c r="Z85" i="3"/>
  <c r="AE84" i="3"/>
  <c r="AA84" i="3"/>
  <c r="Z84" i="3"/>
  <c r="AE83" i="3"/>
  <c r="AA83" i="3"/>
  <c r="Z83" i="3"/>
  <c r="AE82" i="3"/>
  <c r="AA82" i="3"/>
  <c r="Z82" i="3"/>
  <c r="AE81" i="3"/>
  <c r="AA81" i="3"/>
  <c r="Z81" i="3"/>
  <c r="AE80" i="3"/>
  <c r="AA80" i="3"/>
  <c r="Z80" i="3"/>
  <c r="AE79" i="3"/>
  <c r="AA79" i="3"/>
  <c r="Z79" i="3"/>
  <c r="AE78" i="3"/>
  <c r="AA78" i="3"/>
  <c r="Z78" i="3"/>
  <c r="AE77" i="3"/>
  <c r="AA77" i="3"/>
  <c r="Z77" i="3"/>
  <c r="AE76" i="3"/>
  <c r="AA76" i="3"/>
  <c r="Z76" i="3"/>
  <c r="AE75" i="3"/>
  <c r="AA75" i="3"/>
  <c r="Z75" i="3"/>
  <c r="AE74" i="3"/>
  <c r="AA74" i="3"/>
  <c r="Z74" i="3"/>
  <c r="AE73" i="3"/>
  <c r="AA73" i="3"/>
  <c r="Z73" i="3"/>
  <c r="AE72" i="3"/>
  <c r="AA72" i="3"/>
  <c r="Z72" i="3"/>
  <c r="AE71" i="3"/>
  <c r="AA71" i="3"/>
  <c r="Z71" i="3"/>
  <c r="AE70" i="3"/>
  <c r="AA70" i="3"/>
  <c r="Z70" i="3"/>
  <c r="AE69" i="3"/>
  <c r="AA69" i="3"/>
  <c r="Z69" i="3"/>
  <c r="AE68" i="3"/>
  <c r="AA68" i="3"/>
  <c r="Z68" i="3"/>
  <c r="AE67" i="3"/>
  <c r="AA67" i="3"/>
  <c r="Z67" i="3"/>
  <c r="AE66" i="3"/>
  <c r="AA66" i="3"/>
  <c r="Z66" i="3"/>
  <c r="AE65" i="3"/>
  <c r="AA65" i="3"/>
  <c r="Z65" i="3"/>
  <c r="AE64" i="3"/>
  <c r="AA64" i="3"/>
  <c r="Z64" i="3"/>
  <c r="AE63" i="3"/>
  <c r="AA63" i="3"/>
  <c r="Z63" i="3"/>
  <c r="AE62" i="3"/>
  <c r="AA62" i="3"/>
  <c r="Z62" i="3"/>
  <c r="AE61" i="3"/>
  <c r="AA61" i="3"/>
  <c r="Z61" i="3"/>
  <c r="AE60" i="3"/>
  <c r="AA60" i="3"/>
  <c r="Z60" i="3"/>
  <c r="AE59" i="3"/>
  <c r="AA59" i="3"/>
  <c r="Z59" i="3"/>
  <c r="AE58" i="3"/>
  <c r="AA58" i="3"/>
  <c r="Z58" i="3"/>
  <c r="AE57" i="3"/>
  <c r="AA57" i="3"/>
  <c r="Z57" i="3"/>
  <c r="AE56" i="3"/>
  <c r="AA56" i="3"/>
  <c r="Z56" i="3"/>
  <c r="AE55" i="3"/>
  <c r="AA55" i="3"/>
  <c r="Z55" i="3"/>
  <c r="AE54" i="3"/>
  <c r="AA54" i="3"/>
  <c r="Z54" i="3"/>
  <c r="AE53" i="3"/>
  <c r="AA53" i="3"/>
  <c r="Z53" i="3"/>
  <c r="AE52" i="3"/>
  <c r="AA52" i="3"/>
  <c r="Z52" i="3"/>
  <c r="AE51" i="3"/>
  <c r="AA51" i="3"/>
  <c r="Z51" i="3"/>
  <c r="AE50" i="3"/>
  <c r="AA50" i="3"/>
  <c r="Z50" i="3"/>
  <c r="AE49" i="3"/>
  <c r="AA49" i="3"/>
  <c r="Z49" i="3"/>
  <c r="AE48" i="3"/>
  <c r="AA48" i="3"/>
  <c r="Z48" i="3"/>
  <c r="AE47" i="3"/>
  <c r="AA47" i="3"/>
  <c r="Z47" i="3"/>
  <c r="AE46" i="3"/>
  <c r="AA46" i="3"/>
  <c r="Z46" i="3"/>
  <c r="AE45" i="3"/>
  <c r="AA45" i="3"/>
  <c r="Z45" i="3"/>
  <c r="AE44" i="3"/>
  <c r="AA44" i="3"/>
  <c r="Z44" i="3"/>
  <c r="C44" i="3"/>
  <c r="AE43" i="3"/>
  <c r="AA43" i="3"/>
  <c r="Z43" i="3"/>
  <c r="C43" i="3"/>
  <c r="AE42" i="3"/>
  <c r="AA42" i="3"/>
  <c r="Z42" i="3"/>
  <c r="C42" i="3"/>
  <c r="AE41" i="3"/>
  <c r="AA41" i="3"/>
  <c r="Z41" i="3"/>
  <c r="AE40" i="3"/>
  <c r="AA40" i="3"/>
  <c r="Z40" i="3"/>
  <c r="AE39" i="3"/>
  <c r="AA39" i="3"/>
  <c r="Z39" i="3"/>
  <c r="AE38" i="3"/>
  <c r="AA38" i="3"/>
  <c r="Z38" i="3"/>
  <c r="AE37" i="3"/>
  <c r="AA37" i="3"/>
  <c r="Z37" i="3"/>
  <c r="AE36" i="3"/>
  <c r="AA36" i="3"/>
  <c r="Z36" i="3"/>
  <c r="AE35" i="3"/>
  <c r="AA35" i="3"/>
  <c r="Z35" i="3"/>
  <c r="AE34" i="3"/>
  <c r="AA34" i="3"/>
  <c r="Z34" i="3"/>
  <c r="AE33" i="3"/>
  <c r="AA33" i="3"/>
  <c r="Z33" i="3"/>
  <c r="AE32" i="3"/>
  <c r="AA32" i="3"/>
  <c r="Z32" i="3"/>
  <c r="AE31" i="3"/>
  <c r="AA31" i="3"/>
  <c r="Z31" i="3"/>
  <c r="AE30" i="3"/>
  <c r="AA30" i="3"/>
  <c r="Z30" i="3"/>
  <c r="AE29" i="3"/>
  <c r="AA29" i="3"/>
  <c r="Z29" i="3"/>
  <c r="AE28" i="3"/>
  <c r="AA28" i="3"/>
  <c r="Z28" i="3"/>
  <c r="AE27" i="3"/>
  <c r="AA27" i="3"/>
  <c r="Z27" i="3"/>
  <c r="AE26" i="3"/>
  <c r="AA26" i="3"/>
  <c r="Z26" i="3"/>
  <c r="AE25" i="3"/>
  <c r="AA25" i="3"/>
  <c r="Z25" i="3"/>
  <c r="AE24" i="3"/>
  <c r="AA24" i="3"/>
  <c r="Z24" i="3"/>
  <c r="AE23" i="3"/>
  <c r="AA23" i="3"/>
  <c r="Z23" i="3"/>
  <c r="AE22" i="3"/>
  <c r="AA22" i="3"/>
  <c r="Z22" i="3"/>
  <c r="AE21" i="3"/>
  <c r="AA21" i="3"/>
  <c r="Z21" i="3"/>
  <c r="AE20" i="3"/>
  <c r="AA20" i="3"/>
  <c r="Z20" i="3"/>
  <c r="AE19" i="3"/>
  <c r="AA19" i="3"/>
  <c r="Z19" i="3"/>
  <c r="AE18" i="3"/>
  <c r="AA18" i="3"/>
  <c r="Z18" i="3"/>
  <c r="AE17" i="3"/>
  <c r="AA17" i="3"/>
  <c r="Z17" i="3"/>
  <c r="AE16" i="3"/>
  <c r="AA16" i="3"/>
  <c r="Z16" i="3"/>
  <c r="AE15" i="3"/>
  <c r="AA15" i="3"/>
  <c r="Z15" i="3"/>
  <c r="AE14" i="3"/>
  <c r="AA14" i="3"/>
  <c r="Z14" i="3"/>
  <c r="AE13" i="3"/>
  <c r="AA13" i="3"/>
  <c r="Z13" i="3"/>
  <c r="AE12" i="3"/>
  <c r="AA12" i="3"/>
  <c r="Z12" i="3"/>
  <c r="AE11" i="3"/>
  <c r="AA11" i="3"/>
  <c r="Z11" i="3"/>
  <c r="AE10" i="3"/>
  <c r="AA10" i="3"/>
  <c r="Z10" i="3"/>
  <c r="AE9" i="3"/>
  <c r="AA9" i="3"/>
  <c r="Z9" i="3"/>
  <c r="AE8" i="3"/>
  <c r="AA8" i="3"/>
  <c r="Z8" i="3"/>
  <c r="AE7" i="3"/>
  <c r="AA7" i="3"/>
  <c r="Z7" i="3"/>
  <c r="AE6" i="3"/>
  <c r="AA6" i="3"/>
  <c r="Z6" i="3"/>
  <c r="E3" i="3"/>
  <c r="W2653" i="12" a="1"/>
  <c r="W2652" i="12" a="1"/>
  <c r="V2651" i="12" a="1"/>
  <c r="U2650" i="12" a="1"/>
  <c r="X2649" i="12" a="1"/>
  <c r="W2648" i="12" a="1"/>
  <c r="V2647" i="12" a="1"/>
  <c r="U2646" i="12" a="1"/>
  <c r="X2645" i="12" a="1"/>
  <c r="W2644" i="12" a="1"/>
  <c r="V2643" i="12" a="1"/>
  <c r="U2642" i="12" a="1"/>
  <c r="X2641" i="12" a="1"/>
  <c r="W2640" i="12" a="1"/>
  <c r="V2639" i="12" a="1"/>
  <c r="U2638" i="12" a="1"/>
  <c r="X2637" i="12" a="1"/>
  <c r="W2636" i="12" a="1"/>
  <c r="V2635" i="12" a="1"/>
  <c r="U2634" i="12" a="1"/>
  <c r="X2633" i="12" a="1"/>
  <c r="W2632" i="12" a="1"/>
  <c r="V2631" i="12" a="1"/>
  <c r="U2630" i="12" a="1"/>
  <c r="X2629" i="12" a="1"/>
  <c r="W2628" i="12" a="1"/>
  <c r="V2627" i="12" a="1"/>
  <c r="U2626" i="12" a="1"/>
  <c r="X2625" i="12" a="1"/>
  <c r="W2624" i="12" a="1"/>
  <c r="V2623" i="12" a="1"/>
  <c r="U2622" i="12" a="1"/>
  <c r="X2621" i="12" a="1"/>
  <c r="W2620" i="12" a="1"/>
  <c r="V2619" i="12" a="1"/>
  <c r="U2618" i="12" a="1"/>
  <c r="X2617" i="12" a="1"/>
  <c r="W2616" i="12" a="1"/>
  <c r="V2615" i="12" a="1"/>
  <c r="U2614" i="12" a="1"/>
  <c r="X2613" i="12" a="1"/>
  <c r="W2612" i="12" a="1"/>
  <c r="V2611" i="12" a="1"/>
  <c r="W2609" i="12" a="1"/>
  <c r="W2608" i="12" a="1"/>
  <c r="W2607" i="12" a="1"/>
  <c r="W2606" i="12" a="1"/>
  <c r="X2605" i="12" a="1"/>
  <c r="U2604" i="12" a="1"/>
  <c r="X2603" i="12" a="1"/>
  <c r="X2602" i="12" a="1"/>
  <c r="U2602" i="12" a="1"/>
  <c r="X2601" i="12" a="1"/>
  <c r="W2600" i="12" a="1"/>
  <c r="W2599" i="12" a="1"/>
  <c r="V2598" i="12" a="1"/>
  <c r="U2597" i="12" a="1"/>
  <c r="X2596" i="12" a="1"/>
  <c r="W2594" i="12" a="1"/>
  <c r="W2593" i="12" a="1"/>
  <c r="V2592" i="12" a="1"/>
  <c r="U2591" i="12" a="1"/>
  <c r="X2590" i="12" a="1"/>
  <c r="W2589" i="12" a="1"/>
  <c r="V2588" i="12" a="1"/>
  <c r="V2587" i="12" a="1"/>
  <c r="U2586" i="12" a="1"/>
  <c r="X2585" i="12" a="1"/>
  <c r="U2585" i="12" a="1"/>
  <c r="X2584" i="12" a="1"/>
  <c r="W2583" i="12" a="1"/>
  <c r="V2582" i="12" a="1"/>
  <c r="U2581" i="12" a="1"/>
  <c r="X2580" i="12" a="1"/>
  <c r="W2578" i="12" a="1"/>
  <c r="W2577" i="12" a="1"/>
  <c r="V2576" i="12" a="1"/>
  <c r="U2575" i="12" a="1"/>
  <c r="X2574" i="12" a="1"/>
  <c r="W2573" i="12" a="1"/>
  <c r="V2572" i="12" a="1"/>
  <c r="U2571" i="12" a="1"/>
  <c r="X2570" i="12" a="1"/>
  <c r="W2569" i="12" a="1"/>
  <c r="V2568" i="12" a="1"/>
  <c r="V2567" i="12" a="1"/>
  <c r="U2566" i="12" a="1"/>
  <c r="X2565" i="12" a="1"/>
  <c r="W2563" i="12" a="1"/>
  <c r="V2562" i="12" a="1"/>
  <c r="U2561" i="12" a="1"/>
  <c r="X2560" i="12" a="1"/>
  <c r="U2560" i="12" a="1"/>
  <c r="X2559" i="12" a="1"/>
  <c r="W2557" i="12" a="1"/>
  <c r="V2556" i="12" a="1"/>
  <c r="U2555" i="12" a="1"/>
  <c r="X2554" i="12" a="1"/>
  <c r="W2553" i="12" a="1"/>
  <c r="W2552" i="12" a="1"/>
  <c r="W2551" i="12" a="1"/>
  <c r="V2550" i="12" a="1"/>
  <c r="W2549" i="12" a="1"/>
  <c r="W2548" i="12" a="1"/>
  <c r="W2547" i="12" a="1"/>
  <c r="V2546" i="12" a="1"/>
  <c r="U2545" i="12" a="1"/>
  <c r="X2544" i="12" a="1"/>
  <c r="W2543" i="12" a="1"/>
  <c r="V2542" i="12" a="1"/>
  <c r="U2541" i="12" a="1"/>
  <c r="X2540" i="12" a="1"/>
  <c r="W2539" i="12" a="1"/>
  <c r="V2538" i="12" a="1"/>
  <c r="U2537" i="12" a="1"/>
  <c r="X2536" i="12" a="1"/>
  <c r="W2535" i="12" a="1"/>
  <c r="V2534" i="12" a="1"/>
  <c r="V2653" i="12" a="1"/>
  <c r="V2652" i="12" a="1"/>
  <c r="U2651" i="12" a="1"/>
  <c r="X2650" i="12" a="1"/>
  <c r="W2649" i="12" a="1"/>
  <c r="V2648" i="12" a="1"/>
  <c r="U2647" i="12" a="1"/>
  <c r="X2646" i="12" a="1"/>
  <c r="W2645" i="12" a="1"/>
  <c r="V2644" i="12" a="1"/>
  <c r="U2643" i="12" a="1"/>
  <c r="X2642" i="12" a="1"/>
  <c r="W2641" i="12" a="1"/>
  <c r="V2640" i="12" a="1"/>
  <c r="U2639" i="12" a="1"/>
  <c r="X2638" i="12" a="1"/>
  <c r="W2637" i="12" a="1"/>
  <c r="V2636" i="12" a="1"/>
  <c r="U2635" i="12" a="1"/>
  <c r="X2634" i="12" a="1"/>
  <c r="W2633" i="12" a="1"/>
  <c r="V2632" i="12" a="1"/>
  <c r="U2631" i="12" a="1"/>
  <c r="X2630" i="12" a="1"/>
  <c r="W2629" i="12" a="1"/>
  <c r="V2628" i="12" a="1"/>
  <c r="U2627" i="12" a="1"/>
  <c r="X2626" i="12" a="1"/>
  <c r="W2625" i="12" a="1"/>
  <c r="V2624" i="12" a="1"/>
  <c r="U2623" i="12" a="1"/>
  <c r="X2622" i="12" a="1"/>
  <c r="W2621" i="12" a="1"/>
  <c r="V2620" i="12" a="1"/>
  <c r="U2619" i="12" a="1"/>
  <c r="X2618" i="12" a="1"/>
  <c r="W2617" i="12" a="1"/>
  <c r="V2616" i="12" a="1"/>
  <c r="U2615" i="12" a="1"/>
  <c r="X2614" i="12" a="1"/>
  <c r="W2613" i="12" a="1"/>
  <c r="V2612" i="12" a="1"/>
  <c r="U2611" i="12" a="1"/>
  <c r="V2610" i="12" a="1"/>
  <c r="V2609" i="12" a="1"/>
  <c r="V2608" i="12" a="1"/>
  <c r="V2607" i="12" a="1"/>
  <c r="W2605" i="12" a="1"/>
  <c r="W2604" i="12" a="1"/>
  <c r="W2603" i="12" a="1"/>
  <c r="W2602" i="12" a="1"/>
  <c r="W2601" i="12" a="1"/>
  <c r="V2600" i="12" a="1"/>
  <c r="V2599" i="12" a="1"/>
  <c r="U2598" i="12" a="1"/>
  <c r="X2597" i="12" a="1"/>
  <c r="W2596" i="12" a="1"/>
  <c r="W2595" i="12" a="1"/>
  <c r="V2594" i="12" a="1"/>
  <c r="V2593" i="12" a="1"/>
  <c r="U2592" i="12" a="1"/>
  <c r="X2591" i="12" a="1"/>
  <c r="W2590" i="12" a="1"/>
  <c r="V2589" i="12" a="1"/>
  <c r="U2588" i="12" a="1"/>
  <c r="X2587" i="12" a="1"/>
  <c r="U2587" i="12" a="1"/>
  <c r="X2586" i="12" a="1"/>
  <c r="W2584" i="12" a="1"/>
  <c r="V2583" i="12" a="1"/>
  <c r="U2582" i="12" a="1"/>
  <c r="X2581" i="12" a="1"/>
  <c r="W2580" i="12" a="1"/>
  <c r="W2579" i="12" a="1"/>
  <c r="V2578" i="12" a="1"/>
  <c r="V2577" i="12" a="1"/>
  <c r="U2576" i="12" a="1"/>
  <c r="X2575" i="12" a="1"/>
  <c r="W2574" i="12" a="1"/>
  <c r="V2573" i="12" a="1"/>
  <c r="U2572" i="12" a="1"/>
  <c r="X2571" i="12" a="1"/>
  <c r="W2570" i="12" a="1"/>
  <c r="V2569" i="12" a="1"/>
  <c r="U2567" i="12" a="1"/>
  <c r="U2653" i="12" a="1"/>
  <c r="X2652" i="12" a="1"/>
  <c r="U2652" i="12" a="1"/>
  <c r="X2651" i="12" a="1"/>
  <c r="W2650" i="12" a="1"/>
  <c r="V2649" i="12" a="1"/>
  <c r="U2648" i="12" a="1"/>
  <c r="X2647" i="12" a="1"/>
  <c r="W2646" i="12" a="1"/>
  <c r="V2645" i="12" a="1"/>
  <c r="U2644" i="12" a="1"/>
  <c r="X2643" i="12" a="1"/>
  <c r="W2642" i="12" a="1"/>
  <c r="V2641" i="12" a="1"/>
  <c r="U2640" i="12" a="1"/>
  <c r="X2639" i="12" a="1"/>
  <c r="W2638" i="12" a="1"/>
  <c r="V2637" i="12" a="1"/>
  <c r="U2636" i="12" a="1"/>
  <c r="X2635" i="12" a="1"/>
  <c r="W2634" i="12" a="1"/>
  <c r="V2633" i="12" a="1"/>
  <c r="U2632" i="12" a="1"/>
  <c r="X2631" i="12" a="1"/>
  <c r="W2630" i="12" a="1"/>
  <c r="V2629" i="12" a="1"/>
  <c r="U2628" i="12" a="1"/>
  <c r="X2627" i="12" a="1"/>
  <c r="W2626" i="12" a="1"/>
  <c r="V2625" i="12" a="1"/>
  <c r="U2624" i="12" a="1"/>
  <c r="X2623" i="12" a="1"/>
  <c r="W2622" i="12" a="1"/>
  <c r="V2621" i="12" a="1"/>
  <c r="U2620" i="12" a="1"/>
  <c r="X2619" i="12" a="1"/>
  <c r="W2618" i="12" a="1"/>
  <c r="V2617" i="12" a="1"/>
  <c r="U2616" i="12" a="1"/>
  <c r="X2615" i="12" a="1"/>
  <c r="W2614" i="12" a="1"/>
  <c r="V2613" i="12" a="1"/>
  <c r="U2612" i="12" a="1"/>
  <c r="X2611" i="12" a="1"/>
  <c r="X2610" i="12" a="1"/>
  <c r="U2610" i="12" a="1"/>
  <c r="U2609" i="12" a="1"/>
  <c r="X2608" i="12" a="1"/>
  <c r="U2607" i="12" a="1"/>
  <c r="V2606" i="12" a="1"/>
  <c r="V2605" i="12" a="1"/>
  <c r="V2604" i="12" a="1"/>
  <c r="V2603" i="12" a="1"/>
  <c r="U2608" i="12" a="1"/>
  <c r="X2607" i="12" a="1"/>
  <c r="X2606" i="12" a="1"/>
  <c r="V2602" i="12" a="1"/>
  <c r="U2596" i="12" a="1"/>
  <c r="X2595" i="12" a="1"/>
  <c r="U2590" i="12" a="1"/>
  <c r="X2589" i="12" a="1"/>
  <c r="V2586" i="12" a="1"/>
  <c r="W2585" i="12" a="1"/>
  <c r="W2582" i="12" a="1"/>
  <c r="W2581" i="12" a="1"/>
  <c r="U2579" i="12" a="1"/>
  <c r="X2578" i="12" a="1"/>
  <c r="W2576" i="12" a="1"/>
  <c r="W2575" i="12" a="1"/>
  <c r="W2572" i="12" a="1"/>
  <c r="W2571" i="12" a="1"/>
  <c r="W2568" i="12" a="1"/>
  <c r="V2566" i="12" a="1"/>
  <c r="W2565" i="12" a="1"/>
  <c r="V2564" i="12" a="1"/>
  <c r="W2562" i="12" a="1"/>
  <c r="W2560" i="12" a="1"/>
  <c r="W2558" i="12" a="1"/>
  <c r="U2557" i="12" a="1"/>
  <c r="X2556" i="12" a="1"/>
  <c r="V2555" i="12" a="1"/>
  <c r="W2554" i="12" a="1"/>
  <c r="U2553" i="12" a="1"/>
  <c r="X2552" i="12" a="1"/>
  <c r="U2549" i="12" a="1"/>
  <c r="X2548" i="12" a="1"/>
  <c r="U2548" i="12" a="1"/>
  <c r="X2547" i="12" a="1"/>
  <c r="U2546" i="12" a="1"/>
  <c r="X2545" i="12" a="1"/>
  <c r="U2544" i="12" a="1"/>
  <c r="X2543" i="12" a="1"/>
  <c r="U2542" i="12" a="1"/>
  <c r="X2541" i="12" a="1"/>
  <c r="U2540" i="12" a="1"/>
  <c r="X2539" i="12" a="1"/>
  <c r="U2538" i="12" a="1"/>
  <c r="X2537" i="12" a="1"/>
  <c r="U2536" i="12" a="1"/>
  <c r="X2535" i="12" a="1"/>
  <c r="U2534" i="12" a="1"/>
  <c r="X2533" i="12" a="1"/>
  <c r="W2532" i="12" a="1"/>
  <c r="V2531" i="12" a="1"/>
  <c r="U2530" i="12" a="1"/>
  <c r="X2529" i="12" a="1"/>
  <c r="W2528" i="12" a="1"/>
  <c r="V2527" i="12" a="1"/>
  <c r="U2526" i="12" a="1"/>
  <c r="X2525" i="12" a="1"/>
  <c r="W2524" i="12" a="1"/>
  <c r="V2523" i="12" a="1"/>
  <c r="U2522" i="12" a="1"/>
  <c r="X2521" i="12" a="1"/>
  <c r="W2520" i="12" a="1"/>
  <c r="V2519" i="12" a="1"/>
  <c r="U2518" i="12" a="1"/>
  <c r="X2517" i="12" a="1"/>
  <c r="W2516" i="12" a="1"/>
  <c r="V2515" i="12" a="1"/>
  <c r="U2514" i="12" a="1"/>
  <c r="X2513" i="12" a="1"/>
  <c r="W2512" i="12" a="1"/>
  <c r="V2511" i="12" a="1"/>
  <c r="U2510" i="12" a="1"/>
  <c r="X2509" i="12" a="1"/>
  <c r="W2508" i="12" a="1"/>
  <c r="V2507" i="12" a="1"/>
  <c r="U2506" i="12" a="1"/>
  <c r="X2505" i="12" a="1"/>
  <c r="W2504" i="12" a="1"/>
  <c r="V2503" i="12" a="1"/>
  <c r="U2502" i="12" a="1"/>
  <c r="X2501" i="12" a="1"/>
  <c r="W2500" i="12" a="1"/>
  <c r="V2499" i="12" a="1"/>
  <c r="U2498" i="12" a="1"/>
  <c r="X2497" i="12" a="1"/>
  <c r="W2496" i="12" a="1"/>
  <c r="V2495" i="12" a="1"/>
  <c r="U2494" i="12" a="1"/>
  <c r="X2493" i="12" a="1"/>
  <c r="W2492" i="12" a="1"/>
  <c r="V2491" i="12" a="1"/>
  <c r="U2490" i="12" a="1"/>
  <c r="X2489" i="12" a="1"/>
  <c r="W2488" i="12" a="1"/>
  <c r="V2487" i="12" a="1"/>
  <c r="U2486" i="12" a="1"/>
  <c r="X2485" i="12" a="1"/>
  <c r="W2484" i="12" a="1"/>
  <c r="V2483" i="12" a="1"/>
  <c r="U2482" i="12" a="1"/>
  <c r="X2481" i="12" a="1"/>
  <c r="W2480" i="12" a="1"/>
  <c r="V2479" i="12" a="1"/>
  <c r="U2478" i="12" a="1"/>
  <c r="X2477" i="12" a="1"/>
  <c r="W2476" i="12" a="1"/>
  <c r="V2475" i="12" a="1"/>
  <c r="U2474" i="12" a="1"/>
  <c r="X2473" i="12" a="1"/>
  <c r="W2472" i="12" a="1"/>
  <c r="V2471" i="12" a="1"/>
  <c r="U2470" i="12" a="1"/>
  <c r="X2469" i="12" a="1"/>
  <c r="W2468" i="12" a="1"/>
  <c r="V2467" i="12" a="1"/>
  <c r="U2466" i="12" a="1"/>
  <c r="X2465" i="12" a="1"/>
  <c r="W2464" i="12" a="1"/>
  <c r="V2463" i="12" a="1"/>
  <c r="U2606" i="12" a="1"/>
  <c r="V2601" i="12" a="1"/>
  <c r="U2599" i="12" a="1"/>
  <c r="X2598" i="12" a="1"/>
  <c r="V2595" i="12" a="1"/>
  <c r="U2593" i="12" a="1"/>
  <c r="X2592" i="12" a="1"/>
  <c r="U2589" i="12" a="1"/>
  <c r="X2588" i="12" a="1"/>
  <c r="V2585" i="12" a="1"/>
  <c r="V2584" i="12" a="1"/>
  <c r="V2581" i="12" a="1"/>
  <c r="V2580" i="12" a="1"/>
  <c r="U2578" i="12" a="1"/>
  <c r="X2577" i="12" a="1"/>
  <c r="V2575" i="12" a="1"/>
  <c r="V2574" i="12" a="1"/>
  <c r="V2571" i="12" a="1"/>
  <c r="V2570" i="12" a="1"/>
  <c r="U2568" i="12" a="1"/>
  <c r="X2567" i="12" a="1"/>
  <c r="V2565" i="12" a="1"/>
  <c r="U2564" i="12" a="1"/>
  <c r="X2563" i="12" a="1"/>
  <c r="U2562" i="12" a="1"/>
  <c r="X2561" i="12" a="1"/>
  <c r="V2560" i="12" a="1"/>
  <c r="W2559" i="12" a="1"/>
  <c r="V2558" i="12" a="1"/>
  <c r="W2556" i="12" a="1"/>
  <c r="V2554" i="12" a="1"/>
  <c r="V2551" i="12" a="1"/>
  <c r="U2550" i="12" a="1"/>
  <c r="X2549" i="12" a="1"/>
  <c r="V2547" i="12" a="1"/>
  <c r="W2545" i="12" a="1"/>
  <c r="V2543" i="12" a="1"/>
  <c r="W2541" i="12" a="1"/>
  <c r="V2539" i="12" a="1"/>
  <c r="W2537" i="12" a="1"/>
  <c r="V2535" i="12" a="1"/>
  <c r="W2533" i="12" a="1"/>
  <c r="V2532" i="12" a="1"/>
  <c r="U2531" i="12" a="1"/>
  <c r="X2530" i="12" a="1"/>
  <c r="W2529" i="12" a="1"/>
  <c r="V2528" i="12" a="1"/>
  <c r="U2527" i="12" a="1"/>
  <c r="X2526" i="12" a="1"/>
  <c r="W2525" i="12" a="1"/>
  <c r="U2605" i="12" a="1"/>
  <c r="X2604" i="12" a="1"/>
  <c r="U2601" i="12" a="1"/>
  <c r="X2600" i="12" a="1"/>
  <c r="W2598" i="12" a="1"/>
  <c r="W2597" i="12" a="1"/>
  <c r="U2595" i="12" a="1"/>
  <c r="X2594" i="12" a="1"/>
  <c r="W2592" i="12" a="1"/>
  <c r="W2591" i="12" a="1"/>
  <c r="W2588" i="12" a="1"/>
  <c r="U2584" i="12" a="1"/>
  <c r="X2583" i="12" a="1"/>
  <c r="U2580" i="12" a="1"/>
  <c r="X2579" i="12" a="1"/>
  <c r="U2574" i="12" a="1"/>
  <c r="X2573" i="12" a="1"/>
  <c r="U2570" i="12" a="1"/>
  <c r="X2569" i="12" a="1"/>
  <c r="W2567" i="12" a="1"/>
  <c r="X2566" i="12" a="1"/>
  <c r="U2565" i="12" a="1"/>
  <c r="X2564" i="12" a="1"/>
  <c r="V2563" i="12" a="1"/>
  <c r="W2561" i="12" a="1"/>
  <c r="V2559" i="12" a="1"/>
  <c r="U2558" i="12" a="1"/>
  <c r="X2557" i="12" a="1"/>
  <c r="U2556" i="12" a="1"/>
  <c r="X2555" i="12" a="1"/>
  <c r="U2554" i="12" a="1"/>
  <c r="X2553" i="12" a="1"/>
  <c r="V2552" i="12" a="1"/>
  <c r="U2551" i="12" a="1"/>
  <c r="X2550" i="12" a="1"/>
  <c r="V2548" i="12" a="1"/>
  <c r="U2547" i="12" a="1"/>
  <c r="X2546" i="12" a="1"/>
  <c r="V2545" i="12" a="1"/>
  <c r="W2544" i="12" a="1"/>
  <c r="U2543" i="12" a="1"/>
  <c r="X2542" i="12" a="1"/>
  <c r="V2541" i="12" a="1"/>
  <c r="W2540" i="12" a="1"/>
  <c r="U2539" i="12" a="1"/>
  <c r="X2538" i="12" a="1"/>
  <c r="V2537" i="12" a="1"/>
  <c r="W2536" i="12" a="1"/>
  <c r="U2535" i="12" a="1"/>
  <c r="X2534" i="12" a="1"/>
  <c r="V2533" i="12" a="1"/>
  <c r="U2532" i="12" a="1"/>
  <c r="X2531" i="12" a="1"/>
  <c r="W2530" i="12" a="1"/>
  <c r="V2529" i="12" a="1"/>
  <c r="U2528" i="12" a="1"/>
  <c r="X2527" i="12" a="1"/>
  <c r="W2526" i="12" a="1"/>
  <c r="V2525" i="12" a="1"/>
  <c r="U2524" i="12" a="1"/>
  <c r="X2523" i="12" a="1"/>
  <c r="W2522" i="12" a="1"/>
  <c r="V2521" i="12" a="1"/>
  <c r="U2520" i="12" a="1"/>
  <c r="X2519" i="12" a="1"/>
  <c r="W2518" i="12" a="1"/>
  <c r="V2517" i="12" a="1"/>
  <c r="U2516" i="12" a="1"/>
  <c r="X2515" i="12" a="1"/>
  <c r="W2514" i="12" a="1"/>
  <c r="V2513" i="12" a="1"/>
  <c r="U2512" i="12" a="1"/>
  <c r="X2511" i="12" a="1"/>
  <c r="W2510" i="12" a="1"/>
  <c r="V2509" i="12" a="1"/>
  <c r="U2508" i="12" a="1"/>
  <c r="X2507" i="12" a="1"/>
  <c r="W2506" i="12" a="1"/>
  <c r="V2505" i="12" a="1"/>
  <c r="U2504" i="12" a="1"/>
  <c r="X2503" i="12" a="1"/>
  <c r="W2502" i="12" a="1"/>
  <c r="V2501" i="12" a="1"/>
  <c r="U2500" i="12" a="1"/>
  <c r="X2499" i="12" a="1"/>
  <c r="W2498" i="12" a="1"/>
  <c r="V2497" i="12" a="1"/>
  <c r="U2496" i="12" a="1"/>
  <c r="X2495" i="12" a="1"/>
  <c r="W2494" i="12" a="1"/>
  <c r="V2493" i="12" a="1"/>
  <c r="U2492" i="12" a="1"/>
  <c r="X2491" i="12" a="1"/>
  <c r="W2490" i="12" a="1"/>
  <c r="V2489" i="12" a="1"/>
  <c r="U2488" i="12" a="1"/>
  <c r="X2487" i="12" a="1"/>
  <c r="W2486" i="12" a="1"/>
  <c r="V2485" i="12" a="1"/>
  <c r="U2484" i="12" a="1"/>
  <c r="X2483" i="12" a="1"/>
  <c r="W2482" i="12" a="1"/>
  <c r="V2481" i="12" a="1"/>
  <c r="U2480" i="12" a="1"/>
  <c r="X2479" i="12" a="1"/>
  <c r="W2478" i="12" a="1"/>
  <c r="V2477" i="12" a="1"/>
  <c r="U2476" i="12" a="1"/>
  <c r="X2475" i="12" a="1"/>
  <c r="W2474" i="12" a="1"/>
  <c r="V2473" i="12" a="1"/>
  <c r="U2472" i="12" a="1"/>
  <c r="X2471" i="12" a="1"/>
  <c r="W2470" i="12" a="1"/>
  <c r="V2469" i="12" a="1"/>
  <c r="U2468" i="12" a="1"/>
  <c r="X2467" i="12" a="1"/>
  <c r="W2466" i="12" a="1"/>
  <c r="V2465" i="12" a="1"/>
  <c r="U2464" i="12" a="1"/>
  <c r="X2463" i="12" a="1"/>
  <c r="W2462" i="12" a="1"/>
  <c r="V2461" i="12" a="1"/>
  <c r="U2603" i="12" a="1"/>
  <c r="V2591" i="12" a="1"/>
  <c r="V2590" i="12" a="1"/>
  <c r="U2583" i="12" a="1"/>
  <c r="X2582" i="12" a="1"/>
  <c r="W2566" i="12" a="1"/>
  <c r="W2546" i="12" a="1"/>
  <c r="W2538" i="12" a="1"/>
  <c r="U2523" i="12" a="1"/>
  <c r="X2522" i="12" a="1"/>
  <c r="U2519" i="12" a="1"/>
  <c r="X2518" i="12" a="1"/>
  <c r="U2515" i="12" a="1"/>
  <c r="X2514" i="12" a="1"/>
  <c r="U2511" i="12" a="1"/>
  <c r="X2510" i="12" a="1"/>
  <c r="U2507" i="12" a="1"/>
  <c r="X2506" i="12" a="1"/>
  <c r="U2503" i="12" a="1"/>
  <c r="X2502" i="12" a="1"/>
  <c r="U2499" i="12" a="1"/>
  <c r="X2498" i="12" a="1"/>
  <c r="U2495" i="12" a="1"/>
  <c r="X2494" i="12" a="1"/>
  <c r="U2491" i="12" a="1"/>
  <c r="X2490" i="12" a="1"/>
  <c r="U2487" i="12" a="1"/>
  <c r="X2486" i="12" a="1"/>
  <c r="U2483" i="12" a="1"/>
  <c r="X2482" i="12" a="1"/>
  <c r="U2479" i="12" a="1"/>
  <c r="X2478" i="12" a="1"/>
  <c r="U2475" i="12" a="1"/>
  <c r="X2474" i="12" a="1"/>
  <c r="U2471" i="12" a="1"/>
  <c r="X2470" i="12" a="1"/>
  <c r="U2467" i="12" a="1"/>
  <c r="X2466" i="12" a="1"/>
  <c r="U2463" i="12" a="1"/>
  <c r="X2462" i="12" a="1"/>
  <c r="U2461" i="12" a="1"/>
  <c r="X2460" i="12" a="1"/>
  <c r="W2459" i="12" a="1"/>
  <c r="V2458" i="12" a="1"/>
  <c r="U2457" i="12" a="1"/>
  <c r="X2456" i="12" a="1"/>
  <c r="W2455" i="12" a="1"/>
  <c r="V2454" i="12" a="1"/>
  <c r="U2453" i="12" a="1"/>
  <c r="X2452" i="12" a="1"/>
  <c r="W2451" i="12" a="1"/>
  <c r="V2450" i="12" a="1"/>
  <c r="U2449" i="12" a="1"/>
  <c r="X2448" i="12" a="1"/>
  <c r="W2447" i="12" a="1"/>
  <c r="V2446" i="12" a="1"/>
  <c r="V2445" i="12" a="1"/>
  <c r="U2444" i="12" a="1"/>
  <c r="X2443" i="12" a="1"/>
  <c r="W2442" i="12" a="1"/>
  <c r="W2441" i="12" a="1"/>
  <c r="V2440" i="12" a="1"/>
  <c r="U2439" i="12" a="1"/>
  <c r="X2438" i="12" a="1"/>
  <c r="X2437" i="12" a="1"/>
  <c r="W2436" i="12" a="1"/>
  <c r="V2435" i="12" a="1"/>
  <c r="U2434" i="12" a="1"/>
  <c r="U2433" i="12" a="1"/>
  <c r="X2432" i="12" a="1"/>
  <c r="W2431" i="12" a="1"/>
  <c r="V2430" i="12" a="1"/>
  <c r="V2429" i="12" a="1"/>
  <c r="U2428" i="12" a="1"/>
  <c r="X2427" i="12" a="1"/>
  <c r="W2426" i="12" a="1"/>
  <c r="W2425" i="12" a="1"/>
  <c r="V2424" i="12" a="1"/>
  <c r="U2423" i="12" a="1"/>
  <c r="X2422" i="12" a="1"/>
  <c r="X2421" i="12" a="1"/>
  <c r="W2420" i="12" a="1"/>
  <c r="V2419" i="12" a="1"/>
  <c r="U2418" i="12" a="1"/>
  <c r="U2417" i="12" a="1"/>
  <c r="X2416" i="12" a="1"/>
  <c r="W2415" i="12" a="1"/>
  <c r="V2414" i="12" a="1"/>
  <c r="V2413" i="12" a="1"/>
  <c r="U2412" i="12" a="1"/>
  <c r="X2411" i="12" a="1"/>
  <c r="W2410" i="12" a="1"/>
  <c r="W2409" i="12" a="1"/>
  <c r="V2408" i="12" a="1"/>
  <c r="U2407" i="12" a="1"/>
  <c r="X2406" i="12" a="1"/>
  <c r="X2405" i="12" a="1"/>
  <c r="W2404" i="12" a="1"/>
  <c r="V2403" i="12" a="1"/>
  <c r="U2402" i="12" a="1"/>
  <c r="U2401" i="12" a="1"/>
  <c r="X2400" i="12" a="1"/>
  <c r="W2399" i="12" a="1"/>
  <c r="W2398" i="12" a="1"/>
  <c r="W2397" i="12" a="1"/>
  <c r="X2396" i="12" a="1"/>
  <c r="X2395" i="12" a="1"/>
  <c r="U2395" i="12" a="1"/>
  <c r="X2394" i="12" a="1"/>
  <c r="W2393" i="12" a="1"/>
  <c r="X2392" i="12" a="1"/>
  <c r="X2391" i="12" a="1"/>
  <c r="X2390" i="12" a="1"/>
  <c r="X2389" i="12" a="1"/>
  <c r="X2388" i="12" a="1"/>
  <c r="X2387" i="12" a="1"/>
  <c r="U2387" i="12" a="1"/>
  <c r="X2386" i="12" a="1"/>
  <c r="W2385" i="12" a="1"/>
  <c r="V2384" i="12" a="1"/>
  <c r="V2383" i="12" a="1"/>
  <c r="V2382" i="12" a="1"/>
  <c r="V2381" i="12" a="1"/>
  <c r="U2380" i="12" a="1"/>
  <c r="X2379" i="12" a="1"/>
  <c r="U2379" i="12" a="1"/>
  <c r="U2378" i="12" a="1"/>
  <c r="U2377" i="12" a="1"/>
  <c r="X2376" i="12" a="1"/>
  <c r="W2375" i="12" a="1"/>
  <c r="X2374" i="12" a="1"/>
  <c r="X2373" i="12" a="1"/>
  <c r="W2372" i="12" a="1"/>
  <c r="W2370" i="12" a="1"/>
  <c r="W2369" i="12" a="1"/>
  <c r="V2368" i="12" a="1"/>
  <c r="U2594" i="12" a="1"/>
  <c r="X2593" i="12" a="1"/>
  <c r="U2577" i="12" a="1"/>
  <c r="X2576" i="12" a="1"/>
  <c r="U2569" i="12" a="1"/>
  <c r="X2568" i="12" a="1"/>
  <c r="V2553" i="12" a="1"/>
  <c r="U2552" i="12" a="1"/>
  <c r="X2551" i="12" a="1"/>
  <c r="W2550" i="12" a="1"/>
  <c r="V2549" i="12" a="1"/>
  <c r="V2540" i="12" a="1"/>
  <c r="V2522" i="12" a="1"/>
  <c r="W2521" i="12" a="1"/>
  <c r="V2518" i="12" a="1"/>
  <c r="W2517" i="12" a="1"/>
  <c r="V2514" i="12" a="1"/>
  <c r="W2513" i="12" a="1"/>
  <c r="V2510" i="12" a="1"/>
  <c r="W2509" i="12" a="1"/>
  <c r="V2506" i="12" a="1"/>
  <c r="W2505" i="12" a="1"/>
  <c r="V2502" i="12" a="1"/>
  <c r="W2501" i="12" a="1"/>
  <c r="V2498" i="12" a="1"/>
  <c r="W2497" i="12" a="1"/>
  <c r="V2494" i="12" a="1"/>
  <c r="W2493" i="12" a="1"/>
  <c r="V2490" i="12" a="1"/>
  <c r="W2489" i="12" a="1"/>
  <c r="V2486" i="12" a="1"/>
  <c r="W2485" i="12" a="1"/>
  <c r="V2482" i="12" a="1"/>
  <c r="W2481" i="12" a="1"/>
  <c r="V2478" i="12" a="1"/>
  <c r="W2477" i="12" a="1"/>
  <c r="V2474" i="12" a="1"/>
  <c r="W2473" i="12" a="1"/>
  <c r="V2470" i="12" a="1"/>
  <c r="W2469" i="12" a="1"/>
  <c r="V2466" i="12" a="1"/>
  <c r="W2465" i="12" a="1"/>
  <c r="V2462" i="12" a="1"/>
  <c r="W2460" i="12" a="1"/>
  <c r="V2459" i="12" a="1"/>
  <c r="U2458" i="12" a="1"/>
  <c r="X2457" i="12" a="1"/>
  <c r="W2456" i="12" a="1"/>
  <c r="V2455" i="12" a="1"/>
  <c r="U2454" i="12" a="1"/>
  <c r="X2453" i="12" a="1"/>
  <c r="W2452" i="12" a="1"/>
  <c r="V2451" i="12" a="1"/>
  <c r="U2450" i="12" a="1"/>
  <c r="X2449" i="12" a="1"/>
  <c r="W2448" i="12" a="1"/>
  <c r="V2447" i="12" a="1"/>
  <c r="U2446" i="12" a="1"/>
  <c r="U2445" i="12" a="1"/>
  <c r="X2444" i="12" a="1"/>
  <c r="W2443" i="12" a="1"/>
  <c r="V2442" i="12" a="1"/>
  <c r="V2441" i="12" a="1"/>
  <c r="U2440" i="12" a="1"/>
  <c r="X2439" i="12" a="1"/>
  <c r="W2438" i="12" a="1"/>
  <c r="W2437" i="12" a="1"/>
  <c r="V2436" i="12" a="1"/>
  <c r="U2435" i="12" a="1"/>
  <c r="X2434" i="12" a="1"/>
  <c r="X2433" i="12" a="1"/>
  <c r="W2432" i="12" a="1"/>
  <c r="V2431" i="12" a="1"/>
  <c r="U2430" i="12" a="1"/>
  <c r="U2429" i="12" a="1"/>
  <c r="X2428" i="12" a="1"/>
  <c r="W2427" i="12" a="1"/>
  <c r="V2426" i="12" a="1"/>
  <c r="V2425" i="12" a="1"/>
  <c r="U2424" i="12" a="1"/>
  <c r="X2423" i="12" a="1"/>
  <c r="W2422" i="12" a="1"/>
  <c r="W2421" i="12" a="1"/>
  <c r="V2420" i="12" a="1"/>
  <c r="U2419" i="12" a="1"/>
  <c r="X2418" i="12" a="1"/>
  <c r="X2417" i="12" a="1"/>
  <c r="W2416" i="12" a="1"/>
  <c r="V2415" i="12" a="1"/>
  <c r="U2414" i="12" a="1"/>
  <c r="U2413" i="12" a="1"/>
  <c r="X2412" i="12" a="1"/>
  <c r="W2411" i="12" a="1"/>
  <c r="V2410" i="12" a="1"/>
  <c r="V2409" i="12" a="1"/>
  <c r="U2408" i="12" a="1"/>
  <c r="X2407" i="12" a="1"/>
  <c r="W2406" i="12" a="1"/>
  <c r="W2405" i="12" a="1"/>
  <c r="V2404" i="12" a="1"/>
  <c r="U2403" i="12" a="1"/>
  <c r="X2402" i="12" a="1"/>
  <c r="X2401" i="12" a="1"/>
  <c r="W2400" i="12" a="1"/>
  <c r="V2399" i="12" a="1"/>
  <c r="V2398" i="12" a="1"/>
  <c r="W2396" i="12" a="1"/>
  <c r="W2395" i="12" a="1"/>
  <c r="W2394" i="12" a="1"/>
  <c r="W2392" i="12" a="1"/>
  <c r="W2391" i="12" a="1"/>
  <c r="W2390" i="12" a="1"/>
  <c r="W2389" i="12" a="1"/>
  <c r="W2388" i="12" a="1"/>
  <c r="W2387" i="12" a="1"/>
  <c r="W2386" i="12" a="1"/>
  <c r="V2385" i="12" a="1"/>
  <c r="U2384" i="12" a="1"/>
  <c r="V2597" i="12" a="1"/>
  <c r="V2596" i="12" a="1"/>
  <c r="W2587" i="12" a="1"/>
  <c r="W2586" i="12" a="1"/>
  <c r="V2579" i="12" a="1"/>
  <c r="W2555" i="12" a="1"/>
  <c r="W2542" i="12" a="1"/>
  <c r="W2534" i="12" a="1"/>
  <c r="U2533" i="12" a="1"/>
  <c r="X2532" i="12" a="1"/>
  <c r="W2531" i="12" a="1"/>
  <c r="V2530" i="12" a="1"/>
  <c r="U2529" i="12" a="1"/>
  <c r="X2528" i="12" a="1"/>
  <c r="W2527" i="12" a="1"/>
  <c r="V2526" i="12" a="1"/>
  <c r="U2525" i="12" a="1"/>
  <c r="X2524" i="12" a="1"/>
  <c r="U2521" i="12" a="1"/>
  <c r="X2520" i="12" a="1"/>
  <c r="U2517" i="12" a="1"/>
  <c r="X2516" i="12" a="1"/>
  <c r="U2513" i="12" a="1"/>
  <c r="X2512" i="12" a="1"/>
  <c r="U2509" i="12" a="1"/>
  <c r="X2508" i="12" a="1"/>
  <c r="U2505" i="12" a="1"/>
  <c r="X2504" i="12" a="1"/>
  <c r="U2501" i="12" a="1"/>
  <c r="X2500" i="12" a="1"/>
  <c r="U2497" i="12" a="1"/>
  <c r="X2496" i="12" a="1"/>
  <c r="U2493" i="12" a="1"/>
  <c r="X2492" i="12" a="1"/>
  <c r="U2489" i="12" a="1"/>
  <c r="X2488" i="12" a="1"/>
  <c r="U2485" i="12" a="1"/>
  <c r="X2484" i="12" a="1"/>
  <c r="U2481" i="12" a="1"/>
  <c r="X2480" i="12" a="1"/>
  <c r="U2477" i="12" a="1"/>
  <c r="X2476" i="12" a="1"/>
  <c r="U2473" i="12" a="1"/>
  <c r="X2472" i="12" a="1"/>
  <c r="U2469" i="12" a="1"/>
  <c r="X2468" i="12" a="1"/>
  <c r="U2465" i="12" a="1"/>
  <c r="X2464" i="12" a="1"/>
  <c r="U2462" i="12" a="1"/>
  <c r="X2461" i="12" a="1"/>
  <c r="V2460" i="12" a="1"/>
  <c r="U2459" i="12" a="1"/>
  <c r="X2458" i="12" a="1"/>
  <c r="W2457" i="12" a="1"/>
  <c r="V2456" i="12" a="1"/>
  <c r="U2455" i="12" a="1"/>
  <c r="X2454" i="12" a="1"/>
  <c r="W2453" i="12" a="1"/>
  <c r="V2452" i="12" a="1"/>
  <c r="U2451" i="12" a="1"/>
  <c r="X2450" i="12" a="1"/>
  <c r="W2449" i="12" a="1"/>
  <c r="V2448" i="12" a="1"/>
  <c r="U2447" i="12" a="1"/>
  <c r="X2446" i="12" a="1"/>
  <c r="X2445" i="12" a="1"/>
  <c r="W2444" i="12" a="1"/>
  <c r="V2443" i="12" a="1"/>
  <c r="U2442" i="12" a="1"/>
  <c r="U2441" i="12" a="1"/>
  <c r="X2440" i="12" a="1"/>
  <c r="W2439" i="12" a="1"/>
  <c r="V2438" i="12" a="1"/>
  <c r="V2437" i="12" a="1"/>
  <c r="U2436" i="12" a="1"/>
  <c r="X2435" i="12" a="1"/>
  <c r="W2434" i="12" a="1"/>
  <c r="W2433" i="12" a="1"/>
  <c r="V2432" i="12" a="1"/>
  <c r="U2431" i="12" a="1"/>
  <c r="X2430" i="12" a="1"/>
  <c r="X2429" i="12" a="1"/>
  <c r="W2428" i="12" a="1"/>
  <c r="V2427" i="12" a="1"/>
  <c r="U2426" i="12" a="1"/>
  <c r="U2425" i="12" a="1"/>
  <c r="X2424" i="12" a="1"/>
  <c r="W2423" i="12" a="1"/>
  <c r="V2422" i="12" a="1"/>
  <c r="V2421" i="12" a="1"/>
  <c r="U2420" i="12" a="1"/>
  <c r="X2419" i="12" a="1"/>
  <c r="W2418" i="12" a="1"/>
  <c r="W2417" i="12" a="1"/>
  <c r="V2416" i="12" a="1"/>
  <c r="U2415" i="12" a="1"/>
  <c r="X2414" i="12" a="1"/>
  <c r="X2413" i="12" a="1"/>
  <c r="W2412" i="12" a="1"/>
  <c r="V2411" i="12" a="1"/>
  <c r="U2410" i="12" a="1"/>
  <c r="U2409" i="12" a="1"/>
  <c r="X2408" i="12" a="1"/>
  <c r="W2407" i="12" a="1"/>
  <c r="V2406" i="12" a="1"/>
  <c r="V2405" i="12" a="1"/>
  <c r="U2404" i="12" a="1"/>
  <c r="X2403" i="12" a="1"/>
  <c r="W2402" i="12" a="1"/>
  <c r="W2401" i="12" a="1"/>
  <c r="V2400" i="12" a="1"/>
  <c r="U2399" i="12" a="1"/>
  <c r="U2398" i="12" a="1"/>
  <c r="U2600" i="12" a="1"/>
  <c r="X2599" i="12" a="1"/>
  <c r="W2564" i="12" a="1"/>
  <c r="U2563" i="12" a="1"/>
  <c r="X2562" i="12" a="1"/>
  <c r="V2561" i="12" a="1"/>
  <c r="U2559" i="12" a="1"/>
  <c r="X2558" i="12" a="1"/>
  <c r="V2557" i="12" a="1"/>
  <c r="V2544" i="12" a="1"/>
  <c r="V2520" i="12" a="1"/>
  <c r="W2519" i="12" a="1"/>
  <c r="V2512" i="12" a="1"/>
  <c r="W2511" i="12" a="1"/>
  <c r="V2504" i="12" a="1"/>
  <c r="W2503" i="12" a="1"/>
  <c r="V2496" i="12" a="1"/>
  <c r="W2495" i="12" a="1"/>
  <c r="V2488" i="12" a="1"/>
  <c r="W2487" i="12" a="1"/>
  <c r="V2480" i="12" a="1"/>
  <c r="W2479" i="12" a="1"/>
  <c r="V2472" i="12" a="1"/>
  <c r="W2471" i="12" a="1"/>
  <c r="V2464" i="12" a="1"/>
  <c r="W2463" i="12" a="1"/>
  <c r="U2437" i="12" a="1"/>
  <c r="X2436" i="12" a="1"/>
  <c r="W2435" i="12" a="1"/>
  <c r="V2434" i="12" a="1"/>
  <c r="V2433" i="12" a="1"/>
  <c r="U2432" i="12" a="1"/>
  <c r="X2431" i="12" a="1"/>
  <c r="W2430" i="12" a="1"/>
  <c r="W2429" i="12" a="1"/>
  <c r="V2428" i="12" a="1"/>
  <c r="U2427" i="12" a="1"/>
  <c r="X2426" i="12" a="1"/>
  <c r="X2425" i="12" a="1"/>
  <c r="W2424" i="12" a="1"/>
  <c r="V2423" i="12" a="1"/>
  <c r="U2422" i="12" a="1"/>
  <c r="V2397" i="12" a="1"/>
  <c r="U2393" i="12" a="1"/>
  <c r="U2391" i="12" a="1"/>
  <c r="U2389" i="12" a="1"/>
  <c r="V2387" i="12" a="1"/>
  <c r="V2386" i="12" a="1"/>
  <c r="W2383" i="12" a="1"/>
  <c r="W2382" i="12" a="1"/>
  <c r="U2381" i="12" a="1"/>
  <c r="X2380" i="12" a="1"/>
  <c r="V2379" i="12" a="1"/>
  <c r="X2378" i="12" a="1"/>
  <c r="V2377" i="12" a="1"/>
  <c r="W2376" i="12" a="1"/>
  <c r="V2375" i="12" a="1"/>
  <c r="U2374" i="12" a="1"/>
  <c r="V2372" i="12" a="1"/>
  <c r="U2371" i="12" a="1"/>
  <c r="X2369" i="12" a="1"/>
  <c r="U2368" i="12" a="1"/>
  <c r="X2367" i="12" a="1"/>
  <c r="U2367" i="12" a="1"/>
  <c r="U2366" i="12" a="1"/>
  <c r="U2365" i="12" a="1"/>
  <c r="X2364" i="12" a="1"/>
  <c r="W2363" i="12" a="1"/>
  <c r="W2362" i="12" a="1"/>
  <c r="W2360" i="12" a="1"/>
  <c r="W2359" i="12" a="1"/>
  <c r="V2358" i="12" a="1"/>
  <c r="V2357" i="12" a="1"/>
  <c r="V2356" i="12" a="1"/>
  <c r="V2355" i="12" a="1"/>
  <c r="U2354" i="12" a="1"/>
  <c r="X2353" i="12" a="1"/>
  <c r="W2352" i="12" a="1"/>
  <c r="V2351" i="12" a="1"/>
  <c r="U2350" i="12" a="1"/>
  <c r="X2349" i="12" a="1"/>
  <c r="W2348" i="12" a="1"/>
  <c r="W2347" i="12" a="1"/>
  <c r="V2346" i="12" a="1"/>
  <c r="U2345" i="12" a="1"/>
  <c r="X2344" i="12" a="1"/>
  <c r="W2343" i="12" a="1"/>
  <c r="V2342" i="12" a="1"/>
  <c r="U2341" i="12" a="1"/>
  <c r="X2340" i="12" a="1"/>
  <c r="W2339" i="12" a="1"/>
  <c r="V2338" i="12" a="1"/>
  <c r="U2337" i="12" a="1"/>
  <c r="X2336" i="12" a="1"/>
  <c r="U2336" i="12" a="1"/>
  <c r="X2335" i="12" a="1"/>
  <c r="W2334" i="12" a="1"/>
  <c r="W2333" i="12" a="1"/>
  <c r="V2331" i="12" a="1"/>
  <c r="U2330" i="12" a="1"/>
  <c r="X2329" i="12" a="1"/>
  <c r="W2328" i="12" a="1"/>
  <c r="W2327" i="12" a="1"/>
  <c r="V2325" i="12" a="1"/>
  <c r="U2324" i="12" a="1"/>
  <c r="X2323" i="12" a="1"/>
  <c r="W2322" i="12" a="1"/>
  <c r="V2321" i="12" a="1"/>
  <c r="V2320" i="12" a="1"/>
  <c r="U2319" i="12" a="1"/>
  <c r="X2318" i="12" a="1"/>
  <c r="W2317" i="12" a="1"/>
  <c r="V2316" i="12" a="1"/>
  <c r="U2315" i="12" a="1"/>
  <c r="X2314" i="12" a="1"/>
  <c r="W2313" i="12" a="1"/>
  <c r="W2273" i="12" a="1"/>
  <c r="W2272" i="12" a="1"/>
  <c r="W2271" i="12" a="1"/>
  <c r="V2270" i="12" a="1"/>
  <c r="V2269" i="12" a="1"/>
  <c r="V2268" i="12" a="1"/>
  <c r="V2267" i="12" a="1"/>
  <c r="W2265" i="12" a="1"/>
  <c r="W2264" i="12" a="1"/>
  <c r="W2263" i="12" a="1"/>
  <c r="V2262" i="12" a="1"/>
  <c r="U2261" i="12" a="1"/>
  <c r="X2260" i="12" a="1"/>
  <c r="W2259" i="12" a="1"/>
  <c r="V2258" i="12" a="1"/>
  <c r="U2257" i="12" a="1"/>
  <c r="X2256" i="12" a="1"/>
  <c r="W2255" i="12" a="1"/>
  <c r="V2254" i="12" a="1"/>
  <c r="U2253" i="12" a="1"/>
  <c r="X2252" i="12" a="1"/>
  <c r="W2251" i="12" a="1"/>
  <c r="V2250" i="12" a="1"/>
  <c r="U2249" i="12" a="1"/>
  <c r="X2248" i="12" a="1"/>
  <c r="W2247" i="12" a="1"/>
  <c r="V2246" i="12" a="1"/>
  <c r="U2245" i="12" a="1"/>
  <c r="X2244" i="12" a="1"/>
  <c r="W2243" i="12" a="1"/>
  <c r="V2242" i="12" a="1"/>
  <c r="U2241" i="12" a="1"/>
  <c r="X2240" i="12" a="1"/>
  <c r="W2239" i="12" a="1"/>
  <c r="V2238" i="12" a="1"/>
  <c r="U2237" i="12" a="1"/>
  <c r="X2236" i="12" a="1"/>
  <c r="W2235" i="12" a="1"/>
  <c r="V2234" i="12" a="1"/>
  <c r="U2233" i="12" a="1"/>
  <c r="X2232" i="12" a="1"/>
  <c r="W2231" i="12" a="1"/>
  <c r="V2230" i="12" a="1"/>
  <c r="U2229" i="12" a="1"/>
  <c r="X2228" i="12" a="1"/>
  <c r="W2227" i="12" a="1"/>
  <c r="V2226" i="12" a="1"/>
  <c r="U2225" i="12" a="1"/>
  <c r="X2224" i="12" a="1"/>
  <c r="W2223" i="12" a="1"/>
  <c r="V2222" i="12" a="1"/>
  <c r="U2221" i="12" a="1"/>
  <c r="X2220" i="12" a="1"/>
  <c r="W2219" i="12" a="1"/>
  <c r="V2218" i="12" a="1"/>
  <c r="U2217" i="12" a="1"/>
  <c r="X2216" i="12" a="1"/>
  <c r="W2215" i="12" a="1"/>
  <c r="V2214" i="12" a="1"/>
  <c r="V2536" i="12" a="1"/>
  <c r="U2421" i="12" a="1"/>
  <c r="X2420" i="12" a="1"/>
  <c r="W2419" i="12" a="1"/>
  <c r="V2418" i="12" a="1"/>
  <c r="V2417" i="12" a="1"/>
  <c r="U2416" i="12" a="1"/>
  <c r="X2415" i="12" a="1"/>
  <c r="W2414" i="12" a="1"/>
  <c r="W2413" i="12" a="1"/>
  <c r="V2412" i="12" a="1"/>
  <c r="U2411" i="12" a="1"/>
  <c r="X2410" i="12" a="1"/>
  <c r="X2409" i="12" a="1"/>
  <c r="W2408" i="12" a="1"/>
  <c r="V2407" i="12" a="1"/>
  <c r="U2406" i="12" a="1"/>
  <c r="U2397" i="12" a="1"/>
  <c r="V2395" i="12" a="1"/>
  <c r="V2394" i="12" a="1"/>
  <c r="V2392" i="12" a="1"/>
  <c r="V2390" i="12" a="1"/>
  <c r="V2388" i="12" a="1"/>
  <c r="U2386" i="12" a="1"/>
  <c r="X2385" i="12" a="1"/>
  <c r="U2382" i="12" a="1"/>
  <c r="W2380" i="12" a="1"/>
  <c r="W2378" i="12" a="1"/>
  <c r="V2376" i="12" a="1"/>
  <c r="U2375" i="12" a="1"/>
  <c r="W2373" i="12" a="1"/>
  <c r="U2372" i="12" a="1"/>
  <c r="X2371" i="12" a="1"/>
  <c r="X2370" i="12" a="1"/>
  <c r="V2369" i="12" a="1"/>
  <c r="W2367" i="12" a="1"/>
  <c r="X2366" i="12" a="1"/>
  <c r="X2365" i="12" a="1"/>
  <c r="W2364" i="12" a="1"/>
  <c r="V2362" i="12" a="1"/>
  <c r="V2361" i="12" a="1"/>
  <c r="V2360" i="12" a="1"/>
  <c r="V2359" i="12" a="1"/>
  <c r="U2358" i="12" a="1"/>
  <c r="U2357" i="12" a="1"/>
  <c r="U2356" i="12" a="1"/>
  <c r="U2355" i="12" a="1"/>
  <c r="X2354" i="12" a="1"/>
  <c r="W2353" i="12" a="1"/>
  <c r="V2352" i="12" a="1"/>
  <c r="U2351" i="12" a="1"/>
  <c r="X2350" i="12" a="1"/>
  <c r="W2349" i="12" a="1"/>
  <c r="V2348" i="12" a="1"/>
  <c r="V2347" i="12" a="1"/>
  <c r="U2346" i="12" a="1"/>
  <c r="X2345" i="12" a="1"/>
  <c r="W2344" i="12" a="1"/>
  <c r="V2343" i="12" a="1"/>
  <c r="U2342" i="12" a="1"/>
  <c r="X2341" i="12" a="1"/>
  <c r="W2340" i="12" a="1"/>
  <c r="V2339" i="12" a="1"/>
  <c r="U2338" i="12" a="1"/>
  <c r="X2337" i="12" a="1"/>
  <c r="W2336" i="12" a="1"/>
  <c r="W2335" i="12" a="1"/>
  <c r="V2333" i="12" a="1"/>
  <c r="V2332" i="12" a="1"/>
  <c r="U2331" i="12" a="1"/>
  <c r="X2330" i="12" a="1"/>
  <c r="W2329" i="12" a="1"/>
  <c r="V2327" i="12" a="1"/>
  <c r="V2326" i="12" a="1"/>
  <c r="U2325" i="12" a="1"/>
  <c r="X2324" i="12" a="1"/>
  <c r="W2323" i="12" a="1"/>
  <c r="V2322" i="12" a="1"/>
  <c r="U2321" i="12" a="1"/>
  <c r="X2320" i="12" a="1"/>
  <c r="U2320" i="12" a="1"/>
  <c r="X2319" i="12" a="1"/>
  <c r="W2318" i="12" a="1"/>
  <c r="V2317" i="12" a="1"/>
  <c r="U2316" i="12" a="1"/>
  <c r="X2315" i="12" a="1"/>
  <c r="W2314" i="12" a="1"/>
  <c r="V2313" i="12" a="1"/>
  <c r="V2312" i="12" a="1"/>
  <c r="V2311" i="12" a="1"/>
  <c r="V2310" i="12" a="1"/>
  <c r="V2309" i="12" a="1"/>
  <c r="V2308" i="12" a="1"/>
  <c r="V2307" i="12" a="1"/>
  <c r="V2306" i="12" a="1"/>
  <c r="V2305" i="12" a="1"/>
  <c r="V2304" i="12" a="1"/>
  <c r="V2303" i="12" a="1"/>
  <c r="V2302" i="12" a="1"/>
  <c r="V2301" i="12" a="1"/>
  <c r="V2300" i="12" a="1"/>
  <c r="V2299" i="12" a="1"/>
  <c r="V2298" i="12" a="1"/>
  <c r="V2297" i="12" a="1"/>
  <c r="V2296" i="12" a="1"/>
  <c r="V2295" i="12" a="1"/>
  <c r="V2294" i="12" a="1"/>
  <c r="V2293" i="12" a="1"/>
  <c r="V2292" i="12" a="1"/>
  <c r="V2291" i="12" a="1"/>
  <c r="V2290" i="12" a="1"/>
  <c r="V2289" i="12" a="1"/>
  <c r="V2288" i="12" a="1"/>
  <c r="V2287" i="12" a="1"/>
  <c r="V2286" i="12" a="1"/>
  <c r="V2285" i="12" a="1"/>
  <c r="V2284" i="12" a="1"/>
  <c r="V2283" i="12" a="1"/>
  <c r="V2282" i="12" a="1"/>
  <c r="V2281" i="12" a="1"/>
  <c r="V2280" i="12" a="1"/>
  <c r="V2279" i="12" a="1"/>
  <c r="V2278" i="12" a="1"/>
  <c r="V2277" i="12" a="1"/>
  <c r="V2276" i="12" a="1"/>
  <c r="V2275" i="12" a="1"/>
  <c r="V2274" i="12" a="1"/>
  <c r="V2271" i="12" a="1"/>
  <c r="U2270" i="12" a="1"/>
  <c r="U2269" i="12" a="1"/>
  <c r="X2268" i="12" a="1"/>
  <c r="U2268" i="12" a="1"/>
  <c r="V2524" i="12" a="1"/>
  <c r="W2523" i="12" a="1"/>
  <c r="V2516" i="12" a="1"/>
  <c r="W2515" i="12" a="1"/>
  <c r="V2508" i="12" a="1"/>
  <c r="W2507" i="12" a="1"/>
  <c r="V2500" i="12" a="1"/>
  <c r="W2499" i="12" a="1"/>
  <c r="V2492" i="12" a="1"/>
  <c r="W2491" i="12" a="1"/>
  <c r="V2484" i="12" a="1"/>
  <c r="W2483" i="12" a="1"/>
  <c r="V2476" i="12" a="1"/>
  <c r="W2475" i="12" a="1"/>
  <c r="V2468" i="12" a="1"/>
  <c r="W2467" i="12" a="1"/>
  <c r="U2405" i="12" a="1"/>
  <c r="X2404" i="12" a="1"/>
  <c r="W2403" i="12" a="1"/>
  <c r="V2402" i="12" a="1"/>
  <c r="V2401" i="12" a="1"/>
  <c r="U2400" i="12" a="1"/>
  <c r="X2399" i="12" a="1"/>
  <c r="X2398" i="12" a="1"/>
  <c r="V2396" i="12" a="1"/>
  <c r="U2394" i="12" a="1"/>
  <c r="X2393" i="12" a="1"/>
  <c r="U2392" i="12" a="1"/>
  <c r="U2390" i="12" a="1"/>
  <c r="U2388" i="12" a="1"/>
  <c r="U2385" i="12" a="1"/>
  <c r="X2384" i="12" a="1"/>
  <c r="U2383" i="12" a="1"/>
  <c r="X2381" i="12" a="1"/>
  <c r="V2380" i="12" a="1"/>
  <c r="W2379" i="12" a="1"/>
  <c r="V2378" i="12" a="1"/>
  <c r="X2377" i="12" a="1"/>
  <c r="U2376" i="12" a="1"/>
  <c r="X2375" i="12" a="1"/>
  <c r="W2374" i="12" a="1"/>
  <c r="V2373" i="12" a="1"/>
  <c r="W2371" i="12" a="1"/>
  <c r="V2370" i="12" a="1"/>
  <c r="U2369" i="12" a="1"/>
  <c r="X2368" i="12" a="1"/>
  <c r="W2366" i="12" a="1"/>
  <c r="W2365" i="12" a="1"/>
  <c r="V2364" i="12" a="1"/>
  <c r="V2363" i="12" a="1"/>
  <c r="U2362" i="12" a="1"/>
  <c r="X2361" i="12" a="1"/>
  <c r="U2361" i="12" a="1"/>
  <c r="U2360" i="12" a="1"/>
  <c r="U2359" i="12" a="1"/>
  <c r="X2358" i="12" a="1"/>
  <c r="X2357" i="12" a="1"/>
  <c r="X2356" i="12" a="1"/>
  <c r="X2355" i="12" a="1"/>
  <c r="W2354" i="12" a="1"/>
  <c r="V2353" i="12" a="1"/>
  <c r="U2352" i="12" a="1"/>
  <c r="X2351" i="12" a="1"/>
  <c r="W2350" i="12" a="1"/>
  <c r="V2349" i="12" a="1"/>
  <c r="U2348" i="12" a="1"/>
  <c r="U2347" i="12" a="1"/>
  <c r="X2346" i="12" a="1"/>
  <c r="W2345" i="12" a="1"/>
  <c r="V2344" i="12" a="1"/>
  <c r="U2343" i="12" a="1"/>
  <c r="X2342" i="12" a="1"/>
  <c r="W2341" i="12" a="1"/>
  <c r="V2340" i="12" a="1"/>
  <c r="U2339" i="12" a="1"/>
  <c r="X2338" i="12" a="1"/>
  <c r="W2337" i="12" a="1"/>
  <c r="V2335" i="12" a="1"/>
  <c r="V2334" i="12" a="1"/>
  <c r="U2333" i="12" a="1"/>
  <c r="X2332" i="12" a="1"/>
  <c r="U2332" i="12" a="1"/>
  <c r="X2331" i="12" a="1"/>
  <c r="W2330" i="12" a="1"/>
  <c r="V2329" i="12" a="1"/>
  <c r="V2328" i="12" a="1"/>
  <c r="U2327" i="12" a="1"/>
  <c r="X2326" i="12" a="1"/>
  <c r="U2326" i="12" a="1"/>
  <c r="X2325" i="12" a="1"/>
  <c r="W2324" i="12" a="1"/>
  <c r="V2323" i="12" a="1"/>
  <c r="U2322" i="12" a="1"/>
  <c r="X2321" i="12" a="1"/>
  <c r="W2320" i="12" a="1"/>
  <c r="W2319" i="12" a="1"/>
  <c r="V2318" i="12" a="1"/>
  <c r="U2317" i="12" a="1"/>
  <c r="X2316" i="12" a="1"/>
  <c r="W2315" i="12" a="1"/>
  <c r="V2314" i="12" a="1"/>
  <c r="U2313" i="12" a="1"/>
  <c r="X2312" i="12" a="1"/>
  <c r="U2312" i="12" a="1"/>
  <c r="X2311" i="12" a="1"/>
  <c r="U2311" i="12" a="1"/>
  <c r="X2310" i="12" a="1"/>
  <c r="U2310" i="12" a="1"/>
  <c r="X2309" i="12" a="1"/>
  <c r="U2309" i="12" a="1"/>
  <c r="X2308" i="12" a="1"/>
  <c r="U2308" i="12" a="1"/>
  <c r="X2307" i="12" a="1"/>
  <c r="U2307" i="12" a="1"/>
  <c r="X2306" i="12" a="1"/>
  <c r="U2306" i="12" a="1"/>
  <c r="X2305" i="12" a="1"/>
  <c r="U2305" i="12" a="1"/>
  <c r="X2304" i="12" a="1"/>
  <c r="U2304" i="12" a="1"/>
  <c r="X2303" i="12" a="1"/>
  <c r="U2303" i="12" a="1"/>
  <c r="X2302" i="12" a="1"/>
  <c r="U2302" i="12" a="1"/>
  <c r="X2301" i="12" a="1"/>
  <c r="U2301" i="12" a="1"/>
  <c r="X2300" i="12" a="1"/>
  <c r="U2300" i="12" a="1"/>
  <c r="X2299" i="12" a="1"/>
  <c r="U2299" i="12" a="1"/>
  <c r="X2298" i="12" a="1"/>
  <c r="U2298" i="12" a="1"/>
  <c r="X2297" i="12" a="1"/>
  <c r="U2297" i="12" a="1"/>
  <c r="X2296" i="12" a="1"/>
  <c r="U2296" i="12" a="1"/>
  <c r="X2295" i="12" a="1"/>
  <c r="U2295" i="12" a="1"/>
  <c r="X2294" i="12" a="1"/>
  <c r="U2294" i="12" a="1"/>
  <c r="X2293" i="12" a="1"/>
  <c r="U2293" i="12" a="1"/>
  <c r="X2292" i="12" a="1"/>
  <c r="U2292" i="12" a="1"/>
  <c r="X2291" i="12" a="1"/>
  <c r="U2291" i="12" a="1"/>
  <c r="X2290" i="12" a="1"/>
  <c r="U2290" i="12" a="1"/>
  <c r="X2289" i="12" a="1"/>
  <c r="U2289" i="12" a="1"/>
  <c r="X2288" i="12" a="1"/>
  <c r="U2288" i="12" a="1"/>
  <c r="X2653" i="12" a="1"/>
  <c r="W2651" i="12" a="1"/>
  <c r="V2650" i="12" a="1"/>
  <c r="U2649" i="12" a="1"/>
  <c r="X2648" i="12" a="1"/>
  <c r="W2647" i="12" a="1"/>
  <c r="V2646" i="12" a="1"/>
  <c r="U2645" i="12" a="1"/>
  <c r="X2644" i="12" a="1"/>
  <c r="W2643" i="12" a="1"/>
  <c r="V2642" i="12" a="1"/>
  <c r="U2641" i="12" a="1"/>
  <c r="X2640" i="12" a="1"/>
  <c r="W2639" i="12" a="1"/>
  <c r="V2638" i="12" a="1"/>
  <c r="U2637" i="12" a="1"/>
  <c r="X2636" i="12" a="1"/>
  <c r="W2635" i="12" a="1"/>
  <c r="V2634" i="12" a="1"/>
  <c r="U2633" i="12" a="1"/>
  <c r="X2632" i="12" a="1"/>
  <c r="W2631" i="12" a="1"/>
  <c r="V2630" i="12" a="1"/>
  <c r="U2629" i="12" a="1"/>
  <c r="X2628" i="12" a="1"/>
  <c r="W2627" i="12" a="1"/>
  <c r="V2626" i="12" a="1"/>
  <c r="U2625" i="12" a="1"/>
  <c r="X2624" i="12" a="1"/>
  <c r="W2623" i="12" a="1"/>
  <c r="V2622" i="12" a="1"/>
  <c r="U2621" i="12" a="1"/>
  <c r="X2620" i="12" a="1"/>
  <c r="W2619" i="12" a="1"/>
  <c r="V2618" i="12" a="1"/>
  <c r="U2617" i="12" a="1"/>
  <c r="X2616" i="12" a="1"/>
  <c r="W2615" i="12" a="1"/>
  <c r="V2614" i="12" a="1"/>
  <c r="U2613" i="12" a="1"/>
  <c r="X2612" i="12" a="1"/>
  <c r="W2611" i="12" a="1"/>
  <c r="W2610" i="12" a="1"/>
  <c r="X2609" i="12" a="1"/>
  <c r="U2573" i="12" a="1"/>
  <c r="X2572" i="12" a="1"/>
  <c r="W2461" i="12" a="1"/>
  <c r="U2460" i="12" a="1"/>
  <c r="X2459" i="12" a="1"/>
  <c r="W2458" i="12" a="1"/>
  <c r="V2457" i="12" a="1"/>
  <c r="U2456" i="12" a="1"/>
  <c r="X2455" i="12" a="1"/>
  <c r="W2454" i="12" a="1"/>
  <c r="V2453" i="12" a="1"/>
  <c r="U2452" i="12" a="1"/>
  <c r="X2451" i="12" a="1"/>
  <c r="W2450" i="12" a="1"/>
  <c r="V2449" i="12" a="1"/>
  <c r="U2448" i="12" a="1"/>
  <c r="X2447" i="12" a="1"/>
  <c r="W2446" i="12" a="1"/>
  <c r="W2445" i="12" a="1"/>
  <c r="V2444" i="12" a="1"/>
  <c r="U2443" i="12" a="1"/>
  <c r="X2442" i="12" a="1"/>
  <c r="X2441" i="12" a="1"/>
  <c r="W2440" i="12" a="1"/>
  <c r="V2439" i="12" a="1"/>
  <c r="U2438" i="12" a="1"/>
  <c r="X2397" i="12" a="1"/>
  <c r="U2396" i="12" a="1"/>
  <c r="V2393" i="12" a="1"/>
  <c r="V2391" i="12" a="1"/>
  <c r="V2389" i="12" a="1"/>
  <c r="W2384" i="12" a="1"/>
  <c r="X2383" i="12" a="1"/>
  <c r="X2382" i="12" a="1"/>
  <c r="W2381" i="12" a="1"/>
  <c r="W2377" i="12" a="1"/>
  <c r="V2374" i="12" a="1"/>
  <c r="U2373" i="12" a="1"/>
  <c r="X2372" i="12" a="1"/>
  <c r="V2371" i="12" a="1"/>
  <c r="U2370" i="12" a="1"/>
  <c r="W2368" i="12" a="1"/>
  <c r="V2367" i="12" a="1"/>
  <c r="V2366" i="12" a="1"/>
  <c r="V2365" i="12" a="1"/>
  <c r="U2364" i="12" a="1"/>
  <c r="X2363" i="12" a="1"/>
  <c r="U2363" i="12" a="1"/>
  <c r="X2362" i="12" a="1"/>
  <c r="W2361" i="12" a="1"/>
  <c r="X2360" i="12" a="1"/>
  <c r="X2359" i="12" a="1"/>
  <c r="W2358" i="12" a="1"/>
  <c r="W2357" i="12" a="1"/>
  <c r="W2356" i="12" a="1"/>
  <c r="W2355" i="12" a="1"/>
  <c r="V2354" i="12" a="1"/>
  <c r="U2353" i="12" a="1"/>
  <c r="X2352" i="12" a="1"/>
  <c r="W2351" i="12" a="1"/>
  <c r="V2350" i="12" a="1"/>
  <c r="U2349" i="12" a="1"/>
  <c r="X2348" i="12" a="1"/>
  <c r="X2347" i="12" a="1"/>
  <c r="W2346" i="12" a="1"/>
  <c r="V2345" i="12" a="1"/>
  <c r="U2344" i="12" a="1"/>
  <c r="X2343" i="12" a="1"/>
  <c r="W2342" i="12" a="1"/>
  <c r="V2341" i="12" a="1"/>
  <c r="U2340" i="12" a="1"/>
  <c r="W2287" i="12" a="1"/>
  <c r="W2285" i="12" a="1"/>
  <c r="W2283" i="12" a="1"/>
  <c r="W2281" i="12" a="1"/>
  <c r="W2279" i="12" a="1"/>
  <c r="W2277" i="12" a="1"/>
  <c r="W2275" i="12" a="1"/>
  <c r="U2274" i="12" a="1"/>
  <c r="X2273" i="12" a="1"/>
  <c r="U2272" i="12" a="1"/>
  <c r="X2271" i="12" a="1"/>
  <c r="X2266" i="12" a="1"/>
  <c r="X2265" i="12" a="1"/>
  <c r="U2263" i="12" a="1"/>
  <c r="X2262" i="12" a="1"/>
  <c r="V2261" i="12" a="1"/>
  <c r="W2260" i="12" a="1"/>
  <c r="U2259" i="12" a="1"/>
  <c r="X2258" i="12" a="1"/>
  <c r="V2257" i="12" a="1"/>
  <c r="W2256" i="12" a="1"/>
  <c r="U2255" i="12" a="1"/>
  <c r="X2254" i="12" a="1"/>
  <c r="V2253" i="12" a="1"/>
  <c r="W2252" i="12" a="1"/>
  <c r="U2251" i="12" a="1"/>
  <c r="X2250" i="12" a="1"/>
  <c r="V2249" i="12" a="1"/>
  <c r="W2248" i="12" a="1"/>
  <c r="U2247" i="12" a="1"/>
  <c r="X2246" i="12" a="1"/>
  <c r="V2245" i="12" a="1"/>
  <c r="W2244" i="12" a="1"/>
  <c r="U2243" i="12" a="1"/>
  <c r="X2242" i="12" a="1"/>
  <c r="V2241" i="12" a="1"/>
  <c r="W2240" i="12" a="1"/>
  <c r="U2239" i="12" a="1"/>
  <c r="X2238" i="12" a="1"/>
  <c r="V2237" i="12" a="1"/>
  <c r="W2236" i="12" a="1"/>
  <c r="U2235" i="12" a="1"/>
  <c r="X2234" i="12" a="1"/>
  <c r="V2233" i="12" a="1"/>
  <c r="W2232" i="12" a="1"/>
  <c r="U2231" i="12" a="1"/>
  <c r="X2230" i="12" a="1"/>
  <c r="V2229" i="12" a="1"/>
  <c r="W2228" i="12" a="1"/>
  <c r="U2227" i="12" a="1"/>
  <c r="X2226" i="12" a="1"/>
  <c r="V2225" i="12" a="1"/>
  <c r="W2224" i="12" a="1"/>
  <c r="U2223" i="12" a="1"/>
  <c r="X2222" i="12" a="1"/>
  <c r="V2221" i="12" a="1"/>
  <c r="W2220" i="12" a="1"/>
  <c r="U2219" i="12" a="1"/>
  <c r="X2218" i="12" a="1"/>
  <c r="V2217" i="12" a="1"/>
  <c r="W2216" i="12" a="1"/>
  <c r="U2215" i="12" a="1"/>
  <c r="X2214" i="12" a="1"/>
  <c r="V2213" i="12" a="1"/>
  <c r="U2212" i="12" a="1"/>
  <c r="X2211" i="12" a="1"/>
  <c r="W2210" i="12" a="1"/>
  <c r="V2209" i="12" a="1"/>
  <c r="U2208" i="12" a="1"/>
  <c r="X2207" i="12" a="1"/>
  <c r="W2206" i="12" a="1"/>
  <c r="V2205" i="12" a="1"/>
  <c r="U2204" i="12" a="1"/>
  <c r="X2203" i="12" a="1"/>
  <c r="W2202" i="12" a="1"/>
  <c r="V2201" i="12" a="1"/>
  <c r="U2200" i="12" a="1"/>
  <c r="X2199" i="12" a="1"/>
  <c r="W2198" i="12" a="1"/>
  <c r="V2197" i="12" a="1"/>
  <c r="U2196" i="12" a="1"/>
  <c r="X2195" i="12" a="1"/>
  <c r="W2194" i="12" a="1"/>
  <c r="V2193" i="12" a="1"/>
  <c r="U2192" i="12" a="1"/>
  <c r="X2191" i="12" a="1"/>
  <c r="W2190" i="12" a="1"/>
  <c r="V2189" i="12" a="1"/>
  <c r="U2188" i="12" a="1"/>
  <c r="X2187" i="12" a="1"/>
  <c r="W2186" i="12" a="1"/>
  <c r="V2185" i="12" a="1"/>
  <c r="U2184" i="12" a="1"/>
  <c r="X2183" i="12" a="1"/>
  <c r="W2182" i="12" a="1"/>
  <c r="V2181" i="12" a="1"/>
  <c r="V2180" i="12" a="1"/>
  <c r="V2177" i="12" a="1"/>
  <c r="V2176" i="12" a="1"/>
  <c r="V2173" i="12" a="1"/>
  <c r="V2172" i="12" a="1"/>
  <c r="V2170" i="12" a="1"/>
  <c r="U2169" i="12" a="1"/>
  <c r="X2168" i="12" a="1"/>
  <c r="W2167" i="12" a="1"/>
  <c r="V2165" i="12" a="1"/>
  <c r="U2164" i="12" a="1"/>
  <c r="U2163" i="12" a="1"/>
  <c r="U2162" i="12" a="1"/>
  <c r="U2161" i="12" a="1"/>
  <c r="V2160" i="12" a="1"/>
  <c r="U2159" i="12" a="1"/>
  <c r="X2158" i="12" a="1"/>
  <c r="U2158" i="12" a="1"/>
  <c r="X2157" i="12" a="1"/>
  <c r="W2156" i="12" a="1"/>
  <c r="W2155" i="12" a="1"/>
  <c r="W2154" i="12" a="1"/>
  <c r="W2153" i="12" a="1"/>
  <c r="W2152" i="12" a="1"/>
  <c r="W2151" i="12" a="1"/>
  <c r="V2149" i="12" a="1"/>
  <c r="U2148" i="12" a="1"/>
  <c r="X2147" i="12" a="1"/>
  <c r="W2146" i="12" a="1"/>
  <c r="V2145" i="12" a="1"/>
  <c r="U2144" i="12" a="1"/>
  <c r="X2143" i="12" a="1"/>
  <c r="W2142" i="12" a="1"/>
  <c r="V2141" i="12" a="1"/>
  <c r="U2140" i="12" a="1"/>
  <c r="X2139" i="12" a="1"/>
  <c r="W2138" i="12" a="1"/>
  <c r="V2137" i="12" a="1"/>
  <c r="U2136" i="12" a="1"/>
  <c r="X2135" i="12" a="1"/>
  <c r="W2134" i="12" a="1"/>
  <c r="V2133" i="12" a="1"/>
  <c r="U2132" i="12" a="1"/>
  <c r="X2131" i="12" a="1"/>
  <c r="W2130" i="12" a="1"/>
  <c r="V2129" i="12" a="1"/>
  <c r="U2128" i="12" a="1"/>
  <c r="X2127" i="12" a="1"/>
  <c r="W2126" i="12" a="1"/>
  <c r="V2125" i="12" a="1"/>
  <c r="U2124" i="12" a="1"/>
  <c r="X2123" i="12" a="1"/>
  <c r="W2122" i="12" a="1"/>
  <c r="V2121" i="12" a="1"/>
  <c r="U2120" i="12" a="1"/>
  <c r="X2119" i="12" a="1"/>
  <c r="W2118" i="12" a="1"/>
  <c r="V2117" i="12" a="1"/>
  <c r="U2116" i="12" a="1"/>
  <c r="X2115" i="12" a="1"/>
  <c r="W2114" i="12" a="1"/>
  <c r="V2113" i="12" a="1"/>
  <c r="U2112" i="12" a="1"/>
  <c r="X2111" i="12" a="1"/>
  <c r="W2110" i="12" a="1"/>
  <c r="V2109" i="12" a="1"/>
  <c r="U2108" i="12" a="1"/>
  <c r="X2107" i="12" a="1"/>
  <c r="W2106" i="12" a="1"/>
  <c r="V2105" i="12" a="1"/>
  <c r="U2104" i="12" a="1"/>
  <c r="X2103" i="12" a="1"/>
  <c r="W2102" i="12" a="1"/>
  <c r="V2101" i="12" a="1"/>
  <c r="U2100" i="12" a="1"/>
  <c r="X2099" i="12" a="1"/>
  <c r="W2098" i="12" a="1"/>
  <c r="V2097" i="12" a="1"/>
  <c r="U2096" i="12" a="1"/>
  <c r="X2095" i="12" a="1"/>
  <c r="W2094" i="12" a="1"/>
  <c r="V2093" i="12" a="1"/>
  <c r="U2092" i="12" a="1"/>
  <c r="X2091" i="12" a="1"/>
  <c r="W2090" i="12" a="1"/>
  <c r="V2089" i="12" a="1"/>
  <c r="U2088" i="12" a="1"/>
  <c r="X2087" i="12" a="1"/>
  <c r="W2086" i="12" a="1"/>
  <c r="V2085" i="12" a="1"/>
  <c r="U2084" i="12" a="1"/>
  <c r="X2083" i="12" a="1"/>
  <c r="W2082" i="12" a="1"/>
  <c r="V2081" i="12" a="1"/>
  <c r="U2080" i="12" a="1"/>
  <c r="X2079" i="12" a="1"/>
  <c r="W2078" i="12" a="1"/>
  <c r="V2077" i="12" a="1"/>
  <c r="U2076" i="12" a="1"/>
  <c r="X2075" i="12" a="1"/>
  <c r="W2074" i="12" a="1"/>
  <c r="V2073" i="12" a="1"/>
  <c r="U2072" i="12" a="1"/>
  <c r="X2071" i="12" a="1"/>
  <c r="W2070" i="12" a="1"/>
  <c r="V2069" i="12" a="1"/>
  <c r="U2068" i="12" a="1"/>
  <c r="X2067" i="12" a="1"/>
  <c r="W2066" i="12" a="1"/>
  <c r="V2065" i="12" a="1"/>
  <c r="U2064" i="12" a="1"/>
  <c r="X2063" i="12" a="1"/>
  <c r="W2062" i="12" a="1"/>
  <c r="V2061" i="12" a="1"/>
  <c r="U2060" i="12" a="1"/>
  <c r="X2059" i="12" a="1"/>
  <c r="W2058" i="12" a="1"/>
  <c r="V2057" i="12" a="1"/>
  <c r="U2056" i="12" a="1"/>
  <c r="X2055" i="12" a="1"/>
  <c r="W2054" i="12" a="1"/>
  <c r="V2053" i="12" a="1"/>
  <c r="U2052" i="12" a="1"/>
  <c r="X2051" i="12" a="1"/>
  <c r="W2050" i="12" a="1"/>
  <c r="V2049" i="12" a="1"/>
  <c r="U2048" i="12" a="1"/>
  <c r="X2047" i="12" a="1"/>
  <c r="W2046" i="12" a="1"/>
  <c r="V2045" i="12" a="1"/>
  <c r="V2044" i="12" a="1"/>
  <c r="U2043" i="12" a="1"/>
  <c r="X2042" i="12" a="1"/>
  <c r="U2042" i="12" a="1"/>
  <c r="X2041" i="12" a="1"/>
  <c r="W2040" i="12" a="1"/>
  <c r="W2039" i="12" a="1"/>
  <c r="V2038" i="12" a="1"/>
  <c r="X2339" i="12" a="1"/>
  <c r="W2338" i="12" a="1"/>
  <c r="V2337" i="12" a="1"/>
  <c r="V2336" i="12" a="1"/>
  <c r="U2335" i="12" a="1"/>
  <c r="X2334" i="12" a="1"/>
  <c r="U2287" i="12" a="1"/>
  <c r="X2286" i="12" a="1"/>
  <c r="U2285" i="12" a="1"/>
  <c r="X2284" i="12" a="1"/>
  <c r="U2283" i="12" a="1"/>
  <c r="X2282" i="12" a="1"/>
  <c r="U2281" i="12" a="1"/>
  <c r="X2280" i="12" a="1"/>
  <c r="U2279" i="12" a="1"/>
  <c r="X2278" i="12" a="1"/>
  <c r="U2277" i="12" a="1"/>
  <c r="X2276" i="12" a="1"/>
  <c r="U2275" i="12" a="1"/>
  <c r="X2274" i="12" a="1"/>
  <c r="V2273" i="12" a="1"/>
  <c r="U2271" i="12" a="1"/>
  <c r="X2270" i="12" a="1"/>
  <c r="X2267" i="12" a="1"/>
  <c r="W2266" i="12" a="1"/>
  <c r="V2264" i="12" a="1"/>
  <c r="W2262" i="12" a="1"/>
  <c r="V2260" i="12" a="1"/>
  <c r="W2258" i="12" a="1"/>
  <c r="V2256" i="12" a="1"/>
  <c r="W2254" i="12" a="1"/>
  <c r="V2252" i="12" a="1"/>
  <c r="W2250" i="12" a="1"/>
  <c r="V2248" i="12" a="1"/>
  <c r="W2246" i="12" a="1"/>
  <c r="V2244" i="12" a="1"/>
  <c r="W2242" i="12" a="1"/>
  <c r="V2240" i="12" a="1"/>
  <c r="W2238" i="12" a="1"/>
  <c r="V2236" i="12" a="1"/>
  <c r="W2234" i="12" a="1"/>
  <c r="V2232" i="12" a="1"/>
  <c r="W2230" i="12" a="1"/>
  <c r="V2228" i="12" a="1"/>
  <c r="W2226" i="12" a="1"/>
  <c r="V2224" i="12" a="1"/>
  <c r="W2222" i="12" a="1"/>
  <c r="V2220" i="12" a="1"/>
  <c r="W2218" i="12" a="1"/>
  <c r="V2216" i="12" a="1"/>
  <c r="W2214" i="12" a="1"/>
  <c r="U2213" i="12" a="1"/>
  <c r="X2212" i="12" a="1"/>
  <c r="W2211" i="12" a="1"/>
  <c r="V2210" i="12" a="1"/>
  <c r="U2209" i="12" a="1"/>
  <c r="X2208" i="12" a="1"/>
  <c r="W2207" i="12" a="1"/>
  <c r="V2206" i="12" a="1"/>
  <c r="U2205" i="12" a="1"/>
  <c r="X2204" i="12" a="1"/>
  <c r="W2203" i="12" a="1"/>
  <c r="V2202" i="12" a="1"/>
  <c r="U2201" i="12" a="1"/>
  <c r="X2200" i="12" a="1"/>
  <c r="W2199" i="12" a="1"/>
  <c r="V2198" i="12" a="1"/>
  <c r="U2197" i="12" a="1"/>
  <c r="X2196" i="12" a="1"/>
  <c r="W2195" i="12" a="1"/>
  <c r="V2194" i="12" a="1"/>
  <c r="U2193" i="12" a="1"/>
  <c r="X2192" i="12" a="1"/>
  <c r="W2191" i="12" a="1"/>
  <c r="V2190" i="12" a="1"/>
  <c r="U2189" i="12" a="1"/>
  <c r="X2188" i="12" a="1"/>
  <c r="W2187" i="12" a="1"/>
  <c r="V2186" i="12" a="1"/>
  <c r="U2185" i="12" a="1"/>
  <c r="X2184" i="12" a="1"/>
  <c r="W2183" i="12" a="1"/>
  <c r="V2182" i="12" a="1"/>
  <c r="U2181" i="12" a="1"/>
  <c r="U2180" i="12" a="1"/>
  <c r="V2179" i="12" a="1"/>
  <c r="V2178" i="12" a="1"/>
  <c r="U2177" i="12" a="1"/>
  <c r="U2176" i="12" a="1"/>
  <c r="V2175" i="12" a="1"/>
  <c r="V2174" i="12" a="1"/>
  <c r="U2173" i="12" a="1"/>
  <c r="U2172" i="12" a="1"/>
  <c r="V2171" i="12" a="1"/>
  <c r="U2170" i="12" a="1"/>
  <c r="X2169" i="12" a="1"/>
  <c r="W2168" i="12" a="1"/>
  <c r="V2167" i="12" a="1"/>
  <c r="V2166" i="12" a="1"/>
  <c r="U2165" i="12" a="1"/>
  <c r="X2164" i="12" a="1"/>
  <c r="X2163" i="12" a="1"/>
  <c r="X2162" i="12" a="1"/>
  <c r="X2161" i="12" a="1"/>
  <c r="X2160" i="12" a="1"/>
  <c r="U2160" i="12" a="1"/>
  <c r="X2159" i="12" a="1"/>
  <c r="W2158" i="12" a="1"/>
  <c r="W2157" i="12" a="1"/>
  <c r="V2156" i="12" a="1"/>
  <c r="V2155" i="12" a="1"/>
  <c r="V2154" i="12" a="1"/>
  <c r="V2153" i="12" a="1"/>
  <c r="V2151" i="12" a="1"/>
  <c r="V2150" i="12" a="1"/>
  <c r="U2149" i="12" a="1"/>
  <c r="X2148" i="12" a="1"/>
  <c r="W2147" i="12" a="1"/>
  <c r="V2146" i="12" a="1"/>
  <c r="U2145" i="12" a="1"/>
  <c r="X2144" i="12" a="1"/>
  <c r="W2143" i="12" a="1"/>
  <c r="V2142" i="12" a="1"/>
  <c r="U2141" i="12" a="1"/>
  <c r="X2140" i="12" a="1"/>
  <c r="W2139" i="12" a="1"/>
  <c r="V2138" i="12" a="1"/>
  <c r="U2137" i="12" a="1"/>
  <c r="X2136" i="12" a="1"/>
  <c r="W2135" i="12" a="1"/>
  <c r="V2134" i="12" a="1"/>
  <c r="U2133" i="12" a="1"/>
  <c r="X2132" i="12" a="1"/>
  <c r="W2131" i="12" a="1"/>
  <c r="V2130" i="12" a="1"/>
  <c r="U2129" i="12" a="1"/>
  <c r="X2128" i="12" a="1"/>
  <c r="W2127" i="12" a="1"/>
  <c r="V2126" i="12" a="1"/>
  <c r="U2125" i="12" a="1"/>
  <c r="X2124" i="12" a="1"/>
  <c r="W2123" i="12" a="1"/>
  <c r="V2122" i="12" a="1"/>
  <c r="U2121" i="12" a="1"/>
  <c r="X2120" i="12" a="1"/>
  <c r="W2119" i="12" a="1"/>
  <c r="V2118" i="12" a="1"/>
  <c r="U2117" i="12" a="1"/>
  <c r="X2116" i="12" a="1"/>
  <c r="W2115" i="12" a="1"/>
  <c r="V2114" i="12" a="1"/>
  <c r="U2113" i="12" a="1"/>
  <c r="X2112" i="12" a="1"/>
  <c r="W2111" i="12" a="1"/>
  <c r="V2110" i="12" a="1"/>
  <c r="U2109" i="12" a="1"/>
  <c r="X2108" i="12" a="1"/>
  <c r="W2107" i="12" a="1"/>
  <c r="V2106" i="12" a="1"/>
  <c r="U2105" i="12" a="1"/>
  <c r="X2104" i="12" a="1"/>
  <c r="W2103" i="12" a="1"/>
  <c r="V2102" i="12" a="1"/>
  <c r="U2101" i="12" a="1"/>
  <c r="X2100" i="12" a="1"/>
  <c r="W2099" i="12" a="1"/>
  <c r="V2098" i="12" a="1"/>
  <c r="U2097" i="12" a="1"/>
  <c r="X2096" i="12" a="1"/>
  <c r="W2095" i="12" a="1"/>
  <c r="V2094" i="12" a="1"/>
  <c r="U2334" i="12" a="1"/>
  <c r="X2333" i="12" a="1"/>
  <c r="W2332" i="12" a="1"/>
  <c r="W2331" i="12" a="1"/>
  <c r="V2330" i="12" a="1"/>
  <c r="U2329" i="12" a="1"/>
  <c r="X2328" i="12" a="1"/>
  <c r="W2286" i="12" a="1"/>
  <c r="W2284" i="12" a="1"/>
  <c r="W2282" i="12" a="1"/>
  <c r="W2280" i="12" a="1"/>
  <c r="W2278" i="12" a="1"/>
  <c r="W2276" i="12" a="1"/>
  <c r="W2274" i="12" a="1"/>
  <c r="U2273" i="12" a="1"/>
  <c r="X2272" i="12" a="1"/>
  <c r="W2270" i="12" a="1"/>
  <c r="X2269" i="12" a="1"/>
  <c r="W2267" i="12" a="1"/>
  <c r="V2266" i="12" a="1"/>
  <c r="V2265" i="12" a="1"/>
  <c r="U2264" i="12" a="1"/>
  <c r="X2263" i="12" a="1"/>
  <c r="U2262" i="12" a="1"/>
  <c r="X2261" i="12" a="1"/>
  <c r="U2260" i="12" a="1"/>
  <c r="X2259" i="12" a="1"/>
  <c r="U2258" i="12" a="1"/>
  <c r="X2257" i="12" a="1"/>
  <c r="U2256" i="12" a="1"/>
  <c r="X2255" i="12" a="1"/>
  <c r="U2254" i="12" a="1"/>
  <c r="X2253" i="12" a="1"/>
  <c r="U2252" i="12" a="1"/>
  <c r="X2251" i="12" a="1"/>
  <c r="U2250" i="12" a="1"/>
  <c r="X2249" i="12" a="1"/>
  <c r="U2248" i="12" a="1"/>
  <c r="X2247" i="12" a="1"/>
  <c r="U2246" i="12" a="1"/>
  <c r="X2245" i="12" a="1"/>
  <c r="U2244" i="12" a="1"/>
  <c r="X2243" i="12" a="1"/>
  <c r="U2242" i="12" a="1"/>
  <c r="X2241" i="12" a="1"/>
  <c r="U2240" i="12" a="1"/>
  <c r="X2239" i="12" a="1"/>
  <c r="U2238" i="12" a="1"/>
  <c r="X2237" i="12" a="1"/>
  <c r="U2236" i="12" a="1"/>
  <c r="X2235" i="12" a="1"/>
  <c r="U2234" i="12" a="1"/>
  <c r="X2233" i="12" a="1"/>
  <c r="U2232" i="12" a="1"/>
  <c r="X2231" i="12" a="1"/>
  <c r="U2230" i="12" a="1"/>
  <c r="X2229" i="12" a="1"/>
  <c r="U2228" i="12" a="1"/>
  <c r="X2227" i="12" a="1"/>
  <c r="U2226" i="12" a="1"/>
  <c r="X2225" i="12" a="1"/>
  <c r="U2224" i="12" a="1"/>
  <c r="X2223" i="12" a="1"/>
  <c r="U2222" i="12" a="1"/>
  <c r="X2221" i="12" a="1"/>
  <c r="U2220" i="12" a="1"/>
  <c r="X2219" i="12" a="1"/>
  <c r="U2218" i="12" a="1"/>
  <c r="X2217" i="12" a="1"/>
  <c r="U2216" i="12" a="1"/>
  <c r="X2215" i="12" a="1"/>
  <c r="U2214" i="12" a="1"/>
  <c r="X2213" i="12" a="1"/>
  <c r="W2212" i="12" a="1"/>
  <c r="V2211" i="12" a="1"/>
  <c r="U2210" i="12" a="1"/>
  <c r="X2209" i="12" a="1"/>
  <c r="W2208" i="12" a="1"/>
  <c r="V2207" i="12" a="1"/>
  <c r="U2206" i="12" a="1"/>
  <c r="X2205" i="12" a="1"/>
  <c r="W2204" i="12" a="1"/>
  <c r="V2203" i="12" a="1"/>
  <c r="U2202" i="12" a="1"/>
  <c r="X2201" i="12" a="1"/>
  <c r="W2200" i="12" a="1"/>
  <c r="V2199" i="12" a="1"/>
  <c r="U2198" i="12" a="1"/>
  <c r="X2197" i="12" a="1"/>
  <c r="W2196" i="12" a="1"/>
  <c r="V2195" i="12" a="1"/>
  <c r="U2194" i="12" a="1"/>
  <c r="X2193" i="12" a="1"/>
  <c r="W2192" i="12" a="1"/>
  <c r="V2191" i="12" a="1"/>
  <c r="U2190" i="12" a="1"/>
  <c r="X2189" i="12" a="1"/>
  <c r="W2188" i="12" a="1"/>
  <c r="V2187" i="12" a="1"/>
  <c r="U2186" i="12" a="1"/>
  <c r="X2185" i="12" a="1"/>
  <c r="W2184" i="12" a="1"/>
  <c r="V2183" i="12" a="1"/>
  <c r="U2182" i="12" a="1"/>
  <c r="X2181" i="12" a="1"/>
  <c r="X2180" i="12" a="1"/>
  <c r="X2179" i="12" a="1"/>
  <c r="U2179" i="12" a="1"/>
  <c r="X2178" i="12" a="1"/>
  <c r="U2178" i="12" a="1"/>
  <c r="X2177" i="12" a="1"/>
  <c r="X2176" i="12" a="1"/>
  <c r="X2175" i="12" a="1"/>
  <c r="U2175" i="12" a="1"/>
  <c r="X2174" i="12" a="1"/>
  <c r="U2174" i="12" a="1"/>
  <c r="X2173" i="12" a="1"/>
  <c r="X2172" i="12" a="1"/>
  <c r="X2171" i="12" a="1"/>
  <c r="U2171" i="12" a="1"/>
  <c r="X2170" i="12" a="1"/>
  <c r="W2169" i="12" a="1"/>
  <c r="V2168" i="12" a="1"/>
  <c r="U2167" i="12" a="1"/>
  <c r="X2166" i="12" a="1"/>
  <c r="U2166" i="12" a="1"/>
  <c r="X2165" i="12" a="1"/>
  <c r="W2164" i="12" a="1"/>
  <c r="W2163" i="12" a="1"/>
  <c r="W2162" i="12" a="1"/>
  <c r="W2161" i="12" a="1"/>
  <c r="W2160" i="12" a="1"/>
  <c r="W2159" i="12" a="1"/>
  <c r="V2157" i="12" a="1"/>
  <c r="U2156" i="12" a="1"/>
  <c r="U2155" i="12" a="1"/>
  <c r="U2154" i="12" a="1"/>
  <c r="U2153" i="12" a="1"/>
  <c r="V2152" i="12" a="1"/>
  <c r="U2151" i="12" a="1"/>
  <c r="X2150" i="12" a="1"/>
  <c r="U2150" i="12" a="1"/>
  <c r="X2149" i="12" a="1"/>
  <c r="W2148" i="12" a="1"/>
  <c r="V2147" i="12" a="1"/>
  <c r="U2146" i="12" a="1"/>
  <c r="X2145" i="12" a="1"/>
  <c r="W2144" i="12" a="1"/>
  <c r="V2143" i="12" a="1"/>
  <c r="U2142" i="12" a="1"/>
  <c r="X2141" i="12" a="1"/>
  <c r="W2140" i="12" a="1"/>
  <c r="V2139" i="12" a="1"/>
  <c r="U2138" i="12" a="1"/>
  <c r="X2137" i="12" a="1"/>
  <c r="W2136" i="12" a="1"/>
  <c r="V2135" i="12" a="1"/>
  <c r="U2134" i="12" a="1"/>
  <c r="X2133" i="12" a="1"/>
  <c r="W2132" i="12" a="1"/>
  <c r="V2131" i="12" a="1"/>
  <c r="U2130" i="12" a="1"/>
  <c r="X2129" i="12" a="1"/>
  <c r="W2128" i="12" a="1"/>
  <c r="V2127" i="12" a="1"/>
  <c r="U2126" i="12" a="1"/>
  <c r="X2125" i="12" a="1"/>
  <c r="W2124" i="12" a="1"/>
  <c r="V2123" i="12" a="1"/>
  <c r="U2122" i="12" a="1"/>
  <c r="X2121" i="12" a="1"/>
  <c r="W2120" i="12" a="1"/>
  <c r="V2119" i="12" a="1"/>
  <c r="U2118" i="12" a="1"/>
  <c r="X2117" i="12" a="1"/>
  <c r="W2116" i="12" a="1"/>
  <c r="V2115" i="12" a="1"/>
  <c r="U2114" i="12" a="1"/>
  <c r="X2113" i="12" a="1"/>
  <c r="W2112" i="12" a="1"/>
  <c r="V2111" i="12" a="1"/>
  <c r="U2110" i="12" a="1"/>
  <c r="X2109" i="12" a="1"/>
  <c r="W2108" i="12" a="1"/>
  <c r="V2107" i="12" a="1"/>
  <c r="U2106" i="12" a="1"/>
  <c r="X2105" i="12" a="1"/>
  <c r="W2104" i="12" a="1"/>
  <c r="V2103" i="12" a="1"/>
  <c r="U2102" i="12" a="1"/>
  <c r="X2101" i="12" a="1"/>
  <c r="W2100" i="12" a="1"/>
  <c r="V2099" i="12" a="1"/>
  <c r="U2098" i="12" a="1"/>
  <c r="X2097" i="12" a="1"/>
  <c r="W2096" i="12" a="1"/>
  <c r="V2095" i="12" a="1"/>
  <c r="U2094" i="12" a="1"/>
  <c r="X2093" i="12" a="1"/>
  <c r="W2092" i="12" a="1"/>
  <c r="V2091" i="12" a="1"/>
  <c r="U2090" i="12" a="1"/>
  <c r="X2089" i="12" a="1"/>
  <c r="W2088" i="12" a="1"/>
  <c r="V2087" i="12" a="1"/>
  <c r="U2086" i="12" a="1"/>
  <c r="X2085" i="12" a="1"/>
  <c r="W2084" i="12" a="1"/>
  <c r="V2083" i="12" a="1"/>
  <c r="U2082" i="12" a="1"/>
  <c r="X2081" i="12" a="1"/>
  <c r="W2080" i="12" a="1"/>
  <c r="V2079" i="12" a="1"/>
  <c r="U2078" i="12" a="1"/>
  <c r="X2077" i="12" a="1"/>
  <c r="W2076" i="12" a="1"/>
  <c r="V2075" i="12" a="1"/>
  <c r="U2074" i="12" a="1"/>
  <c r="X2073" i="12" a="1"/>
  <c r="W2072" i="12" a="1"/>
  <c r="V2071" i="12" a="1"/>
  <c r="U2070" i="12" a="1"/>
  <c r="X2069" i="12" a="1"/>
  <c r="W2068" i="12" a="1"/>
  <c r="V2067" i="12" a="1"/>
  <c r="U2066" i="12" a="1"/>
  <c r="X2065" i="12" a="1"/>
  <c r="W2064" i="12" a="1"/>
  <c r="V2063" i="12" a="1"/>
  <c r="U2328" i="12" a="1"/>
  <c r="X2327" i="12" a="1"/>
  <c r="W2326" i="12" a="1"/>
  <c r="W2325" i="12" a="1"/>
  <c r="V2324" i="12" a="1"/>
  <c r="U2323" i="12" a="1"/>
  <c r="X2322" i="12" a="1"/>
  <c r="W2321" i="12" a="1"/>
  <c r="V2319" i="12" a="1"/>
  <c r="U2318" i="12" a="1"/>
  <c r="X2317" i="12" a="1"/>
  <c r="W2316" i="12" a="1"/>
  <c r="V2315" i="12" a="1"/>
  <c r="U2314" i="12" a="1"/>
  <c r="X2313" i="12" a="1"/>
  <c r="W2312" i="12" a="1"/>
  <c r="W2311" i="12" a="1"/>
  <c r="W2310" i="12" a="1"/>
  <c r="W2309" i="12" a="1"/>
  <c r="W2308" i="12" a="1"/>
  <c r="W2307" i="12" a="1"/>
  <c r="W2306" i="12" a="1"/>
  <c r="W2305" i="12" a="1"/>
  <c r="W2304" i="12" a="1"/>
  <c r="W2303" i="12" a="1"/>
  <c r="W2302" i="12" a="1"/>
  <c r="W2301" i="12" a="1"/>
  <c r="W2300" i="12" a="1"/>
  <c r="W2299" i="12" a="1"/>
  <c r="W2298" i="12" a="1"/>
  <c r="W2297" i="12" a="1"/>
  <c r="W2296" i="12" a="1"/>
  <c r="W2295" i="12" a="1"/>
  <c r="W2294" i="12" a="1"/>
  <c r="W2293" i="12" a="1"/>
  <c r="W2292" i="12" a="1"/>
  <c r="W2291" i="12" a="1"/>
  <c r="W2290" i="12" a="1"/>
  <c r="W2289" i="12" a="1"/>
  <c r="W2288" i="12" a="1"/>
  <c r="X2287" i="12" a="1"/>
  <c r="U2286" i="12" a="1"/>
  <c r="X2285" i="12" a="1"/>
  <c r="U2284" i="12" a="1"/>
  <c r="X2283" i="12" a="1"/>
  <c r="U2282" i="12" a="1"/>
  <c r="X2281" i="12" a="1"/>
  <c r="U2280" i="12" a="1"/>
  <c r="X2279" i="12" a="1"/>
  <c r="U2278" i="12" a="1"/>
  <c r="X2277" i="12" a="1"/>
  <c r="U2276" i="12" a="1"/>
  <c r="X2275" i="12" a="1"/>
  <c r="V2272" i="12" a="1"/>
  <c r="W2269" i="12" a="1"/>
  <c r="W2268" i="12" a="1"/>
  <c r="U2267" i="12" a="1"/>
  <c r="U2266" i="12" a="1"/>
  <c r="U2265" i="12" a="1"/>
  <c r="X2264" i="12" a="1"/>
  <c r="V2263" i="12" a="1"/>
  <c r="W2261" i="12" a="1"/>
  <c r="V2259" i="12" a="1"/>
  <c r="W2257" i="12" a="1"/>
  <c r="V2255" i="12" a="1"/>
  <c r="W2253" i="12" a="1"/>
  <c r="V2251" i="12" a="1"/>
  <c r="W2249" i="12" a="1"/>
  <c r="V2247" i="12" a="1"/>
  <c r="W2245" i="12" a="1"/>
  <c r="V2243" i="12" a="1"/>
  <c r="W2241" i="12" a="1"/>
  <c r="V2239" i="12" a="1"/>
  <c r="W2237" i="12" a="1"/>
  <c r="V2235" i="12" a="1"/>
  <c r="W2233" i="12" a="1"/>
  <c r="V2231" i="12" a="1"/>
  <c r="W2229" i="12" a="1"/>
  <c r="V2227" i="12" a="1"/>
  <c r="W2225" i="12" a="1"/>
  <c r="V2223" i="12" a="1"/>
  <c r="W2221" i="12" a="1"/>
  <c r="V2219" i="12" a="1"/>
  <c r="W2217" i="12" a="1"/>
  <c r="V2215" i="12" a="1"/>
  <c r="W2213" i="12" a="1"/>
  <c r="V2212" i="12" a="1"/>
  <c r="U2211" i="12" a="1"/>
  <c r="X2210" i="12" a="1"/>
  <c r="W2209" i="12" a="1"/>
  <c r="V2208" i="12" a="1"/>
  <c r="U2207" i="12" a="1"/>
  <c r="X2206" i="12" a="1"/>
  <c r="W2205" i="12" a="1"/>
  <c r="V2204" i="12" a="1"/>
  <c r="U2203" i="12" a="1"/>
  <c r="X2202" i="12" a="1"/>
  <c r="W2201" i="12" a="1"/>
  <c r="V2200" i="12" a="1"/>
  <c r="U2199" i="12" a="1"/>
  <c r="X2198" i="12" a="1"/>
  <c r="W2197" i="12" a="1"/>
  <c r="V2196" i="12" a="1"/>
  <c r="U2195" i="12" a="1"/>
  <c r="X2194" i="12" a="1"/>
  <c r="W2193" i="12" a="1"/>
  <c r="V2192" i="12" a="1"/>
  <c r="U2191" i="12" a="1"/>
  <c r="X2190" i="12" a="1"/>
  <c r="W2189" i="12" a="1"/>
  <c r="V2188" i="12" a="1"/>
  <c r="U2187" i="12" a="1"/>
  <c r="X2186" i="12" a="1"/>
  <c r="W2185" i="12" a="1"/>
  <c r="V2184" i="12" a="1"/>
  <c r="U2183" i="12" a="1"/>
  <c r="X2182" i="12" a="1"/>
  <c r="W2181" i="12" a="1"/>
  <c r="W2180" i="12" a="1"/>
  <c r="W2179" i="12" a="1"/>
  <c r="W2178" i="12" a="1"/>
  <c r="W2177" i="12" a="1"/>
  <c r="W2176" i="12" a="1"/>
  <c r="W2175" i="12" a="1"/>
  <c r="W2174" i="12" a="1"/>
  <c r="W2173" i="12" a="1"/>
  <c r="W2172" i="12" a="1"/>
  <c r="W2171" i="12" a="1"/>
  <c r="W2170" i="12" a="1"/>
  <c r="V2169" i="12" a="1"/>
  <c r="U2168" i="12" a="1"/>
  <c r="X2167" i="12" a="1"/>
  <c r="W2166" i="12" a="1"/>
  <c r="W2165" i="12" a="1"/>
  <c r="V2164" i="12" a="1"/>
  <c r="V2163" i="12" a="1"/>
  <c r="V2162" i="12" a="1"/>
  <c r="V2161" i="12" a="1"/>
  <c r="V2159" i="12" a="1"/>
  <c r="V2158" i="12" a="1"/>
  <c r="U2157" i="12" a="1"/>
  <c r="X2156" i="12" a="1"/>
  <c r="X2155" i="12" a="1"/>
  <c r="X2154" i="12" a="1"/>
  <c r="X2153" i="12" a="1"/>
  <c r="X2152" i="12" a="1"/>
  <c r="U2152" i="12" a="1"/>
  <c r="X2151" i="12" a="1"/>
  <c r="W2150" i="12" a="1"/>
  <c r="W2149" i="12" a="1"/>
  <c r="V2148" i="12" a="1"/>
  <c r="U2147" i="12" a="1"/>
  <c r="X2146" i="12" a="1"/>
  <c r="W2145" i="12" a="1"/>
  <c r="V2144" i="12" a="1"/>
  <c r="U2143" i="12" a="1"/>
  <c r="X2142" i="12" a="1"/>
  <c r="W2141" i="12" a="1"/>
  <c r="V2140" i="12" a="1"/>
  <c r="U2139" i="12" a="1"/>
  <c r="X2138" i="12" a="1"/>
  <c r="W2137" i="12" a="1"/>
  <c r="V2136" i="12" a="1"/>
  <c r="U2135" i="12" a="1"/>
  <c r="X2134" i="12" a="1"/>
  <c r="W2133" i="12" a="1"/>
  <c r="V2132" i="12" a="1"/>
  <c r="U2131" i="12" a="1"/>
  <c r="X2130" i="12" a="1"/>
  <c r="W2129" i="12" a="1"/>
  <c r="V2128" i="12" a="1"/>
  <c r="U2127" i="12" a="1"/>
  <c r="X2126" i="12" a="1"/>
  <c r="W2125" i="12" a="1"/>
  <c r="V2124" i="12" a="1"/>
  <c r="U2123" i="12" a="1"/>
  <c r="X2122" i="12" a="1"/>
  <c r="W2121" i="12" a="1"/>
  <c r="V2120" i="12" a="1"/>
  <c r="U2119" i="12" a="1"/>
  <c r="X2118" i="12" a="1"/>
  <c r="W2117" i="12" a="1"/>
  <c r="V2116" i="12" a="1"/>
  <c r="U2115" i="12" a="1"/>
  <c r="X2114" i="12" a="1"/>
  <c r="W2113" i="12" a="1"/>
  <c r="V2112" i="12" a="1"/>
  <c r="U2111" i="12" a="1"/>
  <c r="X2110" i="12" a="1"/>
  <c r="W2109" i="12" a="1"/>
  <c r="V2108" i="12" a="1"/>
  <c r="U2107" i="12" a="1"/>
  <c r="X2106" i="12" a="1"/>
  <c r="W2105" i="12" a="1"/>
  <c r="V2104" i="12" a="1"/>
  <c r="U2103" i="12" a="1"/>
  <c r="X2102" i="12" a="1"/>
  <c r="W2101" i="12" a="1"/>
  <c r="V2100" i="12" a="1"/>
  <c r="U2099" i="12" a="1"/>
  <c r="X2098" i="12" a="1"/>
  <c r="W2097" i="12" a="1"/>
  <c r="V2096" i="12" a="1"/>
  <c r="U2095" i="12" a="1"/>
  <c r="X2094" i="12" a="1"/>
  <c r="W2093" i="12" a="1"/>
  <c r="V2092" i="12" a="1"/>
  <c r="U2091" i="12" a="1"/>
  <c r="X2090" i="12" a="1"/>
  <c r="W2089" i="12" a="1"/>
  <c r="V2088" i="12" a="1"/>
  <c r="U2087" i="12" a="1"/>
  <c r="X2086" i="12" a="1"/>
  <c r="W2085" i="12" a="1"/>
  <c r="V2084" i="12" a="1"/>
  <c r="U2083" i="12" a="1"/>
  <c r="X2082" i="12" a="1"/>
  <c r="W2081" i="12" a="1"/>
  <c r="V2080" i="12" a="1"/>
  <c r="U2079" i="12" a="1"/>
  <c r="X2078" i="12" a="1"/>
  <c r="W2077" i="12" a="1"/>
  <c r="V2076" i="12" a="1"/>
  <c r="U2075" i="12" a="1"/>
  <c r="X2074" i="12" a="1"/>
  <c r="W2073" i="12" a="1"/>
  <c r="V2072" i="12" a="1"/>
  <c r="U2071" i="12" a="1"/>
  <c r="X2070" i="12" a="1"/>
  <c r="W2069" i="12" a="1"/>
  <c r="V2068" i="12" a="1"/>
  <c r="U2067" i="12" a="1"/>
  <c r="X2066" i="12" a="1"/>
  <c r="W2065" i="12" a="1"/>
  <c r="V2064" i="12" a="1"/>
  <c r="U2063" i="12" a="1"/>
  <c r="X2062" i="12" a="1"/>
  <c r="W2061" i="12" a="1"/>
  <c r="V2060" i="12" a="1"/>
  <c r="U2059" i="12" a="1"/>
  <c r="X2058" i="12" a="1"/>
  <c r="U2062" i="12" a="1"/>
  <c r="X2061" i="12" a="1"/>
  <c r="U2058" i="12" a="1"/>
  <c r="X2057" i="12" a="1"/>
  <c r="V2056" i="12" a="1"/>
  <c r="W2055" i="12" a="1"/>
  <c r="U2054" i="12" a="1"/>
  <c r="X2053" i="12" a="1"/>
  <c r="V2052" i="12" a="1"/>
  <c r="W2051" i="12" a="1"/>
  <c r="U2050" i="12" a="1"/>
  <c r="X2049" i="12" a="1"/>
  <c r="V2048" i="12" a="1"/>
  <c r="W2047" i="12" a="1"/>
  <c r="U2046" i="12" a="1"/>
  <c r="X2045" i="12" a="1"/>
  <c r="U2039" i="12" a="1"/>
  <c r="X2038" i="12" a="1"/>
  <c r="V2037" i="12" a="1"/>
  <c r="U2036" i="12" a="1"/>
  <c r="X2035" i="12" a="1"/>
  <c r="W2034" i="12" a="1"/>
  <c r="W2033" i="12" a="1"/>
  <c r="V2031" i="12" a="1"/>
  <c r="U2030" i="12" a="1"/>
  <c r="X2029" i="12" a="1"/>
  <c r="W2028" i="12" a="1"/>
  <c r="V2027" i="12" a="1"/>
  <c r="V2026" i="12" a="1"/>
  <c r="U2025" i="12" a="1"/>
  <c r="X2024" i="12" a="1"/>
  <c r="U2024" i="12" a="1"/>
  <c r="X2023" i="12" a="1"/>
  <c r="W2022" i="12" a="1"/>
  <c r="V2021" i="12" a="1"/>
  <c r="U2020" i="12" a="1"/>
  <c r="X2019" i="12" a="1"/>
  <c r="W2018" i="12" a="1"/>
  <c r="W2017" i="12" a="1"/>
  <c r="V2015" i="12" a="1"/>
  <c r="U2014" i="12" a="1"/>
  <c r="X2013" i="12" a="1"/>
  <c r="W2012" i="12" a="1"/>
  <c r="V2011" i="12" a="1"/>
  <c r="V2010" i="12" a="1"/>
  <c r="U2009" i="12" a="1"/>
  <c r="X2008" i="12" a="1"/>
  <c r="U2008" i="12" a="1"/>
  <c r="X2007" i="12" a="1"/>
  <c r="W2006" i="12" a="1"/>
  <c r="V2005" i="12" a="1"/>
  <c r="U2004" i="12" a="1"/>
  <c r="X2003" i="12" a="1"/>
  <c r="W2002" i="12" a="1"/>
  <c r="W2001" i="12" a="1"/>
  <c r="V1999" i="12" a="1"/>
  <c r="V1998" i="12" a="1"/>
  <c r="U1997" i="12" a="1"/>
  <c r="X1996" i="12" a="1"/>
  <c r="U1996" i="12" a="1"/>
  <c r="X1995" i="12" a="1"/>
  <c r="W1994" i="12" a="1"/>
  <c r="W1993" i="12" a="1"/>
  <c r="V1991" i="12" a="1"/>
  <c r="V1990" i="12" a="1"/>
  <c r="U1989" i="12" a="1"/>
  <c r="X1988" i="12" a="1"/>
  <c r="U1988" i="12" a="1"/>
  <c r="X1987" i="12" a="1"/>
  <c r="W1986" i="12" a="1"/>
  <c r="W1985" i="12" a="1"/>
  <c r="V1983" i="12" a="1"/>
  <c r="V1982" i="12" a="1"/>
  <c r="U1981" i="12" a="1"/>
  <c r="X1980" i="12" a="1"/>
  <c r="U1980" i="12" a="1"/>
  <c r="X1979" i="12" a="1"/>
  <c r="W1978" i="12" a="1"/>
  <c r="W1977" i="12" a="1"/>
  <c r="V1975" i="12" a="1"/>
  <c r="U1974" i="12" a="1"/>
  <c r="X1973" i="12" a="1"/>
  <c r="W1972" i="12" a="1"/>
  <c r="W1971" i="12" a="1"/>
  <c r="V1970" i="12" a="1"/>
  <c r="U1969" i="12" a="1"/>
  <c r="X1968" i="12" a="1"/>
  <c r="W1967" i="12" a="1"/>
  <c r="V1966" i="12" a="1"/>
  <c r="V1961" i="12" a="1"/>
  <c r="U1960" i="12" a="1"/>
  <c r="U1959" i="12" a="1"/>
  <c r="X1958" i="12" a="1"/>
  <c r="X1957" i="12" a="1"/>
  <c r="U1957" i="12" a="1"/>
  <c r="X1956" i="12" a="1"/>
  <c r="U1956" i="12" a="1"/>
  <c r="X1955" i="12" a="1"/>
  <c r="U1955" i="12" a="1"/>
  <c r="X1954" i="12" a="1"/>
  <c r="U1954" i="12" a="1"/>
  <c r="X1953" i="12" a="1"/>
  <c r="U1953" i="12" a="1"/>
  <c r="X1952" i="12" a="1"/>
  <c r="U1952" i="12" a="1"/>
  <c r="X1951" i="12" a="1"/>
  <c r="U1951" i="12" a="1"/>
  <c r="X1950" i="12" a="1"/>
  <c r="U1950" i="12" a="1"/>
  <c r="X1949" i="12" a="1"/>
  <c r="U1949" i="12" a="1"/>
  <c r="X1948" i="12" a="1"/>
  <c r="U1948" i="12" a="1"/>
  <c r="X1947" i="12" a="1"/>
  <c r="U1947" i="12" a="1"/>
  <c r="X1946" i="12" a="1"/>
  <c r="U1946" i="12" a="1"/>
  <c r="X1945" i="12" a="1"/>
  <c r="U1945" i="12" a="1"/>
  <c r="X1944" i="12" a="1"/>
  <c r="U1944" i="12" a="1"/>
  <c r="X1943" i="12" a="1"/>
  <c r="U1943" i="12" a="1"/>
  <c r="X1942" i="12" a="1"/>
  <c r="U1942" i="12" a="1"/>
  <c r="U2061" i="12" a="1"/>
  <c r="X2060" i="12" a="1"/>
  <c r="W2057" i="12" a="1"/>
  <c r="V2055" i="12" a="1"/>
  <c r="W2053" i="12" a="1"/>
  <c r="V2051" i="12" a="1"/>
  <c r="W2049" i="12" a="1"/>
  <c r="V2047" i="12" a="1"/>
  <c r="W2045" i="12" a="1"/>
  <c r="U2044" i="12" a="1"/>
  <c r="X2043" i="12" a="1"/>
  <c r="V2042" i="12" a="1"/>
  <c r="W2041" i="12" a="1"/>
  <c r="V2040" i="12" a="1"/>
  <c r="W2038" i="12" a="1"/>
  <c r="U2037" i="12" a="1"/>
  <c r="X2036" i="12" a="1"/>
  <c r="W2035" i="12" a="1"/>
  <c r="V2033" i="12" a="1"/>
  <c r="V2032" i="12" a="1"/>
  <c r="U2031" i="12" a="1"/>
  <c r="X2030" i="12" a="1"/>
  <c r="W2029" i="12" a="1"/>
  <c r="V2028" i="12" a="1"/>
  <c r="U2027" i="12" a="1"/>
  <c r="X2026" i="12" a="1"/>
  <c r="U2026" i="12" a="1"/>
  <c r="X2025" i="12" a="1"/>
  <c r="W2024" i="12" a="1"/>
  <c r="W2023" i="12" a="1"/>
  <c r="V2022" i="12" a="1"/>
  <c r="U2021" i="12" a="1"/>
  <c r="X2020" i="12" a="1"/>
  <c r="W2019" i="12" a="1"/>
  <c r="V2017" i="12" a="1"/>
  <c r="V2016" i="12" a="1"/>
  <c r="U2015" i="12" a="1"/>
  <c r="X2014" i="12" a="1"/>
  <c r="W2013" i="12" a="1"/>
  <c r="V2012" i="12" a="1"/>
  <c r="U2011" i="12" a="1"/>
  <c r="X2010" i="12" a="1"/>
  <c r="U2010" i="12" a="1"/>
  <c r="X2009" i="12" a="1"/>
  <c r="W2008" i="12" a="1"/>
  <c r="W2007" i="12" a="1"/>
  <c r="V2006" i="12" a="1"/>
  <c r="U2005" i="12" a="1"/>
  <c r="X2004" i="12" a="1"/>
  <c r="W2003" i="12" a="1"/>
  <c r="V2001" i="12" a="1"/>
  <c r="V2000" i="12" a="1"/>
  <c r="U1999" i="12" a="1"/>
  <c r="X1998" i="12" a="1"/>
  <c r="U1998" i="12" a="1"/>
  <c r="X1997" i="12" a="1"/>
  <c r="W1996" i="12" a="1"/>
  <c r="W1995" i="12" a="1"/>
  <c r="V1993" i="12" a="1"/>
  <c r="V1992" i="12" a="1"/>
  <c r="U1991" i="12" a="1"/>
  <c r="X1990" i="12" a="1"/>
  <c r="U1990" i="12" a="1"/>
  <c r="X1989" i="12" a="1"/>
  <c r="W1988" i="12" a="1"/>
  <c r="W1987" i="12" a="1"/>
  <c r="V1985" i="12" a="1"/>
  <c r="V1984" i="12" a="1"/>
  <c r="U1983" i="12" a="1"/>
  <c r="X1982" i="12" a="1"/>
  <c r="U1982" i="12" a="1"/>
  <c r="X1981" i="12" a="1"/>
  <c r="W1980" i="12" a="1"/>
  <c r="W1979" i="12" a="1"/>
  <c r="V1977" i="12" a="1"/>
  <c r="V1976" i="12" a="1"/>
  <c r="U1975" i="12" a="1"/>
  <c r="X1974" i="12" a="1"/>
  <c r="W1973" i="12" a="1"/>
  <c r="V1971" i="12" a="1"/>
  <c r="U1970" i="12" a="1"/>
  <c r="X1969" i="12" a="1"/>
  <c r="W1968" i="12" a="1"/>
  <c r="V1967" i="12" a="1"/>
  <c r="U1966" i="12" a="1"/>
  <c r="V1965" i="12" a="1"/>
  <c r="V1964" i="12" a="1"/>
  <c r="V1963" i="12" a="1"/>
  <c r="V1962" i="12" a="1"/>
  <c r="U1961" i="12" a="1"/>
  <c r="X1960" i="12" a="1"/>
  <c r="X1959" i="12" a="1"/>
  <c r="W1958" i="12" a="1"/>
  <c r="W1957" i="12" a="1"/>
  <c r="W1956" i="12" a="1"/>
  <c r="W1955" i="12" a="1"/>
  <c r="W1954" i="12" a="1"/>
  <c r="W1953" i="12" a="1"/>
  <c r="W1952" i="12" a="1"/>
  <c r="W1951" i="12" a="1"/>
  <c r="W1950" i="12" a="1"/>
  <c r="W1949" i="12" a="1"/>
  <c r="W1948" i="12" a="1"/>
  <c r="W1947" i="12" a="1"/>
  <c r="W1946" i="12" a="1"/>
  <c r="W1945" i="12" a="1"/>
  <c r="W1944" i="12" a="1"/>
  <c r="W1943" i="12" a="1"/>
  <c r="W1942" i="12" a="1"/>
  <c r="W1941" i="12" a="1"/>
  <c r="W1940" i="12" a="1"/>
  <c r="W1939" i="12" a="1"/>
  <c r="W1938" i="12" a="1"/>
  <c r="W1937" i="12" a="1"/>
  <c r="W1936" i="12" a="1"/>
  <c r="W1935" i="12" a="1"/>
  <c r="W1934" i="12" a="1"/>
  <c r="W1933" i="12" a="1"/>
  <c r="W1932" i="12" a="1"/>
  <c r="W1931" i="12" a="1"/>
  <c r="W1930" i="12" a="1"/>
  <c r="W1929" i="12" a="1"/>
  <c r="W1928" i="12" a="1"/>
  <c r="W1927" i="12" a="1"/>
  <c r="W1926" i="12" a="1"/>
  <c r="W1925" i="12" a="1"/>
  <c r="W1924" i="12" a="1"/>
  <c r="W1923" i="12" a="1"/>
  <c r="W1922" i="12" a="1"/>
  <c r="W2060" i="12" a="1"/>
  <c r="W2059" i="12" a="1"/>
  <c r="U2057" i="12" a="1"/>
  <c r="X2056" i="12" a="1"/>
  <c r="U2055" i="12" a="1"/>
  <c r="X2054" i="12" a="1"/>
  <c r="U2053" i="12" a="1"/>
  <c r="X2052" i="12" a="1"/>
  <c r="U2051" i="12" a="1"/>
  <c r="X2050" i="12" a="1"/>
  <c r="U2049" i="12" a="1"/>
  <c r="X2048" i="12" a="1"/>
  <c r="U2047" i="12" a="1"/>
  <c r="X2046" i="12" a="1"/>
  <c r="U2045" i="12" a="1"/>
  <c r="X2044" i="12" a="1"/>
  <c r="W2043" i="12" a="1"/>
  <c r="V2041" i="12" a="1"/>
  <c r="U2040" i="12" a="1"/>
  <c r="X2039" i="12" a="1"/>
  <c r="U2038" i="12" a="1"/>
  <c r="X2037" i="12" a="1"/>
  <c r="W2036" i="12" a="1"/>
  <c r="V2035" i="12" a="1"/>
  <c r="V2034" i="12" a="1"/>
  <c r="U2033" i="12" a="1"/>
  <c r="X2032" i="12" a="1"/>
  <c r="U2032" i="12" a="1"/>
  <c r="X2031" i="12" a="1"/>
  <c r="W2030" i="12" a="1"/>
  <c r="V2029" i="12" a="1"/>
  <c r="U2028" i="12" a="1"/>
  <c r="X2027" i="12" a="1"/>
  <c r="W2026" i="12" a="1"/>
  <c r="W2025" i="12" a="1"/>
  <c r="V2023" i="12" a="1"/>
  <c r="U2022" i="12" a="1"/>
  <c r="X2021" i="12" a="1"/>
  <c r="W2020" i="12" a="1"/>
  <c r="V2019" i="12" a="1"/>
  <c r="V2018" i="12" a="1"/>
  <c r="U2017" i="12" a="1"/>
  <c r="X2016" i="12" a="1"/>
  <c r="U2016" i="12" a="1"/>
  <c r="X2015" i="12" a="1"/>
  <c r="W2014" i="12" a="1"/>
  <c r="V2013" i="12" a="1"/>
  <c r="U2012" i="12" a="1"/>
  <c r="X2011" i="12" a="1"/>
  <c r="W2010" i="12" a="1"/>
  <c r="W2009" i="12" a="1"/>
  <c r="V2007" i="12" a="1"/>
  <c r="U2006" i="12" a="1"/>
  <c r="X2005" i="12" a="1"/>
  <c r="W2004" i="12" a="1"/>
  <c r="V2003" i="12" a="1"/>
  <c r="V2002" i="12" a="1"/>
  <c r="U2001" i="12" a="1"/>
  <c r="X2000" i="12" a="1"/>
  <c r="U2000" i="12" a="1"/>
  <c r="X1999" i="12" a="1"/>
  <c r="W1998" i="12" a="1"/>
  <c r="W1997" i="12" a="1"/>
  <c r="V1995" i="12" a="1"/>
  <c r="V1994" i="12" a="1"/>
  <c r="U1993" i="12" a="1"/>
  <c r="X1992" i="12" a="1"/>
  <c r="U1992" i="12" a="1"/>
  <c r="X1991" i="12" a="1"/>
  <c r="W1990" i="12" a="1"/>
  <c r="W1989" i="12" a="1"/>
  <c r="V1987" i="12" a="1"/>
  <c r="V1986" i="12" a="1"/>
  <c r="U1985" i="12" a="1"/>
  <c r="X1984" i="12" a="1"/>
  <c r="U1984" i="12" a="1"/>
  <c r="X1983" i="12" a="1"/>
  <c r="W1982" i="12" a="1"/>
  <c r="W1981" i="12" a="1"/>
  <c r="V1979" i="12" a="1"/>
  <c r="V1978" i="12" a="1"/>
  <c r="U1977" i="12" a="1"/>
  <c r="X1976" i="12" a="1"/>
  <c r="U1976" i="12" a="1"/>
  <c r="X1975" i="12" a="1"/>
  <c r="W1974" i="12" a="1"/>
  <c r="V1973" i="12" a="1"/>
  <c r="V1972" i="12" a="1"/>
  <c r="U1971" i="12" a="1"/>
  <c r="X1970" i="12" a="1"/>
  <c r="W1969" i="12" a="1"/>
  <c r="V1968" i="12" a="1"/>
  <c r="U1967" i="12" a="1"/>
  <c r="X1966" i="12" a="1"/>
  <c r="X1965" i="12" a="1"/>
  <c r="U1965" i="12" a="1"/>
  <c r="X1964" i="12" a="1"/>
  <c r="U1964" i="12" a="1"/>
  <c r="X1963" i="12" a="1"/>
  <c r="U1963" i="12" a="1"/>
  <c r="X1962" i="12" a="1"/>
  <c r="U1962" i="12" a="1"/>
  <c r="X1961" i="12" a="1"/>
  <c r="W1960" i="12" a="1"/>
  <c r="W1959" i="12" a="1"/>
  <c r="V1958" i="12" a="1"/>
  <c r="V1869" i="12" a="1"/>
  <c r="U1868" i="12" a="1"/>
  <c r="X1867" i="12" a="1"/>
  <c r="W1866" i="12" a="1"/>
  <c r="U2093" i="12" a="1"/>
  <c r="X2092" i="12" a="1"/>
  <c r="W2091" i="12" a="1"/>
  <c r="V2090" i="12" a="1"/>
  <c r="U2089" i="12" a="1"/>
  <c r="X2088" i="12" a="1"/>
  <c r="W2087" i="12" a="1"/>
  <c r="V2086" i="12" a="1"/>
  <c r="U2085" i="12" a="1"/>
  <c r="X2084" i="12" a="1"/>
  <c r="W2083" i="12" a="1"/>
  <c r="V2082" i="12" a="1"/>
  <c r="U2081" i="12" a="1"/>
  <c r="X2080" i="12" a="1"/>
  <c r="W2079" i="12" a="1"/>
  <c r="V2078" i="12" a="1"/>
  <c r="U2077" i="12" a="1"/>
  <c r="X2076" i="12" a="1"/>
  <c r="W2075" i="12" a="1"/>
  <c r="V2074" i="12" a="1"/>
  <c r="U2073" i="12" a="1"/>
  <c r="X2072" i="12" a="1"/>
  <c r="W2071" i="12" a="1"/>
  <c r="V2070" i="12" a="1"/>
  <c r="U2069" i="12" a="1"/>
  <c r="X2068" i="12" a="1"/>
  <c r="W2067" i="12" a="1"/>
  <c r="V2066" i="12" a="1"/>
  <c r="U2065" i="12" a="1"/>
  <c r="X2064" i="12" a="1"/>
  <c r="W2063" i="12" a="1"/>
  <c r="V2062" i="12" a="1"/>
  <c r="V2059" i="12" a="1"/>
  <c r="V2058" i="12" a="1"/>
  <c r="W2056" i="12" a="1"/>
  <c r="V2054" i="12" a="1"/>
  <c r="W2052" i="12" a="1"/>
  <c r="V2050" i="12" a="1"/>
  <c r="W2048" i="12" a="1"/>
  <c r="V2046" i="12" a="1"/>
  <c r="W2044" i="12" a="1"/>
  <c r="V2043" i="12" a="1"/>
  <c r="W2042" i="12" a="1"/>
  <c r="U2041" i="12" a="1"/>
  <c r="X2040" i="12" a="1"/>
  <c r="V2039" i="12" a="1"/>
  <c r="W2037" i="12" a="1"/>
  <c r="V2036" i="12" a="1"/>
  <c r="U2035" i="12" a="1"/>
  <c r="X2034" i="12" a="1"/>
  <c r="U2034" i="12" a="1"/>
  <c r="X2033" i="12" a="1"/>
  <c r="W2032" i="12" a="1"/>
  <c r="W2031" i="12" a="1"/>
  <c r="V2030" i="12" a="1"/>
  <c r="U2029" i="12" a="1"/>
  <c r="X2028" i="12" a="1"/>
  <c r="W2027" i="12" a="1"/>
  <c r="V2025" i="12" a="1"/>
  <c r="V2024" i="12" a="1"/>
  <c r="U2023" i="12" a="1"/>
  <c r="X2022" i="12" a="1"/>
  <c r="W2021" i="12" a="1"/>
  <c r="V2020" i="12" a="1"/>
  <c r="U2019" i="12" a="1"/>
  <c r="X2018" i="12" a="1"/>
  <c r="U2018" i="12" a="1"/>
  <c r="X2017" i="12" a="1"/>
  <c r="W2016" i="12" a="1"/>
  <c r="W2015" i="12" a="1"/>
  <c r="V2014" i="12" a="1"/>
  <c r="U2013" i="12" a="1"/>
  <c r="X2012" i="12" a="1"/>
  <c r="W2011" i="12" a="1"/>
  <c r="V2009" i="12" a="1"/>
  <c r="V2008" i="12" a="1"/>
  <c r="U2007" i="12" a="1"/>
  <c r="X2006" i="12" a="1"/>
  <c r="W2005" i="12" a="1"/>
  <c r="V2004" i="12" a="1"/>
  <c r="U2003" i="12" a="1"/>
  <c r="X2002" i="12" a="1"/>
  <c r="U2002" i="12" a="1"/>
  <c r="X2001" i="12" a="1"/>
  <c r="W2000" i="12" a="1"/>
  <c r="W1999" i="12" a="1"/>
  <c r="V1997" i="12" a="1"/>
  <c r="V1996" i="12" a="1"/>
  <c r="U1995" i="12" a="1"/>
  <c r="X1994" i="12" a="1"/>
  <c r="U1994" i="12" a="1"/>
  <c r="X1993" i="12" a="1"/>
  <c r="W1992" i="12" a="1"/>
  <c r="W1991" i="12" a="1"/>
  <c r="V1989" i="12" a="1"/>
  <c r="V1988" i="12" a="1"/>
  <c r="U1987" i="12" a="1"/>
  <c r="X1986" i="12" a="1"/>
  <c r="U1986" i="12" a="1"/>
  <c r="X1985" i="12" a="1"/>
  <c r="W1984" i="12" a="1"/>
  <c r="W1983" i="12" a="1"/>
  <c r="V1981" i="12" a="1"/>
  <c r="V1980" i="12" a="1"/>
  <c r="U1979" i="12" a="1"/>
  <c r="X1978" i="12" a="1"/>
  <c r="U1978" i="12" a="1"/>
  <c r="X1977" i="12" a="1"/>
  <c r="W1976" i="12" a="1"/>
  <c r="W1975" i="12" a="1"/>
  <c r="V1974" i="12" a="1"/>
  <c r="U1973" i="12" a="1"/>
  <c r="X1972" i="12" a="1"/>
  <c r="U1972" i="12" a="1"/>
  <c r="X1971" i="12" a="1"/>
  <c r="W1970" i="12" a="1"/>
  <c r="V1969" i="12" a="1"/>
  <c r="U1968" i="12" a="1"/>
  <c r="X1967" i="12" a="1"/>
  <c r="W1966" i="12" a="1"/>
  <c r="W1965" i="12" a="1"/>
  <c r="W1964" i="12" a="1"/>
  <c r="W1963" i="12" a="1"/>
  <c r="W1962" i="12" a="1"/>
  <c r="W1961" i="12" a="1"/>
  <c r="V1960" i="12" a="1"/>
  <c r="V1959" i="12" a="1"/>
  <c r="U1958" i="12" a="1"/>
  <c r="V1957" i="12" a="1"/>
  <c r="V1956" i="12" a="1"/>
  <c r="V1955" i="12" a="1"/>
  <c r="V1954" i="12" a="1"/>
  <c r="V1953" i="12" a="1"/>
  <c r="V1952" i="12" a="1"/>
  <c r="V1951" i="12" a="1"/>
  <c r="V1950" i="12" a="1"/>
  <c r="V1949" i="12" a="1"/>
  <c r="V1948" i="12" a="1"/>
  <c r="V1947" i="12" a="1"/>
  <c r="V1946" i="12" a="1"/>
  <c r="V1945" i="12" a="1"/>
  <c r="V1944" i="12" a="1"/>
  <c r="V1943" i="12" a="1"/>
  <c r="V1942" i="12" a="1"/>
  <c r="V1941" i="12" a="1"/>
  <c r="U1941" i="12" a="1"/>
  <c r="X1940" i="12" a="1"/>
  <c r="U1939" i="12" a="1"/>
  <c r="X1938" i="12" a="1"/>
  <c r="U1937" i="12" a="1"/>
  <c r="X1936" i="12" a="1"/>
  <c r="U1935" i="12" a="1"/>
  <c r="X1934" i="12" a="1"/>
  <c r="U1933" i="12" a="1"/>
  <c r="X1932" i="12" a="1"/>
  <c r="U1931" i="12" a="1"/>
  <c r="X1930" i="12" a="1"/>
  <c r="U1929" i="12" a="1"/>
  <c r="X1928" i="12" a="1"/>
  <c r="U1927" i="12" a="1"/>
  <c r="X1926" i="12" a="1"/>
  <c r="U1925" i="12" a="1"/>
  <c r="X1924" i="12" a="1"/>
  <c r="U1923" i="12" a="1"/>
  <c r="X1922" i="12" a="1"/>
  <c r="V1921" i="12" a="1"/>
  <c r="U1920" i="12" a="1"/>
  <c r="X1919" i="12" a="1"/>
  <c r="W1918" i="12" a="1"/>
  <c r="V1917" i="12" a="1"/>
  <c r="U1916" i="12" a="1"/>
  <c r="X1915" i="12" a="1"/>
  <c r="W1914" i="12" a="1"/>
  <c r="V1913" i="12" a="1"/>
  <c r="U1912" i="12" a="1"/>
  <c r="X1911" i="12" a="1"/>
  <c r="W1910" i="12" a="1"/>
  <c r="V1909" i="12" a="1"/>
  <c r="U1908" i="12" a="1"/>
  <c r="X1907" i="12" a="1"/>
  <c r="W1906" i="12" a="1"/>
  <c r="V1905" i="12" a="1"/>
  <c r="U1904" i="12" a="1"/>
  <c r="X1903" i="12" a="1"/>
  <c r="W1902" i="12" a="1"/>
  <c r="V1901" i="12" a="1"/>
  <c r="U1900" i="12" a="1"/>
  <c r="X1899" i="12" a="1"/>
  <c r="W1898" i="12" a="1"/>
  <c r="V1897" i="12" a="1"/>
  <c r="U1896" i="12" a="1"/>
  <c r="X1895" i="12" a="1"/>
  <c r="W1894" i="12" a="1"/>
  <c r="V1893" i="12" a="1"/>
  <c r="U1892" i="12" a="1"/>
  <c r="X1891" i="12" a="1"/>
  <c r="W1890" i="12" a="1"/>
  <c r="V1889" i="12" a="1"/>
  <c r="U1888" i="12" a="1"/>
  <c r="X1887" i="12" a="1"/>
  <c r="W1886" i="12" a="1"/>
  <c r="V1885" i="12" a="1"/>
  <c r="U1884" i="12" a="1"/>
  <c r="X1883" i="12" a="1"/>
  <c r="W1882" i="12" a="1"/>
  <c r="V1881" i="12" a="1"/>
  <c r="U1880" i="12" a="1"/>
  <c r="X1879" i="12" a="1"/>
  <c r="W1878" i="12" a="1"/>
  <c r="V1877" i="12" a="1"/>
  <c r="U1876" i="12" a="1"/>
  <c r="X1875" i="12" a="1"/>
  <c r="W1874" i="12" a="1"/>
  <c r="V1873" i="12" a="1"/>
  <c r="U1872" i="12" a="1"/>
  <c r="X1871" i="12" a="1"/>
  <c r="W1870" i="12" a="1"/>
  <c r="U1869" i="12" a="1"/>
  <c r="X1868" i="12" a="1"/>
  <c r="U1867" i="12" a="1"/>
  <c r="X1866" i="12" a="1"/>
  <c r="V1865" i="12" a="1"/>
  <c r="U1864" i="12" a="1"/>
  <c r="X1863" i="12" a="1"/>
  <c r="W1862" i="12" a="1"/>
  <c r="V1861" i="12" a="1"/>
  <c r="U1860" i="12" a="1"/>
  <c r="X1859" i="12" a="1"/>
  <c r="W1858" i="12" a="1"/>
  <c r="V1853" i="12" a="1"/>
  <c r="W1852" i="12" a="1"/>
  <c r="U1852" i="12" a="1"/>
  <c r="X1851" i="12" a="1"/>
  <c r="X1850" i="12" a="1"/>
  <c r="V1850" i="12" a="1"/>
  <c r="V1849" i="12" a="1"/>
  <c r="V1848" i="12" a="1"/>
  <c r="V1847" i="12" a="1"/>
  <c r="V1846" i="12" a="1"/>
  <c r="V1845" i="12" a="1"/>
  <c r="V1844" i="12" a="1"/>
  <c r="V1843" i="12" a="1"/>
  <c r="V1842" i="12" a="1"/>
  <c r="V1841" i="12" a="1"/>
  <c r="U1840" i="12" a="1"/>
  <c r="X1839" i="12" a="1"/>
  <c r="W1838" i="12" a="1"/>
  <c r="V1837" i="12" a="1"/>
  <c r="U1836" i="12" a="1"/>
  <c r="X1835" i="12" a="1"/>
  <c r="W1834" i="12" a="1"/>
  <c r="V1833" i="12" a="1"/>
  <c r="U1832" i="12" a="1"/>
  <c r="X1831" i="12" a="1"/>
  <c r="W1830" i="12" a="1"/>
  <c r="V1829" i="12" a="1"/>
  <c r="U1828" i="12" a="1"/>
  <c r="X1827" i="12" a="1"/>
  <c r="W1826" i="12" a="1"/>
  <c r="V1825" i="12" a="1"/>
  <c r="U1824" i="12" a="1"/>
  <c r="X1823" i="12" a="1"/>
  <c r="W1822" i="12" a="1"/>
  <c r="V1821" i="12" a="1"/>
  <c r="U1820" i="12" a="1"/>
  <c r="X1819" i="12" a="1"/>
  <c r="W1818" i="12" a="1"/>
  <c r="V1817" i="12" a="1"/>
  <c r="U1816" i="12" a="1"/>
  <c r="X1815" i="12" a="1"/>
  <c r="W1814" i="12" a="1"/>
  <c r="W1813" i="12" a="1"/>
  <c r="V1812" i="12" a="1"/>
  <c r="U1811" i="12" a="1"/>
  <c r="X1810" i="12" a="1"/>
  <c r="X1809" i="12" a="1"/>
  <c r="W1808" i="12" a="1"/>
  <c r="V1807" i="12" a="1"/>
  <c r="U1806" i="12" a="1"/>
  <c r="U1805" i="12" a="1"/>
  <c r="X1804" i="12" a="1"/>
  <c r="W1803" i="12" a="1"/>
  <c r="V1802" i="12" a="1"/>
  <c r="V1801" i="12" a="1"/>
  <c r="U1800" i="12" a="1"/>
  <c r="X1799" i="12" a="1"/>
  <c r="W1798" i="12" a="1"/>
  <c r="W1797" i="12" a="1"/>
  <c r="V1796" i="12" a="1"/>
  <c r="W1795" i="12" a="1"/>
  <c r="V1794" i="12" a="1"/>
  <c r="W1793" i="12" a="1"/>
  <c r="V1792" i="12" a="1"/>
  <c r="W1791" i="12" a="1"/>
  <c r="V1790" i="12" a="1"/>
  <c r="U1789" i="12" a="1"/>
  <c r="X1788" i="12" a="1"/>
  <c r="W1787" i="12" a="1"/>
  <c r="V1786" i="12" a="1"/>
  <c r="U1785" i="12" a="1"/>
  <c r="X1784" i="12" a="1"/>
  <c r="W1783" i="12" a="1"/>
  <c r="V1782" i="12" a="1"/>
  <c r="U1781" i="12" a="1"/>
  <c r="X1780" i="12" a="1"/>
  <c r="W1779" i="12" a="1"/>
  <c r="V1778" i="12" a="1"/>
  <c r="U1777" i="12" a="1"/>
  <c r="X1776" i="12" a="1"/>
  <c r="W1775" i="12" a="1"/>
  <c r="V1774" i="12" a="1"/>
  <c r="U1773" i="12" a="1"/>
  <c r="X1772" i="12" a="1"/>
  <c r="W1771" i="12" a="1"/>
  <c r="V1770" i="12" a="1"/>
  <c r="U1769" i="12" a="1"/>
  <c r="X1768" i="12" a="1"/>
  <c r="W1767" i="12" a="1"/>
  <c r="V1766" i="12" a="1"/>
  <c r="U1765" i="12" a="1"/>
  <c r="X1764" i="12" a="1"/>
  <c r="W1763" i="12" a="1"/>
  <c r="V1762" i="12" a="1"/>
  <c r="U1761" i="12" a="1"/>
  <c r="X1760" i="12" a="1"/>
  <c r="W1759" i="12" a="1"/>
  <c r="V1758" i="12" a="1"/>
  <c r="U1757" i="12" a="1"/>
  <c r="X1756" i="12" a="1"/>
  <c r="W1755" i="12" a="1"/>
  <c r="V1754" i="12" a="1"/>
  <c r="U1753" i="12" a="1"/>
  <c r="X1752" i="12" a="1"/>
  <c r="W1751" i="12" a="1"/>
  <c r="V1750" i="12" a="1"/>
  <c r="U1749" i="12" a="1"/>
  <c r="X1748" i="12" a="1"/>
  <c r="W1747" i="12" a="1"/>
  <c r="V1746" i="12" a="1"/>
  <c r="U1745" i="12" a="1"/>
  <c r="X1744" i="12" a="1"/>
  <c r="W1743" i="12" a="1"/>
  <c r="V1742" i="12" a="1"/>
  <c r="U1741" i="12" a="1"/>
  <c r="X1740" i="12" a="1"/>
  <c r="W1739" i="12" a="1"/>
  <c r="V1738" i="12" a="1"/>
  <c r="U1737" i="12" a="1"/>
  <c r="X1736" i="12" a="1"/>
  <c r="W1735" i="12" a="1"/>
  <c r="V1734" i="12" a="1"/>
  <c r="U1733" i="12" a="1"/>
  <c r="X1732" i="12" a="1"/>
  <c r="W1731" i="12" a="1"/>
  <c r="V1730" i="12" a="1"/>
  <c r="U1729" i="12" a="1"/>
  <c r="X1728" i="12" a="1"/>
  <c r="W1727" i="12" a="1"/>
  <c r="V1726" i="12" a="1"/>
  <c r="U1725" i="12" a="1"/>
  <c r="X1724" i="12" a="1"/>
  <c r="W1723" i="12" a="1"/>
  <c r="V1722" i="12" a="1"/>
  <c r="U1721" i="12" a="1"/>
  <c r="X1720" i="12" a="1"/>
  <c r="W1719" i="12" a="1"/>
  <c r="V1718" i="12" a="1"/>
  <c r="U1717" i="12" a="1"/>
  <c r="X1716" i="12" a="1"/>
  <c r="W1715" i="12" a="1"/>
  <c r="V1714" i="12" a="1"/>
  <c r="U1713" i="12" a="1"/>
  <c r="X1712" i="12" a="1"/>
  <c r="W1711" i="12" a="1"/>
  <c r="V1710" i="12" a="1"/>
  <c r="U1709" i="12" a="1"/>
  <c r="X1708" i="12" a="1"/>
  <c r="W1707" i="12" a="1"/>
  <c r="V1706" i="12" a="1"/>
  <c r="U1705" i="12" a="1"/>
  <c r="X1704" i="12" a="1"/>
  <c r="W1703" i="12" a="1"/>
  <c r="V1702" i="12" a="1"/>
  <c r="U1701" i="12" a="1"/>
  <c r="X1700" i="12" a="1"/>
  <c r="W1699" i="12" a="1"/>
  <c r="V1698" i="12" a="1"/>
  <c r="U1697" i="12" a="1"/>
  <c r="X1696" i="12" a="1"/>
  <c r="W1695" i="12" a="1"/>
  <c r="V1694" i="12" a="1"/>
  <c r="U1693" i="12" a="1"/>
  <c r="X1692" i="12" a="1"/>
  <c r="W1691" i="12" a="1"/>
  <c r="V1690" i="12" a="1"/>
  <c r="U1689" i="12" a="1"/>
  <c r="X1688" i="12" a="1"/>
  <c r="W1687" i="12" a="1"/>
  <c r="V1686" i="12" a="1"/>
  <c r="U1685" i="12" a="1"/>
  <c r="V1940" i="12" a="1"/>
  <c r="V1938" i="12" a="1"/>
  <c r="V1936" i="12" a="1"/>
  <c r="V1934" i="12" a="1"/>
  <c r="V1932" i="12" a="1"/>
  <c r="V1930" i="12" a="1"/>
  <c r="V1928" i="12" a="1"/>
  <c r="V1926" i="12" a="1"/>
  <c r="V1924" i="12" a="1"/>
  <c r="V1922" i="12" a="1"/>
  <c r="U1921" i="12" a="1"/>
  <c r="X1920" i="12" a="1"/>
  <c r="W1919" i="12" a="1"/>
  <c r="V1918" i="12" a="1"/>
  <c r="U1917" i="12" a="1"/>
  <c r="X1916" i="12" a="1"/>
  <c r="W1915" i="12" a="1"/>
  <c r="V1914" i="12" a="1"/>
  <c r="U1913" i="12" a="1"/>
  <c r="X1912" i="12" a="1"/>
  <c r="W1911" i="12" a="1"/>
  <c r="V1910" i="12" a="1"/>
  <c r="U1909" i="12" a="1"/>
  <c r="X1908" i="12" a="1"/>
  <c r="W1907" i="12" a="1"/>
  <c r="V1906" i="12" a="1"/>
  <c r="U1905" i="12" a="1"/>
  <c r="X1904" i="12" a="1"/>
  <c r="W1903" i="12" a="1"/>
  <c r="V1902" i="12" a="1"/>
  <c r="U1901" i="12" a="1"/>
  <c r="X1900" i="12" a="1"/>
  <c r="W1899" i="12" a="1"/>
  <c r="V1898" i="12" a="1"/>
  <c r="U1897" i="12" a="1"/>
  <c r="X1896" i="12" a="1"/>
  <c r="W1895" i="12" a="1"/>
  <c r="V1894" i="12" a="1"/>
  <c r="U1893" i="12" a="1"/>
  <c r="X1892" i="12" a="1"/>
  <c r="W1891" i="12" a="1"/>
  <c r="V1890" i="12" a="1"/>
  <c r="U1889" i="12" a="1"/>
  <c r="X1888" i="12" a="1"/>
  <c r="W1887" i="12" a="1"/>
  <c r="V1886" i="12" a="1"/>
  <c r="U1885" i="12" a="1"/>
  <c r="X1884" i="12" a="1"/>
  <c r="W1883" i="12" a="1"/>
  <c r="V1882" i="12" a="1"/>
  <c r="U1881" i="12" a="1"/>
  <c r="X1880" i="12" a="1"/>
  <c r="W1879" i="12" a="1"/>
  <c r="V1878" i="12" a="1"/>
  <c r="U1877" i="12" a="1"/>
  <c r="X1876" i="12" a="1"/>
  <c r="W1875" i="12" a="1"/>
  <c r="V1874" i="12" a="1"/>
  <c r="U1873" i="12" a="1"/>
  <c r="X1872" i="12" a="1"/>
  <c r="W1871" i="12" a="1"/>
  <c r="V1870" i="12" a="1"/>
  <c r="W1868" i="12" a="1"/>
  <c r="V1866" i="12" a="1"/>
  <c r="U1865" i="12" a="1"/>
  <c r="X1864" i="12" a="1"/>
  <c r="W1863" i="12" a="1"/>
  <c r="V1862" i="12" a="1"/>
  <c r="U1861" i="12" a="1"/>
  <c r="X1860" i="12" a="1"/>
  <c r="W1859" i="12" a="1"/>
  <c r="V1858" i="12" a="1"/>
  <c r="V1857" i="12" a="1"/>
  <c r="V1856" i="12" a="1"/>
  <c r="V1855" i="12" a="1"/>
  <c r="V1854" i="12" a="1"/>
  <c r="U1853" i="12" a="1"/>
  <c r="W1851" i="12" a="1"/>
  <c r="U1850" i="12" a="1"/>
  <c r="U1849" i="12" a="1"/>
  <c r="X1848" i="12" a="1"/>
  <c r="U1848" i="12" a="1"/>
  <c r="U1847" i="12" a="1"/>
  <c r="X1846" i="12" a="1"/>
  <c r="U1846" i="12" a="1"/>
  <c r="U1845" i="12" a="1"/>
  <c r="X1844" i="12" a="1"/>
  <c r="U1844" i="12" a="1"/>
  <c r="U1843" i="12" a="1"/>
  <c r="X1842" i="12" a="1"/>
  <c r="U1842" i="12" a="1"/>
  <c r="U1841" i="12" a="1"/>
  <c r="X1840" i="12" a="1"/>
  <c r="W1839" i="12" a="1"/>
  <c r="V1838" i="12" a="1"/>
  <c r="U1837" i="12" a="1"/>
  <c r="X1836" i="12" a="1"/>
  <c r="W1835" i="12" a="1"/>
  <c r="V1834" i="12" a="1"/>
  <c r="U1833" i="12" a="1"/>
  <c r="X1832" i="12" a="1"/>
  <c r="W1831" i="12" a="1"/>
  <c r="V1830" i="12" a="1"/>
  <c r="U1829" i="12" a="1"/>
  <c r="X1828" i="12" a="1"/>
  <c r="W1827" i="12" a="1"/>
  <c r="V1826" i="12" a="1"/>
  <c r="U1825" i="12" a="1"/>
  <c r="X1824" i="12" a="1"/>
  <c r="W1823" i="12" a="1"/>
  <c r="V1822" i="12" a="1"/>
  <c r="U1821" i="12" a="1"/>
  <c r="X1820" i="12" a="1"/>
  <c r="W1819" i="12" a="1"/>
  <c r="V1818" i="12" a="1"/>
  <c r="U1817" i="12" a="1"/>
  <c r="X1816" i="12" a="1"/>
  <c r="W1815" i="12" a="1"/>
  <c r="V1814" i="12" a="1"/>
  <c r="V1813" i="12" a="1"/>
  <c r="U1812" i="12" a="1"/>
  <c r="X1811" i="12" a="1"/>
  <c r="W1810" i="12" a="1"/>
  <c r="W1809" i="12" a="1"/>
  <c r="V1808" i="12" a="1"/>
  <c r="U1807" i="12" a="1"/>
  <c r="X1806" i="12" a="1"/>
  <c r="X1805" i="12" a="1"/>
  <c r="W1804" i="12" a="1"/>
  <c r="V1803" i="12" a="1"/>
  <c r="U1802" i="12" a="1"/>
  <c r="U1801" i="12" a="1"/>
  <c r="X1800" i="12" a="1"/>
  <c r="W1799" i="12" a="1"/>
  <c r="V1798" i="12" a="1"/>
  <c r="V1797" i="12" a="1"/>
  <c r="V1795" i="12" a="1"/>
  <c r="V1793" i="12" a="1"/>
  <c r="V1791" i="12" a="1"/>
  <c r="U1790" i="12" a="1"/>
  <c r="X1789" i="12" a="1"/>
  <c r="W1788" i="12" a="1"/>
  <c r="V1787" i="12" a="1"/>
  <c r="U1786" i="12" a="1"/>
  <c r="X1785" i="12" a="1"/>
  <c r="W1784" i="12" a="1"/>
  <c r="V1783" i="12" a="1"/>
  <c r="U1782" i="12" a="1"/>
  <c r="X1781" i="12" a="1"/>
  <c r="W1780" i="12" a="1"/>
  <c r="V1779" i="12" a="1"/>
  <c r="U1778" i="12" a="1"/>
  <c r="X1777" i="12" a="1"/>
  <c r="W1776" i="12" a="1"/>
  <c r="V1775" i="12" a="1"/>
  <c r="U1774" i="12" a="1"/>
  <c r="X1773" i="12" a="1"/>
  <c r="W1772" i="12" a="1"/>
  <c r="V1771" i="12" a="1"/>
  <c r="U1770" i="12" a="1"/>
  <c r="X1769" i="12" a="1"/>
  <c r="W1768" i="12" a="1"/>
  <c r="V1767" i="12" a="1"/>
  <c r="U1766" i="12" a="1"/>
  <c r="X1765" i="12" a="1"/>
  <c r="W1764" i="12" a="1"/>
  <c r="V1763" i="12" a="1"/>
  <c r="U1762" i="12" a="1"/>
  <c r="X1761" i="12" a="1"/>
  <c r="W1760" i="12" a="1"/>
  <c r="V1759" i="12" a="1"/>
  <c r="U1758" i="12" a="1"/>
  <c r="X1757" i="12" a="1"/>
  <c r="W1756" i="12" a="1"/>
  <c r="V1755" i="12" a="1"/>
  <c r="U1754" i="12" a="1"/>
  <c r="X1753" i="12" a="1"/>
  <c r="W1752" i="12" a="1"/>
  <c r="V1751" i="12" a="1"/>
  <c r="U1750" i="12" a="1"/>
  <c r="X1749" i="12" a="1"/>
  <c r="W1748" i="12" a="1"/>
  <c r="V1747" i="12" a="1"/>
  <c r="U1746" i="12" a="1"/>
  <c r="X1745" i="12" a="1"/>
  <c r="W1744" i="12" a="1"/>
  <c r="V1743" i="12" a="1"/>
  <c r="U1742" i="12" a="1"/>
  <c r="X1741" i="12" a="1"/>
  <c r="W1740" i="12" a="1"/>
  <c r="V1739" i="12" a="1"/>
  <c r="U1738" i="12" a="1"/>
  <c r="X1737" i="12" a="1"/>
  <c r="W1736" i="12" a="1"/>
  <c r="V1735" i="12" a="1"/>
  <c r="U1734" i="12" a="1"/>
  <c r="X1733" i="12" a="1"/>
  <c r="W1732" i="12" a="1"/>
  <c r="V1731" i="12" a="1"/>
  <c r="U1730" i="12" a="1"/>
  <c r="X1729" i="12" a="1"/>
  <c r="W1728" i="12" a="1"/>
  <c r="V1727" i="12" a="1"/>
  <c r="U1726" i="12" a="1"/>
  <c r="X1725" i="12" a="1"/>
  <c r="W1724" i="12" a="1"/>
  <c r="V1723" i="12" a="1"/>
  <c r="U1722" i="12" a="1"/>
  <c r="X1721" i="12" a="1"/>
  <c r="W1720" i="12" a="1"/>
  <c r="V1719" i="12" a="1"/>
  <c r="U1940" i="12" a="1"/>
  <c r="X1939" i="12" a="1"/>
  <c r="U1938" i="12" a="1"/>
  <c r="X1937" i="12" a="1"/>
  <c r="U1936" i="12" a="1"/>
  <c r="X1935" i="12" a="1"/>
  <c r="U1934" i="12" a="1"/>
  <c r="X1933" i="12" a="1"/>
  <c r="U1932" i="12" a="1"/>
  <c r="X1931" i="12" a="1"/>
  <c r="U1930" i="12" a="1"/>
  <c r="X1929" i="12" a="1"/>
  <c r="U1928" i="12" a="1"/>
  <c r="X1927" i="12" a="1"/>
  <c r="U1926" i="12" a="1"/>
  <c r="X1925" i="12" a="1"/>
  <c r="U1924" i="12" a="1"/>
  <c r="X1923" i="12" a="1"/>
  <c r="U1922" i="12" a="1"/>
  <c r="X1921" i="12" a="1"/>
  <c r="W1920" i="12" a="1"/>
  <c r="V1919" i="12" a="1"/>
  <c r="U1918" i="12" a="1"/>
  <c r="X1917" i="12" a="1"/>
  <c r="W1916" i="12" a="1"/>
  <c r="V1915" i="12" a="1"/>
  <c r="U1914" i="12" a="1"/>
  <c r="X1913" i="12" a="1"/>
  <c r="W1912" i="12" a="1"/>
  <c r="V1911" i="12" a="1"/>
  <c r="U1910" i="12" a="1"/>
  <c r="X1909" i="12" a="1"/>
  <c r="W1908" i="12" a="1"/>
  <c r="V1907" i="12" a="1"/>
  <c r="U1906" i="12" a="1"/>
  <c r="X1905" i="12" a="1"/>
  <c r="W1904" i="12" a="1"/>
  <c r="V1903" i="12" a="1"/>
  <c r="U1902" i="12" a="1"/>
  <c r="X1901" i="12" a="1"/>
  <c r="W1900" i="12" a="1"/>
  <c r="V1899" i="12" a="1"/>
  <c r="U1898" i="12" a="1"/>
  <c r="X1897" i="12" a="1"/>
  <c r="W1896" i="12" a="1"/>
  <c r="V1895" i="12" a="1"/>
  <c r="U1894" i="12" a="1"/>
  <c r="X1893" i="12" a="1"/>
  <c r="W1892" i="12" a="1"/>
  <c r="V1891" i="12" a="1"/>
  <c r="U1890" i="12" a="1"/>
  <c r="X1889" i="12" a="1"/>
  <c r="W1888" i="12" a="1"/>
  <c r="V1887" i="12" a="1"/>
  <c r="U1886" i="12" a="1"/>
  <c r="X1885" i="12" a="1"/>
  <c r="W1884" i="12" a="1"/>
  <c r="V1883" i="12" a="1"/>
  <c r="U1882" i="12" a="1"/>
  <c r="X1881" i="12" a="1"/>
  <c r="W1880" i="12" a="1"/>
  <c r="V1879" i="12" a="1"/>
  <c r="U1878" i="12" a="1"/>
  <c r="X1877" i="12" a="1"/>
  <c r="W1876" i="12" a="1"/>
  <c r="V1875" i="12" a="1"/>
  <c r="U1874" i="12" a="1"/>
  <c r="X1873" i="12" a="1"/>
  <c r="W1872" i="12" a="1"/>
  <c r="V1871" i="12" a="1"/>
  <c r="U1870" i="12" a="1"/>
  <c r="X1869" i="12" a="1"/>
  <c r="V1868" i="12" a="1"/>
  <c r="W1867" i="12" a="1"/>
  <c r="U1866" i="12" a="1"/>
  <c r="X1865" i="12" a="1"/>
  <c r="W1864" i="12" a="1"/>
  <c r="V1863" i="12" a="1"/>
  <c r="U1862" i="12" a="1"/>
  <c r="X1861" i="12" a="1"/>
  <c r="W1860" i="12" a="1"/>
  <c r="V1859" i="12" a="1"/>
  <c r="U1858" i="12" a="1"/>
  <c r="X1857" i="12" a="1"/>
  <c r="U1857" i="12" a="1"/>
  <c r="X1856" i="12" a="1"/>
  <c r="U1856" i="12" a="1"/>
  <c r="X1855" i="12" a="1"/>
  <c r="U1855" i="12" a="1"/>
  <c r="X1854" i="12" a="1"/>
  <c r="U1854" i="12" a="1"/>
  <c r="X1853" i="12" a="1"/>
  <c r="X1852" i="12" a="1"/>
  <c r="V1852" i="12" a="1"/>
  <c r="V1851" i="12" a="1"/>
  <c r="W1850" i="12" a="1"/>
  <c r="X1849" i="12" a="1"/>
  <c r="W1848" i="12" a="1"/>
  <c r="X1847" i="12" a="1"/>
  <c r="W1846" i="12" a="1"/>
  <c r="X1845" i="12" a="1"/>
  <c r="W1844" i="12" a="1"/>
  <c r="X1843" i="12" a="1"/>
  <c r="W1842" i="12" a="1"/>
  <c r="X1841" i="12" a="1"/>
  <c r="W1840" i="12" a="1"/>
  <c r="V1839" i="12" a="1"/>
  <c r="U1838" i="12" a="1"/>
  <c r="X1837" i="12" a="1"/>
  <c r="W1836" i="12" a="1"/>
  <c r="V1835" i="12" a="1"/>
  <c r="U1834" i="12" a="1"/>
  <c r="X1833" i="12" a="1"/>
  <c r="W1832" i="12" a="1"/>
  <c r="V1831" i="12" a="1"/>
  <c r="U1830" i="12" a="1"/>
  <c r="X1829" i="12" a="1"/>
  <c r="W1828" i="12" a="1"/>
  <c r="V1827" i="12" a="1"/>
  <c r="U1826" i="12" a="1"/>
  <c r="X1825" i="12" a="1"/>
  <c r="W1824" i="12" a="1"/>
  <c r="V1823" i="12" a="1"/>
  <c r="U1822" i="12" a="1"/>
  <c r="X1821" i="12" a="1"/>
  <c r="W1820" i="12" a="1"/>
  <c r="V1819" i="12" a="1"/>
  <c r="U1818" i="12" a="1"/>
  <c r="X1817" i="12" a="1"/>
  <c r="W1816" i="12" a="1"/>
  <c r="V1815" i="12" a="1"/>
  <c r="U1814" i="12" a="1"/>
  <c r="U1813" i="12" a="1"/>
  <c r="X1812" i="12" a="1"/>
  <c r="W1811" i="12" a="1"/>
  <c r="V1810" i="12" a="1"/>
  <c r="V1809" i="12" a="1"/>
  <c r="U1808" i="12" a="1"/>
  <c r="X1807" i="12" a="1"/>
  <c r="W1806" i="12" a="1"/>
  <c r="W1805" i="12" a="1"/>
  <c r="V1804" i="12" a="1"/>
  <c r="U1803" i="12" a="1"/>
  <c r="X1802" i="12" a="1"/>
  <c r="X1801" i="12" a="1"/>
  <c r="W1800" i="12" a="1"/>
  <c r="V1799" i="12" a="1"/>
  <c r="U1798" i="12" a="1"/>
  <c r="U1797" i="12" a="1"/>
  <c r="X1796" i="12" a="1"/>
  <c r="U1796" i="12" a="1"/>
  <c r="X1795" i="12" a="1"/>
  <c r="U1795" i="12" a="1"/>
  <c r="X1794" i="12" a="1"/>
  <c r="U1794" i="12" a="1"/>
  <c r="X1793" i="12" a="1"/>
  <c r="U1793" i="12" a="1"/>
  <c r="X1792" i="12" a="1"/>
  <c r="U1792" i="12" a="1"/>
  <c r="X1791" i="12" a="1"/>
  <c r="U1791" i="12" a="1"/>
  <c r="X1790" i="12" a="1"/>
  <c r="W1789" i="12" a="1"/>
  <c r="V1788" i="12" a="1"/>
  <c r="U1787" i="12" a="1"/>
  <c r="X1786" i="12" a="1"/>
  <c r="W1785" i="12" a="1"/>
  <c r="V1784" i="12" a="1"/>
  <c r="U1783" i="12" a="1"/>
  <c r="X1782" i="12" a="1"/>
  <c r="W1781" i="12" a="1"/>
  <c r="V1780" i="12" a="1"/>
  <c r="U1779" i="12" a="1"/>
  <c r="X1778" i="12" a="1"/>
  <c r="W1777" i="12" a="1"/>
  <c r="V1776" i="12" a="1"/>
  <c r="U1775" i="12" a="1"/>
  <c r="X1774" i="12" a="1"/>
  <c r="W1773" i="12" a="1"/>
  <c r="V1772" i="12" a="1"/>
  <c r="U1771" i="12" a="1"/>
  <c r="X1770" i="12" a="1"/>
  <c r="W1769" i="12" a="1"/>
  <c r="V1768" i="12" a="1"/>
  <c r="U1767" i="12" a="1"/>
  <c r="X1766" i="12" a="1"/>
  <c r="W1765" i="12" a="1"/>
  <c r="V1764" i="12" a="1"/>
  <c r="U1763" i="12" a="1"/>
  <c r="X1762" i="12" a="1"/>
  <c r="W1761" i="12" a="1"/>
  <c r="V1760" i="12" a="1"/>
  <c r="U1759" i="12" a="1"/>
  <c r="X1758" i="12" a="1"/>
  <c r="W1757" i="12" a="1"/>
  <c r="V1756" i="12" a="1"/>
  <c r="U1755" i="12" a="1"/>
  <c r="X1754" i="12" a="1"/>
  <c r="W1753" i="12" a="1"/>
  <c r="V1752" i="12" a="1"/>
  <c r="U1751" i="12" a="1"/>
  <c r="X1750" i="12" a="1"/>
  <c r="W1749" i="12" a="1"/>
  <c r="V1748" i="12" a="1"/>
  <c r="U1747" i="12" a="1"/>
  <c r="X1746" i="12" a="1"/>
  <c r="W1745" i="12" a="1"/>
  <c r="V1744" i="12" a="1"/>
  <c r="U1743" i="12" a="1"/>
  <c r="X1742" i="12" a="1"/>
  <c r="W1741" i="12" a="1"/>
  <c r="V1740" i="12" a="1"/>
  <c r="U1739" i="12" a="1"/>
  <c r="X1738" i="12" a="1"/>
  <c r="W1737" i="12" a="1"/>
  <c r="V1736" i="12" a="1"/>
  <c r="U1735" i="12" a="1"/>
  <c r="X1734" i="12" a="1"/>
  <c r="W1733" i="12" a="1"/>
  <c r="V1732" i="12" a="1"/>
  <c r="U1731" i="12" a="1"/>
  <c r="X1730" i="12" a="1"/>
  <c r="W1729" i="12" a="1"/>
  <c r="V1728" i="12" a="1"/>
  <c r="U1727" i="12" a="1"/>
  <c r="X1726" i="12" a="1"/>
  <c r="W1725" i="12" a="1"/>
  <c r="X1941" i="12" a="1"/>
  <c r="V1939" i="12" a="1"/>
  <c r="V1937" i="12" a="1"/>
  <c r="V1935" i="12" a="1"/>
  <c r="V1933" i="12" a="1"/>
  <c r="V1931" i="12" a="1"/>
  <c r="V1929" i="12" a="1"/>
  <c r="V1927" i="12" a="1"/>
  <c r="V1925" i="12" a="1"/>
  <c r="V1923" i="12" a="1"/>
  <c r="W1921" i="12" a="1"/>
  <c r="V1920" i="12" a="1"/>
  <c r="U1919" i="12" a="1"/>
  <c r="X1918" i="12" a="1"/>
  <c r="W1917" i="12" a="1"/>
  <c r="V1916" i="12" a="1"/>
  <c r="U1915" i="12" a="1"/>
  <c r="X1914" i="12" a="1"/>
  <c r="W1913" i="12" a="1"/>
  <c r="V1912" i="12" a="1"/>
  <c r="U1911" i="12" a="1"/>
  <c r="X1910" i="12" a="1"/>
  <c r="W1909" i="12" a="1"/>
  <c r="V1908" i="12" a="1"/>
  <c r="U1907" i="12" a="1"/>
  <c r="X1906" i="12" a="1"/>
  <c r="W1905" i="12" a="1"/>
  <c r="V1904" i="12" a="1"/>
  <c r="U1903" i="12" a="1"/>
  <c r="X1902" i="12" a="1"/>
  <c r="W1901" i="12" a="1"/>
  <c r="V1900" i="12" a="1"/>
  <c r="U1899" i="12" a="1"/>
  <c r="X1898" i="12" a="1"/>
  <c r="W1897" i="12" a="1"/>
  <c r="V1896" i="12" a="1"/>
  <c r="U1895" i="12" a="1"/>
  <c r="X1894" i="12" a="1"/>
  <c r="W1893" i="12" a="1"/>
  <c r="V1892" i="12" a="1"/>
  <c r="U1891" i="12" a="1"/>
  <c r="X1890" i="12" a="1"/>
  <c r="W1889" i="12" a="1"/>
  <c r="V1888" i="12" a="1"/>
  <c r="U1887" i="12" a="1"/>
  <c r="X1886" i="12" a="1"/>
  <c r="W1885" i="12" a="1"/>
  <c r="V1884" i="12" a="1"/>
  <c r="U1883" i="12" a="1"/>
  <c r="X1882" i="12" a="1"/>
  <c r="W1881" i="12" a="1"/>
  <c r="V1880" i="12" a="1"/>
  <c r="U1879" i="12" a="1"/>
  <c r="X1878" i="12" a="1"/>
  <c r="W1877" i="12" a="1"/>
  <c r="V1876" i="12" a="1"/>
  <c r="U1875" i="12" a="1"/>
  <c r="X1874" i="12" a="1"/>
  <c r="W1873" i="12" a="1"/>
  <c r="V1872" i="12" a="1"/>
  <c r="U1871" i="12" a="1"/>
  <c r="X1870" i="12" a="1"/>
  <c r="W1869" i="12" a="1"/>
  <c r="V1867" i="12" a="1"/>
  <c r="W1865" i="12" a="1"/>
  <c r="V1864" i="12" a="1"/>
  <c r="U1863" i="12" a="1"/>
  <c r="X1862" i="12" a="1"/>
  <c r="W1861" i="12" a="1"/>
  <c r="V1860" i="12" a="1"/>
  <c r="U1859" i="12" a="1"/>
  <c r="X1858" i="12" a="1"/>
  <c r="W1857" i="12" a="1"/>
  <c r="W1856" i="12" a="1"/>
  <c r="W1855" i="12" a="1"/>
  <c r="W1854" i="12" a="1"/>
  <c r="W1853" i="12" a="1"/>
  <c r="U1851" i="12" a="1"/>
  <c r="W1849" i="12" a="1"/>
  <c r="W1847" i="12" a="1"/>
  <c r="W1845" i="12" a="1"/>
  <c r="W1843" i="12" a="1"/>
  <c r="W1841" i="12" a="1"/>
  <c r="V1840" i="12" a="1"/>
  <c r="U1839" i="12" a="1"/>
  <c r="X1838" i="12" a="1"/>
  <c r="W1837" i="12" a="1"/>
  <c r="V1836" i="12" a="1"/>
  <c r="U1835" i="12" a="1"/>
  <c r="X1834" i="12" a="1"/>
  <c r="W1833" i="12" a="1"/>
  <c r="V1832" i="12" a="1"/>
  <c r="U1831" i="12" a="1"/>
  <c r="X1830" i="12" a="1"/>
  <c r="W1829" i="12" a="1"/>
  <c r="V1828" i="12" a="1"/>
  <c r="U1827" i="12" a="1"/>
  <c r="X1826" i="12" a="1"/>
  <c r="W1825" i="12" a="1"/>
  <c r="V1824" i="12" a="1"/>
  <c r="U1823" i="12" a="1"/>
  <c r="X1822" i="12" a="1"/>
  <c r="W1821" i="12" a="1"/>
  <c r="V1820" i="12" a="1"/>
  <c r="U1819" i="12" a="1"/>
  <c r="X1818" i="12" a="1"/>
  <c r="W1817" i="12" a="1"/>
  <c r="V1816" i="12" a="1"/>
  <c r="U1815" i="12" a="1"/>
  <c r="X1814" i="12" a="1"/>
  <c r="X1813" i="12" a="1"/>
  <c r="W1812" i="12" a="1"/>
  <c r="V1811" i="12" a="1"/>
  <c r="U1810" i="12" a="1"/>
  <c r="U1809" i="12" a="1"/>
  <c r="X1808" i="12" a="1"/>
  <c r="W1807" i="12" a="1"/>
  <c r="V1806" i="12" a="1"/>
  <c r="V1805" i="12" a="1"/>
  <c r="U1804" i="12" a="1"/>
  <c r="X1803" i="12" a="1"/>
  <c r="W1802" i="12" a="1"/>
  <c r="W1801" i="12" a="1"/>
  <c r="V1800" i="12" a="1"/>
  <c r="U1799" i="12" a="1"/>
  <c r="X1798" i="12" a="1"/>
  <c r="X1797" i="12" a="1"/>
  <c r="W1796" i="12" a="1"/>
  <c r="W1794" i="12" a="1"/>
  <c r="W1792" i="12" a="1"/>
  <c r="W1790" i="12" a="1"/>
  <c r="V1789" i="12" a="1"/>
  <c r="U1788" i="12" a="1"/>
  <c r="X1787" i="12" a="1"/>
  <c r="W1786" i="12" a="1"/>
  <c r="V1785" i="12" a="1"/>
  <c r="U1784" i="12" a="1"/>
  <c r="X1783" i="12" a="1"/>
  <c r="W1782" i="12" a="1"/>
  <c r="V1781" i="12" a="1"/>
  <c r="U1780" i="12" a="1"/>
  <c r="X1779" i="12" a="1"/>
  <c r="W1778" i="12" a="1"/>
  <c r="V1777" i="12" a="1"/>
  <c r="U1776" i="12" a="1"/>
  <c r="X1775" i="12" a="1"/>
  <c r="W1774" i="12" a="1"/>
  <c r="V1773" i="12" a="1"/>
  <c r="U1772" i="12" a="1"/>
  <c r="X1771" i="12" a="1"/>
  <c r="W1770" i="12" a="1"/>
  <c r="V1769" i="12" a="1"/>
  <c r="U1768" i="12" a="1"/>
  <c r="X1767" i="12" a="1"/>
  <c r="W1766" i="12" a="1"/>
  <c r="V1765" i="12" a="1"/>
  <c r="U1764" i="12" a="1"/>
  <c r="X1763" i="12" a="1"/>
  <c r="W1762" i="12" a="1"/>
  <c r="V1761" i="12" a="1"/>
  <c r="U1760" i="12" a="1"/>
  <c r="X1759" i="12" a="1"/>
  <c r="W1758" i="12" a="1"/>
  <c r="V1757" i="12" a="1"/>
  <c r="U1756" i="12" a="1"/>
  <c r="X1755" i="12" a="1"/>
  <c r="W1754" i="12" a="1"/>
  <c r="V1753" i="12" a="1"/>
  <c r="U1752" i="12" a="1"/>
  <c r="X1751" i="12" a="1"/>
  <c r="W1750" i="12" a="1"/>
  <c r="V1749" i="12" a="1"/>
  <c r="U1748" i="12" a="1"/>
  <c r="X1747" i="12" a="1"/>
  <c r="W1746" i="12" a="1"/>
  <c r="V1745" i="12" a="1"/>
  <c r="U1744" i="12" a="1"/>
  <c r="X1743" i="12" a="1"/>
  <c r="W1742" i="12" a="1"/>
  <c r="V1741" i="12" a="1"/>
  <c r="U1740" i="12" a="1"/>
  <c r="X1739" i="12" a="1"/>
  <c r="W1738" i="12" a="1"/>
  <c r="V1737" i="12" a="1"/>
  <c r="U1736" i="12" a="1"/>
  <c r="X1735" i="12" a="1"/>
  <c r="W1734" i="12" a="1"/>
  <c r="V1733" i="12" a="1"/>
  <c r="U1732" i="12" a="1"/>
  <c r="X1731" i="12" a="1"/>
  <c r="W1730" i="12" a="1"/>
  <c r="V1729" i="12" a="1"/>
  <c r="U1728" i="12" a="1"/>
  <c r="X1727" i="12" a="1"/>
  <c r="W1726" i="12" a="1"/>
  <c r="V1725" i="12" a="1"/>
  <c r="U1724" i="12" a="1"/>
  <c r="X1723" i="12" a="1"/>
  <c r="W1722" i="12" a="1"/>
  <c r="V1721" i="12" a="1"/>
  <c r="U1720" i="12" a="1"/>
  <c r="X1719" i="12" a="1"/>
  <c r="W1718" i="12" a="1"/>
  <c r="V1717" i="12" a="1"/>
  <c r="U1716" i="12" a="1"/>
  <c r="X1715" i="12" a="1"/>
  <c r="W1714" i="12" a="1"/>
  <c r="V1713" i="12" a="1"/>
  <c r="U1712" i="12" a="1"/>
  <c r="X1711" i="12" a="1"/>
  <c r="W1710" i="12" a="1"/>
  <c r="V1709" i="12" a="1"/>
  <c r="U1708" i="12" a="1"/>
  <c r="X1707" i="12" a="1"/>
  <c r="W1706" i="12" a="1"/>
  <c r="V1705" i="12" a="1"/>
  <c r="U1704" i="12" a="1"/>
  <c r="X1703" i="12" a="1"/>
  <c r="W1702" i="12" a="1"/>
  <c r="V1701" i="12" a="1"/>
  <c r="U1700" i="12" a="1"/>
  <c r="X1699" i="12" a="1"/>
  <c r="W1698" i="12" a="1"/>
  <c r="V1697" i="12" a="1"/>
  <c r="U1696" i="12" a="1"/>
  <c r="X1695" i="12" a="1"/>
  <c r="W1694" i="12" a="1"/>
  <c r="V1693" i="12" a="1"/>
  <c r="U1692" i="12" a="1"/>
  <c r="X1691" i="12" a="1"/>
  <c r="W1690" i="12" a="1"/>
  <c r="V1689" i="12" a="1"/>
  <c r="U1688" i="12" a="1"/>
  <c r="X1687" i="12" a="1"/>
  <c r="W1686" i="12" a="1"/>
  <c r="V1685" i="12" a="1"/>
  <c r="U1684" i="12" a="1"/>
  <c r="W1717" i="12" a="1"/>
  <c r="W1716" i="12" a="1"/>
  <c r="W1713" i="12" a="1"/>
  <c r="W1712" i="12" a="1"/>
  <c r="W1709" i="12" a="1"/>
  <c r="W1708" i="12" a="1"/>
  <c r="W1705" i="12" a="1"/>
  <c r="W1704" i="12" a="1"/>
  <c r="W1701" i="12" a="1"/>
  <c r="W1700" i="12" a="1"/>
  <c r="W1697" i="12" a="1"/>
  <c r="W1696" i="12" a="1"/>
  <c r="W1693" i="12" a="1"/>
  <c r="W1692" i="12" a="1"/>
  <c r="W1689" i="12" a="1"/>
  <c r="W1688" i="12" a="1"/>
  <c r="W1685" i="12" a="1"/>
  <c r="X1684" i="12" a="1"/>
  <c r="V1683" i="12" a="1"/>
  <c r="U1682" i="12" a="1"/>
  <c r="X1681" i="12" a="1"/>
  <c r="W1680" i="12" a="1"/>
  <c r="V1679" i="12" a="1"/>
  <c r="U1678" i="12" a="1"/>
  <c r="X1677" i="12" a="1"/>
  <c r="W1676" i="12" a="1"/>
  <c r="V1675" i="12" a="1"/>
  <c r="U1674" i="12" a="1"/>
  <c r="X1673" i="12" a="1"/>
  <c r="W1672" i="12" a="1"/>
  <c r="V1671" i="12" a="1"/>
  <c r="U1670" i="12" a="1"/>
  <c r="X1669" i="12" a="1"/>
  <c r="W1668" i="12" a="1"/>
  <c r="V1667" i="12" a="1"/>
  <c r="U1666" i="12" a="1"/>
  <c r="X1665" i="12" a="1"/>
  <c r="W1664" i="12" a="1"/>
  <c r="V1663" i="12" a="1"/>
  <c r="U1662" i="12" a="1"/>
  <c r="X1661" i="12" a="1"/>
  <c r="W1660" i="12" a="1"/>
  <c r="V1659" i="12" a="1"/>
  <c r="U1658" i="12" a="1"/>
  <c r="X1657" i="12" a="1"/>
  <c r="W1656" i="12" a="1"/>
  <c r="V1655" i="12" a="1"/>
  <c r="U1654" i="12" a="1"/>
  <c r="X1653" i="12" a="1"/>
  <c r="W1652" i="12" a="1"/>
  <c r="V1651" i="12" a="1"/>
  <c r="V1650" i="12" a="1"/>
  <c r="U1649" i="12" a="1"/>
  <c r="U1648" i="12" a="1"/>
  <c r="X1647" i="12" a="1"/>
  <c r="X1646" i="12" a="1"/>
  <c r="U1646" i="12" a="1"/>
  <c r="X1645" i="12" a="1"/>
  <c r="U1645" i="12" a="1"/>
  <c r="X1644" i="12" a="1"/>
  <c r="W1643" i="12" a="1"/>
  <c r="V1642" i="12" a="1"/>
  <c r="U1641" i="12" a="1"/>
  <c r="X1640" i="12" a="1"/>
  <c r="W1639" i="12" a="1"/>
  <c r="V1638" i="12" a="1"/>
  <c r="U1637" i="12" a="1"/>
  <c r="X1636" i="12" a="1"/>
  <c r="W1635" i="12" a="1"/>
  <c r="V1634" i="12" a="1"/>
  <c r="U1633" i="12" a="1"/>
  <c r="X1632" i="12" a="1"/>
  <c r="W1631" i="12" a="1"/>
  <c r="V1630" i="12" a="1"/>
  <c r="U1629" i="12" a="1"/>
  <c r="X1628" i="12" a="1"/>
  <c r="W1627" i="12" a="1"/>
  <c r="V1626" i="12" a="1"/>
  <c r="U1625" i="12" a="1"/>
  <c r="X1624" i="12" a="1"/>
  <c r="W1623" i="12" a="1"/>
  <c r="V1622" i="12" a="1"/>
  <c r="U1621" i="12" a="1"/>
  <c r="X1620" i="12" a="1"/>
  <c r="W1619" i="12" a="1"/>
  <c r="V1618" i="12" a="1"/>
  <c r="U1617" i="12" a="1"/>
  <c r="X1616" i="12" a="1"/>
  <c r="W1615" i="12" a="1"/>
  <c r="V1614" i="12" a="1"/>
  <c r="V1613" i="12" a="1"/>
  <c r="U1612" i="12" a="1"/>
  <c r="X1611" i="12" a="1"/>
  <c r="U1611" i="12" a="1"/>
  <c r="X1610" i="12" a="1"/>
  <c r="W1609" i="12" a="1"/>
  <c r="W1608" i="12" a="1"/>
  <c r="V1606" i="12" a="1"/>
  <c r="V1605" i="12" a="1"/>
  <c r="U1604" i="12" a="1"/>
  <c r="X1603" i="12" a="1"/>
  <c r="U1603" i="12" a="1"/>
  <c r="X1602" i="12" a="1"/>
  <c r="W1601" i="12" a="1"/>
  <c r="W1600" i="12" a="1"/>
  <c r="V1598" i="12" a="1"/>
  <c r="V1597" i="12" a="1"/>
  <c r="U1596" i="12" a="1"/>
  <c r="X1595" i="12" a="1"/>
  <c r="U1595" i="12" a="1"/>
  <c r="X1594" i="12" a="1"/>
  <c r="W1593" i="12" a="1"/>
  <c r="W1592" i="12" a="1"/>
  <c r="V1591" i="12" a="1"/>
  <c r="U1590" i="12" a="1"/>
  <c r="X1589" i="12" a="1"/>
  <c r="W1588" i="12" a="1"/>
  <c r="V1587" i="12" a="1"/>
  <c r="U1586" i="12" a="1"/>
  <c r="X1585" i="12" a="1"/>
  <c r="W1584" i="12" a="1"/>
  <c r="V1583" i="12" a="1"/>
  <c r="U1582" i="12" a="1"/>
  <c r="X1581" i="12" a="1"/>
  <c r="W1580" i="12" a="1"/>
  <c r="V1579" i="12" a="1"/>
  <c r="U1578" i="12" a="1"/>
  <c r="X1577" i="12" a="1"/>
  <c r="W1576" i="12" a="1"/>
  <c r="V1575" i="12" a="1"/>
  <c r="U1574" i="12" a="1"/>
  <c r="X1573" i="12" a="1"/>
  <c r="W1572" i="12" a="1"/>
  <c r="V1571" i="12" a="1"/>
  <c r="U1570" i="12" a="1"/>
  <c r="X1569" i="12" a="1"/>
  <c r="X1568" i="12" a="1"/>
  <c r="W1567" i="12" a="1"/>
  <c r="V1566" i="12" a="1"/>
  <c r="U1565" i="12" a="1"/>
  <c r="X1564" i="12" a="1"/>
  <c r="W1563" i="12" a="1"/>
  <c r="V1562" i="12" a="1"/>
  <c r="U1561" i="12" a="1"/>
  <c r="U1560" i="12" a="1"/>
  <c r="X1559" i="12" a="1"/>
  <c r="W1558" i="12" a="1"/>
  <c r="V1557" i="12" a="1"/>
  <c r="U1556" i="12" a="1"/>
  <c r="X1555" i="12" a="1"/>
  <c r="W1554" i="12" a="1"/>
  <c r="V1553" i="12" a="1"/>
  <c r="V1552" i="12" a="1"/>
  <c r="U1551" i="12" a="1"/>
  <c r="X1550" i="12" a="1"/>
  <c r="W1549" i="12" a="1"/>
  <c r="V1548" i="12" a="1"/>
  <c r="U1547" i="12" a="1"/>
  <c r="X1546" i="12" a="1"/>
  <c r="W1545" i="12" a="1"/>
  <c r="W1544" i="12" a="1"/>
  <c r="V1543" i="12" a="1"/>
  <c r="U1542" i="12" a="1"/>
  <c r="X1541" i="12" a="1"/>
  <c r="W1540" i="12" a="1"/>
  <c r="V1539" i="12" a="1"/>
  <c r="V1538" i="12" a="1"/>
  <c r="V1537" i="12" a="1"/>
  <c r="V1536" i="12" a="1"/>
  <c r="U1535" i="12" a="1"/>
  <c r="X1534" i="12" a="1"/>
  <c r="U1534" i="12" a="1"/>
  <c r="X1533" i="12" a="1"/>
  <c r="U1533" i="12" a="1"/>
  <c r="X1532" i="12" a="1"/>
  <c r="W1531" i="12" a="1"/>
  <c r="V1530" i="12" a="1"/>
  <c r="U1529" i="12" a="1"/>
  <c r="U1528" i="12" a="1"/>
  <c r="X1527" i="12" a="1"/>
  <c r="W1526" i="12" a="1"/>
  <c r="W1525" i="12" a="1"/>
  <c r="X1524" i="12" a="1"/>
  <c r="W1523" i="12" a="1"/>
  <c r="V1522" i="12" a="1"/>
  <c r="U1521" i="12" a="1"/>
  <c r="U1520" i="12" a="1"/>
  <c r="X1519" i="12" a="1"/>
  <c r="W1518" i="12" a="1"/>
  <c r="W1517" i="12" a="1"/>
  <c r="W1516" i="12" a="1"/>
  <c r="V1515" i="12" a="1"/>
  <c r="V1514" i="12" a="1"/>
  <c r="U1513" i="12" a="1"/>
  <c r="V1512" i="12" a="1"/>
  <c r="V1511" i="12" a="1"/>
  <c r="V1510" i="12" a="1"/>
  <c r="V1509" i="12" a="1"/>
  <c r="U1508" i="12" a="1"/>
  <c r="X1507" i="12" a="1"/>
  <c r="W1506" i="12" a="1"/>
  <c r="W1505" i="12" a="1"/>
  <c r="X1504" i="12" a="1"/>
  <c r="W1503" i="12" a="1"/>
  <c r="V1500" i="12" a="1"/>
  <c r="U1499" i="12" a="1"/>
  <c r="X1498" i="12" a="1"/>
  <c r="W1497" i="12" a="1"/>
  <c r="V1496" i="12" a="1"/>
  <c r="U1495" i="12" a="1"/>
  <c r="X1494" i="12" a="1"/>
  <c r="W1493" i="12" a="1"/>
  <c r="V1492" i="12" a="1"/>
  <c r="U1491" i="12" a="1"/>
  <c r="X1490" i="12" a="1"/>
  <c r="W1489" i="12" a="1"/>
  <c r="V1488" i="12" a="1"/>
  <c r="U1487" i="12" a="1"/>
  <c r="X1486" i="12" a="1"/>
  <c r="W1485" i="12" a="1"/>
  <c r="V1484" i="12" a="1"/>
  <c r="U1483" i="12" a="1"/>
  <c r="X1482" i="12" a="1"/>
  <c r="W1481" i="12" a="1"/>
  <c r="V1480" i="12" a="1"/>
  <c r="U1479" i="12" a="1"/>
  <c r="X1478" i="12" a="1"/>
  <c r="W1477" i="12" a="1"/>
  <c r="V1476" i="12" a="1"/>
  <c r="U1475" i="12" a="1"/>
  <c r="X1474" i="12" a="1"/>
  <c r="W1473" i="12" a="1"/>
  <c r="V1472" i="12" a="1"/>
  <c r="U1471" i="12" a="1"/>
  <c r="X1470" i="12" a="1"/>
  <c r="W1469" i="12" a="1"/>
  <c r="V1468" i="12" a="1"/>
  <c r="U1467" i="12" a="1"/>
  <c r="X1466" i="12" a="1"/>
  <c r="W1465" i="12" a="1"/>
  <c r="V1464" i="12" a="1"/>
  <c r="U1463" i="12" a="1"/>
  <c r="X1462" i="12" a="1"/>
  <c r="W1461" i="12" a="1"/>
  <c r="V1460" i="12" a="1"/>
  <c r="U1459" i="12" a="1"/>
  <c r="X1458" i="12" a="1"/>
  <c r="W1457" i="12" a="1"/>
  <c r="V1456" i="12" a="1"/>
  <c r="U1455" i="12" a="1"/>
  <c r="X1454" i="12" a="1"/>
  <c r="W1453" i="12" a="1"/>
  <c r="V1452" i="12" a="1"/>
  <c r="U1451" i="12" a="1"/>
  <c r="X1450" i="12" a="1"/>
  <c r="W1449" i="12" a="1"/>
  <c r="V1448" i="12" a="1"/>
  <c r="U1447" i="12" a="1"/>
  <c r="X1446" i="12" a="1"/>
  <c r="W1445" i="12" a="1"/>
  <c r="V1444" i="12" a="1"/>
  <c r="U1443" i="12" a="1"/>
  <c r="X1442" i="12" a="1"/>
  <c r="W1441" i="12" a="1"/>
  <c r="V1440" i="12" a="1"/>
  <c r="U1439" i="12" a="1"/>
  <c r="V1716" i="12" a="1"/>
  <c r="V1715" i="12" a="1"/>
  <c r="V1712" i="12" a="1"/>
  <c r="V1711" i="12" a="1"/>
  <c r="V1708" i="12" a="1"/>
  <c r="V1707" i="12" a="1"/>
  <c r="V1704" i="12" a="1"/>
  <c r="V1703" i="12" a="1"/>
  <c r="V1700" i="12" a="1"/>
  <c r="V1699" i="12" a="1"/>
  <c r="V1696" i="12" a="1"/>
  <c r="V1695" i="12" a="1"/>
  <c r="V1692" i="12" a="1"/>
  <c r="V1691" i="12" a="1"/>
  <c r="V1688" i="12" a="1"/>
  <c r="V1687" i="12" a="1"/>
  <c r="W1684" i="12" a="1"/>
  <c r="U1683" i="12" a="1"/>
  <c r="X1682" i="12" a="1"/>
  <c r="W1681" i="12" a="1"/>
  <c r="V1680" i="12" a="1"/>
  <c r="U1679" i="12" a="1"/>
  <c r="X1678" i="12" a="1"/>
  <c r="W1677" i="12" a="1"/>
  <c r="V1676" i="12" a="1"/>
  <c r="U1675" i="12" a="1"/>
  <c r="X1674" i="12" a="1"/>
  <c r="W1673" i="12" a="1"/>
  <c r="V1672" i="12" a="1"/>
  <c r="U1671" i="12" a="1"/>
  <c r="X1670" i="12" a="1"/>
  <c r="W1669" i="12" a="1"/>
  <c r="V1668" i="12" a="1"/>
  <c r="U1667" i="12" a="1"/>
  <c r="X1666" i="12" a="1"/>
  <c r="W1665" i="12" a="1"/>
  <c r="V1664" i="12" a="1"/>
  <c r="U1663" i="12" a="1"/>
  <c r="X1662" i="12" a="1"/>
  <c r="W1661" i="12" a="1"/>
  <c r="V1660" i="12" a="1"/>
  <c r="U1659" i="12" a="1"/>
  <c r="X1658" i="12" a="1"/>
  <c r="W1657" i="12" a="1"/>
  <c r="V1656" i="12" a="1"/>
  <c r="U1655" i="12" a="1"/>
  <c r="X1654" i="12" a="1"/>
  <c r="W1653" i="12" a="1"/>
  <c r="V1652" i="12" a="1"/>
  <c r="U1651" i="12" a="1"/>
  <c r="U1650" i="12" a="1"/>
  <c r="X1649" i="12" a="1"/>
  <c r="X1648" i="12" a="1"/>
  <c r="W1647" i="12" a="1"/>
  <c r="W1646" i="12" a="1"/>
  <c r="W1644" i="12" a="1"/>
  <c r="V1643" i="12" a="1"/>
  <c r="U1642" i="12" a="1"/>
  <c r="X1641" i="12" a="1"/>
  <c r="W1640" i="12" a="1"/>
  <c r="V1639" i="12" a="1"/>
  <c r="U1638" i="12" a="1"/>
  <c r="X1637" i="12" a="1"/>
  <c r="W1636" i="12" a="1"/>
  <c r="V1635" i="12" a="1"/>
  <c r="U1634" i="12" a="1"/>
  <c r="X1633" i="12" a="1"/>
  <c r="W1632" i="12" a="1"/>
  <c r="V1631" i="12" a="1"/>
  <c r="U1630" i="12" a="1"/>
  <c r="X1629" i="12" a="1"/>
  <c r="W1628" i="12" a="1"/>
  <c r="V1627" i="12" a="1"/>
  <c r="U1626" i="12" a="1"/>
  <c r="X1625" i="12" a="1"/>
  <c r="W1624" i="12" a="1"/>
  <c r="V1623" i="12" a="1"/>
  <c r="U1622" i="12" a="1"/>
  <c r="X1621" i="12" a="1"/>
  <c r="W1620" i="12" a="1"/>
  <c r="V1619" i="12" a="1"/>
  <c r="U1618" i="12" a="1"/>
  <c r="X1617" i="12" a="1"/>
  <c r="W1616" i="12" a="1"/>
  <c r="V1615" i="12" a="1"/>
  <c r="U1614" i="12" a="1"/>
  <c r="X1613" i="12" a="1"/>
  <c r="U1613" i="12" a="1"/>
  <c r="X1612" i="12" a="1"/>
  <c r="W1611" i="12" a="1"/>
  <c r="W1610" i="12" a="1"/>
  <c r="V1608" i="12" a="1"/>
  <c r="V1607" i="12" a="1"/>
  <c r="U1606" i="12" a="1"/>
  <c r="X1605" i="12" a="1"/>
  <c r="U1605" i="12" a="1"/>
  <c r="X1604" i="12" a="1"/>
  <c r="W1603" i="12" a="1"/>
  <c r="W1602" i="12" a="1"/>
  <c r="V1600" i="12" a="1"/>
  <c r="V1599" i="12" a="1"/>
  <c r="U1598" i="12" a="1"/>
  <c r="X1597" i="12" a="1"/>
  <c r="U1597" i="12" a="1"/>
  <c r="X1596" i="12" a="1"/>
  <c r="W1595" i="12" a="1"/>
  <c r="W1594" i="12" a="1"/>
  <c r="V1592" i="12" a="1"/>
  <c r="U1591" i="12" a="1"/>
  <c r="X1590" i="12" a="1"/>
  <c r="W1589" i="12" a="1"/>
  <c r="V1588" i="12" a="1"/>
  <c r="U1587" i="12" a="1"/>
  <c r="X1586" i="12" a="1"/>
  <c r="W1585" i="12" a="1"/>
  <c r="V1584" i="12" a="1"/>
  <c r="U1583" i="12" a="1"/>
  <c r="X1582" i="12" a="1"/>
  <c r="W1581" i="12" a="1"/>
  <c r="V1580" i="12" a="1"/>
  <c r="U1579" i="12" a="1"/>
  <c r="X1578" i="12" a="1"/>
  <c r="W1577" i="12" a="1"/>
  <c r="V1576" i="12" a="1"/>
  <c r="U1575" i="12" a="1"/>
  <c r="X1574" i="12" a="1"/>
  <c r="W1573" i="12" a="1"/>
  <c r="V1572" i="12" a="1"/>
  <c r="U1571" i="12" a="1"/>
  <c r="X1570" i="12" a="1"/>
  <c r="W1569" i="12" a="1"/>
  <c r="W1568" i="12" a="1"/>
  <c r="V1567" i="12" a="1"/>
  <c r="U1566" i="12" a="1"/>
  <c r="X1565" i="12" a="1"/>
  <c r="W1564" i="12" a="1"/>
  <c r="V1563" i="12" a="1"/>
  <c r="U1562" i="12" a="1"/>
  <c r="X1561" i="12" a="1"/>
  <c r="X1560" i="12" a="1"/>
  <c r="W1559" i="12" a="1"/>
  <c r="V1558" i="12" a="1"/>
  <c r="U1557" i="12" a="1"/>
  <c r="X1556" i="12" a="1"/>
  <c r="W1555" i="12" a="1"/>
  <c r="V1554" i="12" a="1"/>
  <c r="U1553" i="12" a="1"/>
  <c r="U1552" i="12" a="1"/>
  <c r="X1551" i="12" a="1"/>
  <c r="W1550" i="12" a="1"/>
  <c r="V1549" i="12" a="1"/>
  <c r="U1548" i="12" a="1"/>
  <c r="X1547" i="12" a="1"/>
  <c r="W1546" i="12" a="1"/>
  <c r="V1545" i="12" a="1"/>
  <c r="V1544" i="12" a="1"/>
  <c r="U1543" i="12" a="1"/>
  <c r="X1542" i="12" a="1"/>
  <c r="W1541" i="12" a="1"/>
  <c r="V1540" i="12" a="1"/>
  <c r="U1539" i="12" a="1"/>
  <c r="X1538" i="12" a="1"/>
  <c r="U1538" i="12" a="1"/>
  <c r="X1537" i="12" a="1"/>
  <c r="U1537" i="12" a="1"/>
  <c r="U1536" i="12" a="1"/>
  <c r="X1535" i="12" a="1"/>
  <c r="W1534" i="12" a="1"/>
  <c r="W1533" i="12" a="1"/>
  <c r="W1532" i="12" a="1"/>
  <c r="V1531" i="12" a="1"/>
  <c r="U1530" i="12" a="1"/>
  <c r="X1529" i="12" a="1"/>
  <c r="X1528" i="12" a="1"/>
  <c r="W1527" i="12" a="1"/>
  <c r="W1524" i="12" a="1"/>
  <c r="V1523" i="12" a="1"/>
  <c r="U1522" i="12" a="1"/>
  <c r="X1521" i="12" a="1"/>
  <c r="X1520" i="12" a="1"/>
  <c r="W1519" i="12" a="1"/>
  <c r="V1516" i="12" a="1"/>
  <c r="U1515" i="12" a="1"/>
  <c r="U1514" i="12" a="1"/>
  <c r="X1513" i="12" a="1"/>
  <c r="X1512" i="12" a="1"/>
  <c r="U1512" i="12" a="1"/>
  <c r="X1511" i="12" a="1"/>
  <c r="U1511" i="12" a="1"/>
  <c r="X1510" i="12" a="1"/>
  <c r="U1510" i="12" a="1"/>
  <c r="X1509" i="12" a="1"/>
  <c r="U1509" i="12" a="1"/>
  <c r="X1508" i="12" a="1"/>
  <c r="W1507" i="12" a="1"/>
  <c r="W1504" i="12" a="1"/>
  <c r="V1503" i="12" a="1"/>
  <c r="V1502" i="12" a="1"/>
  <c r="V1501" i="12" a="1"/>
  <c r="U1500" i="12" a="1"/>
  <c r="X1499" i="12" a="1"/>
  <c r="W1498" i="12" a="1"/>
  <c r="V1497" i="12" a="1"/>
  <c r="U1496" i="12" a="1"/>
  <c r="X1495" i="12" a="1"/>
  <c r="W1494" i="12" a="1"/>
  <c r="V1493" i="12" a="1"/>
  <c r="U1492" i="12" a="1"/>
  <c r="X1491" i="12" a="1"/>
  <c r="W1490" i="12" a="1"/>
  <c r="V1489" i="12" a="1"/>
  <c r="U1488" i="12" a="1"/>
  <c r="X1487" i="12" a="1"/>
  <c r="W1486" i="12" a="1"/>
  <c r="V1485" i="12" a="1"/>
  <c r="U1484" i="12" a="1"/>
  <c r="X1483" i="12" a="1"/>
  <c r="W1482" i="12" a="1"/>
  <c r="V1481" i="12" a="1"/>
  <c r="U1480" i="12" a="1"/>
  <c r="X1479" i="12" a="1"/>
  <c r="W1478" i="12" a="1"/>
  <c r="V1477" i="12" a="1"/>
  <c r="U1476" i="12" a="1"/>
  <c r="X1475" i="12" a="1"/>
  <c r="W1474" i="12" a="1"/>
  <c r="V1473" i="12" a="1"/>
  <c r="U1472" i="12" a="1"/>
  <c r="X1471" i="12" a="1"/>
  <c r="W1470" i="12" a="1"/>
  <c r="V1469" i="12" a="1"/>
  <c r="U1468" i="12" a="1"/>
  <c r="X1467" i="12" a="1"/>
  <c r="W1466" i="12" a="1"/>
  <c r="V1724" i="12" a="1"/>
  <c r="U1723" i="12" a="1"/>
  <c r="X1722" i="12" a="1"/>
  <c r="W1721" i="12" a="1"/>
  <c r="V1720" i="12" a="1"/>
  <c r="U1719" i="12" a="1"/>
  <c r="X1718" i="12" a="1"/>
  <c r="U1715" i="12" a="1"/>
  <c r="X1714" i="12" a="1"/>
  <c r="U1711" i="12" a="1"/>
  <c r="X1710" i="12" a="1"/>
  <c r="U1707" i="12" a="1"/>
  <c r="X1706" i="12" a="1"/>
  <c r="U1703" i="12" a="1"/>
  <c r="X1702" i="12" a="1"/>
  <c r="U1699" i="12" a="1"/>
  <c r="X1698" i="12" a="1"/>
  <c r="U1695" i="12" a="1"/>
  <c r="X1694" i="12" a="1"/>
  <c r="U1691" i="12" a="1"/>
  <c r="X1690" i="12" a="1"/>
  <c r="U1687" i="12" a="1"/>
  <c r="X1686" i="12" a="1"/>
  <c r="V1684" i="12" a="1"/>
  <c r="X1683" i="12" a="1"/>
  <c r="W1682" i="12" a="1"/>
  <c r="V1681" i="12" a="1"/>
  <c r="U1680" i="12" a="1"/>
  <c r="X1679" i="12" a="1"/>
  <c r="W1678" i="12" a="1"/>
  <c r="V1677" i="12" a="1"/>
  <c r="U1676" i="12" a="1"/>
  <c r="X1675" i="12" a="1"/>
  <c r="W1674" i="12" a="1"/>
  <c r="V1673" i="12" a="1"/>
  <c r="U1672" i="12" a="1"/>
  <c r="X1671" i="12" a="1"/>
  <c r="W1670" i="12" a="1"/>
  <c r="V1669" i="12" a="1"/>
  <c r="U1668" i="12" a="1"/>
  <c r="X1667" i="12" a="1"/>
  <c r="W1666" i="12" a="1"/>
  <c r="V1665" i="12" a="1"/>
  <c r="U1664" i="12" a="1"/>
  <c r="X1663" i="12" a="1"/>
  <c r="W1662" i="12" a="1"/>
  <c r="V1661" i="12" a="1"/>
  <c r="U1660" i="12" a="1"/>
  <c r="X1659" i="12" a="1"/>
  <c r="W1658" i="12" a="1"/>
  <c r="V1657" i="12" a="1"/>
  <c r="U1656" i="12" a="1"/>
  <c r="X1655" i="12" a="1"/>
  <c r="W1654" i="12" a="1"/>
  <c r="V1653" i="12" a="1"/>
  <c r="U1652" i="12" a="1"/>
  <c r="X1651" i="12" a="1"/>
  <c r="X1650" i="12" a="1"/>
  <c r="W1649" i="12" a="1"/>
  <c r="W1648" i="12" a="1"/>
  <c r="V1647" i="12" a="1"/>
  <c r="V1646" i="12" a="1"/>
  <c r="W1645" i="12" a="1"/>
  <c r="V1644" i="12" a="1"/>
  <c r="U1643" i="12" a="1"/>
  <c r="X1642" i="12" a="1"/>
  <c r="W1641" i="12" a="1"/>
  <c r="V1640" i="12" a="1"/>
  <c r="U1639" i="12" a="1"/>
  <c r="X1638" i="12" a="1"/>
  <c r="W1637" i="12" a="1"/>
  <c r="V1636" i="12" a="1"/>
  <c r="U1635" i="12" a="1"/>
  <c r="X1634" i="12" a="1"/>
  <c r="W1633" i="12" a="1"/>
  <c r="V1632" i="12" a="1"/>
  <c r="U1631" i="12" a="1"/>
  <c r="X1630" i="12" a="1"/>
  <c r="W1629" i="12" a="1"/>
  <c r="V1628" i="12" a="1"/>
  <c r="U1627" i="12" a="1"/>
  <c r="X1626" i="12" a="1"/>
  <c r="W1625" i="12" a="1"/>
  <c r="V1624" i="12" a="1"/>
  <c r="U1623" i="12" a="1"/>
  <c r="X1622" i="12" a="1"/>
  <c r="W1621" i="12" a="1"/>
  <c r="V1620" i="12" a="1"/>
  <c r="U1619" i="12" a="1"/>
  <c r="X1618" i="12" a="1"/>
  <c r="W1617" i="12" a="1"/>
  <c r="V1616" i="12" a="1"/>
  <c r="U1615" i="12" a="1"/>
  <c r="X1614" i="12" a="1"/>
  <c r="W1613" i="12" a="1"/>
  <c r="W1612" i="12" a="1"/>
  <c r="V1610" i="12" a="1"/>
  <c r="V1609" i="12" a="1"/>
  <c r="U1608" i="12" a="1"/>
  <c r="X1607" i="12" a="1"/>
  <c r="U1607" i="12" a="1"/>
  <c r="X1606" i="12" a="1"/>
  <c r="W1605" i="12" a="1"/>
  <c r="W1604" i="12" a="1"/>
  <c r="V1602" i="12" a="1"/>
  <c r="V1601" i="12" a="1"/>
  <c r="U1600" i="12" a="1"/>
  <c r="X1599" i="12" a="1"/>
  <c r="U1599" i="12" a="1"/>
  <c r="X1598" i="12" a="1"/>
  <c r="W1597" i="12" a="1"/>
  <c r="W1596" i="12" a="1"/>
  <c r="V1594" i="12" a="1"/>
  <c r="V1593" i="12" a="1"/>
  <c r="U1592" i="12" a="1"/>
  <c r="X1591" i="12" a="1"/>
  <c r="W1590" i="12" a="1"/>
  <c r="V1589" i="12" a="1"/>
  <c r="U1588" i="12" a="1"/>
  <c r="X1587" i="12" a="1"/>
  <c r="W1586" i="12" a="1"/>
  <c r="V1585" i="12" a="1"/>
  <c r="U1584" i="12" a="1"/>
  <c r="X1583" i="12" a="1"/>
  <c r="W1582" i="12" a="1"/>
  <c r="V1581" i="12" a="1"/>
  <c r="U1580" i="12" a="1"/>
  <c r="X1579" i="12" a="1"/>
  <c r="W1578" i="12" a="1"/>
  <c r="V1577" i="12" a="1"/>
  <c r="U1576" i="12" a="1"/>
  <c r="X1575" i="12" a="1"/>
  <c r="W1574" i="12" a="1"/>
  <c r="V1573" i="12" a="1"/>
  <c r="U1572" i="12" a="1"/>
  <c r="X1571" i="12" a="1"/>
  <c r="W1570" i="12" a="1"/>
  <c r="V1569" i="12" a="1"/>
  <c r="V1568" i="12" a="1"/>
  <c r="U1567" i="12" a="1"/>
  <c r="X1566" i="12" a="1"/>
  <c r="W1565" i="12" a="1"/>
  <c r="V1564" i="12" a="1"/>
  <c r="U1563" i="12" a="1"/>
  <c r="X1562" i="12" a="1"/>
  <c r="W1561" i="12" a="1"/>
  <c r="W1560" i="12" a="1"/>
  <c r="V1559" i="12" a="1"/>
  <c r="U1558" i="12" a="1"/>
  <c r="X1557" i="12" a="1"/>
  <c r="W1556" i="12" a="1"/>
  <c r="V1555" i="12" a="1"/>
  <c r="U1554" i="12" a="1"/>
  <c r="X1553" i="12" a="1"/>
  <c r="X1552" i="12" a="1"/>
  <c r="W1551" i="12" a="1"/>
  <c r="V1550" i="12" a="1"/>
  <c r="U1549" i="12" a="1"/>
  <c r="X1548" i="12" a="1"/>
  <c r="W1547" i="12" a="1"/>
  <c r="V1546" i="12" a="1"/>
  <c r="U1545" i="12" a="1"/>
  <c r="U1544" i="12" a="1"/>
  <c r="X1543" i="12" a="1"/>
  <c r="W1542" i="12" a="1"/>
  <c r="V1541" i="12" a="1"/>
  <c r="U1540" i="12" a="1"/>
  <c r="X1539" i="12" a="1"/>
  <c r="W1538" i="12" a="1"/>
  <c r="W1537" i="12" a="1"/>
  <c r="X1536" i="12" a="1"/>
  <c r="W1535" i="12" a="1"/>
  <c r="V1532" i="12" a="1"/>
  <c r="U1531" i="12" a="1"/>
  <c r="X1530" i="12" a="1"/>
  <c r="W1529" i="12" a="1"/>
  <c r="W1528" i="12" a="1"/>
  <c r="V1527" i="12" a="1"/>
  <c r="V1526" i="12" a="1"/>
  <c r="V1525" i="12" a="1"/>
  <c r="V1524" i="12" a="1"/>
  <c r="U1523" i="12" a="1"/>
  <c r="X1522" i="12" a="1"/>
  <c r="W1521" i="12" a="1"/>
  <c r="W1520" i="12" a="1"/>
  <c r="V1519" i="12" a="1"/>
  <c r="V1518" i="12" a="1"/>
  <c r="V1517" i="12" a="1"/>
  <c r="U1516" i="12" a="1"/>
  <c r="X1515" i="12" a="1"/>
  <c r="X1514" i="12" a="1"/>
  <c r="W1513" i="12" a="1"/>
  <c r="W1512" i="12" a="1"/>
  <c r="W1511" i="12" a="1"/>
  <c r="W1510" i="12" a="1"/>
  <c r="W1509" i="12" a="1"/>
  <c r="W1508" i="12" a="1"/>
  <c r="V1507" i="12" a="1"/>
  <c r="V1506" i="12" a="1"/>
  <c r="V1505" i="12" a="1"/>
  <c r="V1504" i="12" a="1"/>
  <c r="U1503" i="12" a="1"/>
  <c r="X1502" i="12" a="1"/>
  <c r="U1502" i="12" a="1"/>
  <c r="X1501" i="12" a="1"/>
  <c r="U1501" i="12" a="1"/>
  <c r="X1500" i="12" a="1"/>
  <c r="W1499" i="12" a="1"/>
  <c r="V1498" i="12" a="1"/>
  <c r="U1497" i="12" a="1"/>
  <c r="X1496" i="12" a="1"/>
  <c r="W1495" i="12" a="1"/>
  <c r="V1494" i="12" a="1"/>
  <c r="U1493" i="12" a="1"/>
  <c r="X1492" i="12" a="1"/>
  <c r="W1491" i="12" a="1"/>
  <c r="V1490" i="12" a="1"/>
  <c r="U1489" i="12" a="1"/>
  <c r="X1488" i="12" a="1"/>
  <c r="W1487" i="12" a="1"/>
  <c r="V1486" i="12" a="1"/>
  <c r="U1485" i="12" a="1"/>
  <c r="X1484" i="12" a="1"/>
  <c r="W1483" i="12" a="1"/>
  <c r="V1482" i="12" a="1"/>
  <c r="U1481" i="12" a="1"/>
  <c r="U1718" i="12" a="1"/>
  <c r="X1717" i="12" a="1"/>
  <c r="U1714" i="12" a="1"/>
  <c r="X1713" i="12" a="1"/>
  <c r="U1710" i="12" a="1"/>
  <c r="X1709" i="12" a="1"/>
  <c r="U1706" i="12" a="1"/>
  <c r="X1705" i="12" a="1"/>
  <c r="U1702" i="12" a="1"/>
  <c r="X1701" i="12" a="1"/>
  <c r="U1698" i="12" a="1"/>
  <c r="X1697" i="12" a="1"/>
  <c r="U1694" i="12" a="1"/>
  <c r="X1693" i="12" a="1"/>
  <c r="U1690" i="12" a="1"/>
  <c r="X1689" i="12" a="1"/>
  <c r="U1686" i="12" a="1"/>
  <c r="X1685" i="12" a="1"/>
  <c r="W1683" i="12" a="1"/>
  <c r="V1682" i="12" a="1"/>
  <c r="U1681" i="12" a="1"/>
  <c r="X1680" i="12" a="1"/>
  <c r="W1679" i="12" a="1"/>
  <c r="V1678" i="12" a="1"/>
  <c r="U1677" i="12" a="1"/>
  <c r="X1676" i="12" a="1"/>
  <c r="W1675" i="12" a="1"/>
  <c r="V1674" i="12" a="1"/>
  <c r="U1673" i="12" a="1"/>
  <c r="X1672" i="12" a="1"/>
  <c r="W1671" i="12" a="1"/>
  <c r="V1670" i="12" a="1"/>
  <c r="U1669" i="12" a="1"/>
  <c r="X1668" i="12" a="1"/>
  <c r="W1667" i="12" a="1"/>
  <c r="V1666" i="12" a="1"/>
  <c r="U1665" i="12" a="1"/>
  <c r="X1664" i="12" a="1"/>
  <c r="W1663" i="12" a="1"/>
  <c r="V1662" i="12" a="1"/>
  <c r="U1661" i="12" a="1"/>
  <c r="X1660" i="12" a="1"/>
  <c r="W1659" i="12" a="1"/>
  <c r="V1658" i="12" a="1"/>
  <c r="U1657" i="12" a="1"/>
  <c r="X1656" i="12" a="1"/>
  <c r="W1655" i="12" a="1"/>
  <c r="V1654" i="12" a="1"/>
  <c r="U1653" i="12" a="1"/>
  <c r="X1652" i="12" a="1"/>
  <c r="W1651" i="12" a="1"/>
  <c r="W1650" i="12" a="1"/>
  <c r="V1649" i="12" a="1"/>
  <c r="V1648" i="12" a="1"/>
  <c r="U1647" i="12" a="1"/>
  <c r="V1645" i="12" a="1"/>
  <c r="U1644" i="12" a="1"/>
  <c r="X1643" i="12" a="1"/>
  <c r="W1642" i="12" a="1"/>
  <c r="V1641" i="12" a="1"/>
  <c r="U1640" i="12" a="1"/>
  <c r="X1639" i="12" a="1"/>
  <c r="W1638" i="12" a="1"/>
  <c r="V1637" i="12" a="1"/>
  <c r="U1636" i="12" a="1"/>
  <c r="X1635" i="12" a="1"/>
  <c r="W1634" i="12" a="1"/>
  <c r="V1633" i="12" a="1"/>
  <c r="U1632" i="12" a="1"/>
  <c r="X1631" i="12" a="1"/>
  <c r="W1630" i="12" a="1"/>
  <c r="V1629" i="12" a="1"/>
  <c r="U1628" i="12" a="1"/>
  <c r="X1627" i="12" a="1"/>
  <c r="W1626" i="12" a="1"/>
  <c r="V1625" i="12" a="1"/>
  <c r="U1624" i="12" a="1"/>
  <c r="X1623" i="12" a="1"/>
  <c r="W1622" i="12" a="1"/>
  <c r="V1621" i="12" a="1"/>
  <c r="U1620" i="12" a="1"/>
  <c r="X1619" i="12" a="1"/>
  <c r="W1618" i="12" a="1"/>
  <c r="V1617" i="12" a="1"/>
  <c r="U1616" i="12" a="1"/>
  <c r="X1615" i="12" a="1"/>
  <c r="W1614" i="12" a="1"/>
  <c r="V1612" i="12" a="1"/>
  <c r="V1611" i="12" a="1"/>
  <c r="U1610" i="12" a="1"/>
  <c r="X1609" i="12" a="1"/>
  <c r="U1609" i="12" a="1"/>
  <c r="X1608" i="12" a="1"/>
  <c r="W1607" i="12" a="1"/>
  <c r="W1606" i="12" a="1"/>
  <c r="V1604" i="12" a="1"/>
  <c r="V1603" i="12" a="1"/>
  <c r="U1602" i="12" a="1"/>
  <c r="X1601" i="12" a="1"/>
  <c r="U1601" i="12" a="1"/>
  <c r="X1600" i="12" a="1"/>
  <c r="W1599" i="12" a="1"/>
  <c r="W1598" i="12" a="1"/>
  <c r="V1596" i="12" a="1"/>
  <c r="V1595" i="12" a="1"/>
  <c r="U1594" i="12" a="1"/>
  <c r="X1593" i="12" a="1"/>
  <c r="U1593" i="12" a="1"/>
  <c r="X1592" i="12" a="1"/>
  <c r="W1591" i="12" a="1"/>
  <c r="V1590" i="12" a="1"/>
  <c r="U1589" i="12" a="1"/>
  <c r="X1588" i="12" a="1"/>
  <c r="W1587" i="12" a="1"/>
  <c r="V1586" i="12" a="1"/>
  <c r="U1585" i="12" a="1"/>
  <c r="X1584" i="12" a="1"/>
  <c r="W1583" i="12" a="1"/>
  <c r="V1582" i="12" a="1"/>
  <c r="U1581" i="12" a="1"/>
  <c r="X1580" i="12" a="1"/>
  <c r="W1579" i="12" a="1"/>
  <c r="V1578" i="12" a="1"/>
  <c r="U1577" i="12" a="1"/>
  <c r="X1576" i="12" a="1"/>
  <c r="W1575" i="12" a="1"/>
  <c r="V1574" i="12" a="1"/>
  <c r="U1573" i="12" a="1"/>
  <c r="X1572" i="12" a="1"/>
  <c r="W1571" i="12" a="1"/>
  <c r="V1570" i="12" a="1"/>
  <c r="U1569" i="12" a="1"/>
  <c r="U1568" i="12" a="1"/>
  <c r="X1567" i="12" a="1"/>
  <c r="W1566" i="12" a="1"/>
  <c r="V1565" i="12" a="1"/>
  <c r="U1564" i="12" a="1"/>
  <c r="X1563" i="12" a="1"/>
  <c r="W1562" i="12" a="1"/>
  <c r="V1561" i="12" a="1"/>
  <c r="V1560" i="12" a="1"/>
  <c r="U1559" i="12" a="1"/>
  <c r="X1558" i="12" a="1"/>
  <c r="W1557" i="12" a="1"/>
  <c r="V1556" i="12" a="1"/>
  <c r="U1555" i="12" a="1"/>
  <c r="X1554" i="12" a="1"/>
  <c r="W1553" i="12" a="1"/>
  <c r="W1552" i="12" a="1"/>
  <c r="V1551" i="12" a="1"/>
  <c r="U1550" i="12" a="1"/>
  <c r="X1549" i="12" a="1"/>
  <c r="W1548" i="12" a="1"/>
  <c r="V1547" i="12" a="1"/>
  <c r="U1546" i="12" a="1"/>
  <c r="X1545" i="12" a="1"/>
  <c r="X1544" i="12" a="1"/>
  <c r="W1543" i="12" a="1"/>
  <c r="V1542" i="12" a="1"/>
  <c r="U1541" i="12" a="1"/>
  <c r="X1540" i="12" a="1"/>
  <c r="W1539" i="12" a="1"/>
  <c r="W1536" i="12" a="1"/>
  <c r="V1535" i="12" a="1"/>
  <c r="V1534" i="12" a="1"/>
  <c r="V1533" i="12" a="1"/>
  <c r="U1532" i="12" a="1"/>
  <c r="X1531" i="12" a="1"/>
  <c r="W1530" i="12" a="1"/>
  <c r="V1529" i="12" a="1"/>
  <c r="V1528" i="12" a="1"/>
  <c r="U1527" i="12" a="1"/>
  <c r="X1526" i="12" a="1"/>
  <c r="U1526" i="12" a="1"/>
  <c r="X1525" i="12" a="1"/>
  <c r="U1525" i="12" a="1"/>
  <c r="U1524" i="12" a="1"/>
  <c r="X1523" i="12" a="1"/>
  <c r="W1522" i="12" a="1"/>
  <c r="V1521" i="12" a="1"/>
  <c r="V1520" i="12" a="1"/>
  <c r="U1519" i="12" a="1"/>
  <c r="X1518" i="12" a="1"/>
  <c r="U1518" i="12" a="1"/>
  <c r="X1517" i="12" a="1"/>
  <c r="U1517" i="12" a="1"/>
  <c r="X1516" i="12" a="1"/>
  <c r="W1515" i="12" a="1"/>
  <c r="W1514" i="12" a="1"/>
  <c r="V1513" i="12" a="1"/>
  <c r="V1508" i="12" a="1"/>
  <c r="U1507" i="12" a="1"/>
  <c r="X1506" i="12" a="1"/>
  <c r="U1506" i="12" a="1"/>
  <c r="X1505" i="12" a="1"/>
  <c r="U1505" i="12" a="1"/>
  <c r="U1504" i="12" a="1"/>
  <c r="X1503" i="12" a="1"/>
  <c r="W1502" i="12" a="1"/>
  <c r="W1501" i="12" a="1"/>
  <c r="W1500" i="12" a="1"/>
  <c r="V1499" i="12" a="1"/>
  <c r="U1498" i="12" a="1"/>
  <c r="X1497" i="12" a="1"/>
  <c r="W1496" i="12" a="1"/>
  <c r="V1495" i="12" a="1"/>
  <c r="U1494" i="12" a="1"/>
  <c r="X1493" i="12" a="1"/>
  <c r="W1492" i="12" a="1"/>
  <c r="V1491" i="12" a="1"/>
  <c r="U1490" i="12" a="1"/>
  <c r="X1489" i="12" a="1"/>
  <c r="W1488" i="12" a="1"/>
  <c r="V1487" i="12" a="1"/>
  <c r="U1486" i="12" a="1"/>
  <c r="X1485" i="12" a="1"/>
  <c r="W1484" i="12" a="1"/>
  <c r="V1483" i="12" a="1"/>
  <c r="U1482" i="12" a="1"/>
  <c r="X1481" i="12" a="1"/>
  <c r="W1480" i="12" a="1"/>
  <c r="V1479" i="12" a="1"/>
  <c r="U1478" i="12" a="1"/>
  <c r="X1477" i="12" a="1"/>
  <c r="W1476" i="12" a="1"/>
  <c r="V1475" i="12" a="1"/>
  <c r="U1474" i="12" a="1"/>
  <c r="X1473" i="12" a="1"/>
  <c r="W1472" i="12" a="1"/>
  <c r="V1471" i="12" a="1"/>
  <c r="U1470" i="12" a="1"/>
  <c r="X1469" i="12" a="1"/>
  <c r="W1468" i="12" a="1"/>
  <c r="V1467" i="12" a="1"/>
  <c r="U1466" i="12" a="1"/>
  <c r="X1465" i="12" a="1"/>
  <c r="W1464" i="12" a="1"/>
  <c r="V1463" i="12" a="1"/>
  <c r="U1462" i="12" a="1"/>
  <c r="X1461" i="12" a="1"/>
  <c r="W1460" i="12" a="1"/>
  <c r="V1459" i="12" a="1"/>
  <c r="U1458" i="12" a="1"/>
  <c r="X1457" i="12" a="1"/>
  <c r="W1456" i="12" a="1"/>
  <c r="V1455" i="12" a="1"/>
  <c r="U1454" i="12" a="1"/>
  <c r="X1453" i="12" a="1"/>
  <c r="W1452" i="12" a="1"/>
  <c r="V1451" i="12" a="1"/>
  <c r="U1450" i="12" a="1"/>
  <c r="X1449" i="12" a="1"/>
  <c r="W1448" i="12" a="1"/>
  <c r="V1447" i="12" a="1"/>
  <c r="U1446" i="12" a="1"/>
  <c r="X1445" i="12" a="1"/>
  <c r="W1444" i="12" a="1"/>
  <c r="V1443" i="12" a="1"/>
  <c r="U1442" i="12" a="1"/>
  <c r="X1441" i="12" a="1"/>
  <c r="W1440" i="12" a="1"/>
  <c r="V1439" i="12" a="1"/>
  <c r="U1464" i="12" a="1"/>
  <c r="X1463" i="12" a="1"/>
  <c r="U1460" i="12" a="1"/>
  <c r="X1459" i="12" a="1"/>
  <c r="U1456" i="12" a="1"/>
  <c r="X1455" i="12" a="1"/>
  <c r="U1452" i="12" a="1"/>
  <c r="X1451" i="12" a="1"/>
  <c r="U1448" i="12" a="1"/>
  <c r="X1447" i="12" a="1"/>
  <c r="U1444" i="12" a="1"/>
  <c r="X1443" i="12" a="1"/>
  <c r="U1440" i="12" a="1"/>
  <c r="X1439" i="12" a="1"/>
  <c r="U1438" i="12" a="1"/>
  <c r="X1437" i="12" a="1"/>
  <c r="W1436" i="12" a="1"/>
  <c r="V1435" i="12" a="1"/>
  <c r="U1434" i="12" a="1"/>
  <c r="X1433" i="12" a="1"/>
  <c r="W1432" i="12" a="1"/>
  <c r="V1431" i="12" a="1"/>
  <c r="U1430" i="12" a="1"/>
  <c r="X1429" i="12" a="1"/>
  <c r="W1428" i="12" a="1"/>
  <c r="V1427" i="12" a="1"/>
  <c r="U1426" i="12" a="1"/>
  <c r="X1425" i="12" a="1"/>
  <c r="W1424" i="12" a="1"/>
  <c r="V1423" i="12" a="1"/>
  <c r="U1422" i="12" a="1"/>
  <c r="X1421" i="12" a="1"/>
  <c r="W1420" i="12" a="1"/>
  <c r="V1419" i="12" a="1"/>
  <c r="U1418" i="12" a="1"/>
  <c r="X1417" i="12" a="1"/>
  <c r="W1416" i="12" a="1"/>
  <c r="V1415" i="12" a="1"/>
  <c r="U1414" i="12" a="1"/>
  <c r="X1413" i="12" a="1"/>
  <c r="W1412" i="12" a="1"/>
  <c r="V1411" i="12" a="1"/>
  <c r="U1410" i="12" a="1"/>
  <c r="X1409" i="12" a="1"/>
  <c r="W1408" i="12" a="1"/>
  <c r="V1407" i="12" a="1"/>
  <c r="U1406" i="12" a="1"/>
  <c r="X1405" i="12" a="1"/>
  <c r="W1404" i="12" a="1"/>
  <c r="V1403" i="12" a="1"/>
  <c r="U1402" i="12" a="1"/>
  <c r="X1401" i="12" a="1"/>
  <c r="W1400" i="12" a="1"/>
  <c r="V1399" i="12" a="1"/>
  <c r="U1398" i="12" a="1"/>
  <c r="X1397" i="12" a="1"/>
  <c r="W1396" i="12" a="1"/>
  <c r="V1395" i="12" a="1"/>
  <c r="U1394" i="12" a="1"/>
  <c r="X1393" i="12" a="1"/>
  <c r="W1392" i="12" a="1"/>
  <c r="V1391" i="12" a="1"/>
  <c r="U1390" i="12" a="1"/>
  <c r="X1389" i="12" a="1"/>
  <c r="W1388" i="12" a="1"/>
  <c r="V1387" i="12" a="1"/>
  <c r="U1386" i="12" a="1"/>
  <c r="X1385" i="12" a="1"/>
  <c r="W1384" i="12" a="1"/>
  <c r="V1383" i="12" a="1"/>
  <c r="U1382" i="12" a="1"/>
  <c r="X1381" i="12" a="1"/>
  <c r="W1380" i="12" a="1"/>
  <c r="V1379" i="12" a="1"/>
  <c r="U1378" i="12" a="1"/>
  <c r="X1377" i="12" a="1"/>
  <c r="W1376" i="12" a="1"/>
  <c r="V1375" i="12" a="1"/>
  <c r="U1374" i="12" a="1"/>
  <c r="X1373" i="12" a="1"/>
  <c r="W1372" i="12" a="1"/>
  <c r="V1371" i="12" a="1"/>
  <c r="U1370" i="12" a="1"/>
  <c r="X1369" i="12" a="1"/>
  <c r="W1368" i="12" a="1"/>
  <c r="V1367" i="12" a="1"/>
  <c r="U1366" i="12" a="1"/>
  <c r="X1365" i="12" a="1"/>
  <c r="W1364" i="12" a="1"/>
  <c r="V1363" i="12" a="1"/>
  <c r="U1362" i="12" a="1"/>
  <c r="X1361" i="12" a="1"/>
  <c r="W1360" i="12" a="1"/>
  <c r="V1359" i="12" a="1"/>
  <c r="U1358" i="12" a="1"/>
  <c r="X1357" i="12" a="1"/>
  <c r="W1356" i="12" a="1"/>
  <c r="V1355" i="12" a="1"/>
  <c r="U1354" i="12" a="1"/>
  <c r="X1353" i="12" a="1"/>
  <c r="W1352" i="12" a="1"/>
  <c r="V1351" i="12" a="1"/>
  <c r="U1350" i="12" a="1"/>
  <c r="X1349" i="12" a="1"/>
  <c r="W1348" i="12" a="1"/>
  <c r="V1347" i="12" a="1"/>
  <c r="U1346" i="12" a="1"/>
  <c r="X1345" i="12" a="1"/>
  <c r="W1344" i="12" a="1"/>
  <c r="V1343" i="12" a="1"/>
  <c r="U1342" i="12" a="1"/>
  <c r="X1341" i="12" a="1"/>
  <c r="W1340" i="12" a="1"/>
  <c r="V1339" i="12" a="1"/>
  <c r="U1338" i="12" a="1"/>
  <c r="X1337" i="12" a="1"/>
  <c r="W1336" i="12" a="1"/>
  <c r="V1335" i="12" a="1"/>
  <c r="U1334" i="12" a="1"/>
  <c r="X1333" i="12" a="1"/>
  <c r="W1332" i="12" a="1"/>
  <c r="V1331" i="12" a="1"/>
  <c r="U1330" i="12" a="1"/>
  <c r="X1329" i="12" a="1"/>
  <c r="W1328" i="12" a="1"/>
  <c r="V1327" i="12" a="1"/>
  <c r="U1326" i="12" a="1"/>
  <c r="X1325" i="12" a="1"/>
  <c r="W1324" i="12" a="1"/>
  <c r="V1323" i="12" a="1"/>
  <c r="U1322" i="12" a="1"/>
  <c r="X1321" i="12" a="1"/>
  <c r="W1320" i="12" a="1"/>
  <c r="V1319" i="12" a="1"/>
  <c r="U1318" i="12" a="1"/>
  <c r="X1317" i="12" a="1"/>
  <c r="W1316" i="12" a="1"/>
  <c r="V1315" i="12" a="1"/>
  <c r="U1314" i="12" a="1"/>
  <c r="X1313" i="12" a="1"/>
  <c r="W1312" i="12" a="1"/>
  <c r="V1311" i="12" a="1"/>
  <c r="U1310" i="12" a="1"/>
  <c r="X1309" i="12" a="1"/>
  <c r="W1308" i="12" a="1"/>
  <c r="V1307" i="12" a="1"/>
  <c r="U1306" i="12" a="1"/>
  <c r="X1305" i="12" a="1"/>
  <c r="W1304" i="12" a="1"/>
  <c r="V1303" i="12" a="1"/>
  <c r="U1302" i="12" a="1"/>
  <c r="X1301" i="12" a="1"/>
  <c r="W1300" i="12" a="1"/>
  <c r="V1299" i="12" a="1"/>
  <c r="U1298" i="12" a="1"/>
  <c r="X1297" i="12" a="1"/>
  <c r="U1297" i="12" a="1"/>
  <c r="X1296" i="12" a="1"/>
  <c r="U1296" i="12" a="1"/>
  <c r="X1295" i="12" a="1"/>
  <c r="U1295" i="12" a="1"/>
  <c r="X1294" i="12" a="1"/>
  <c r="U1294" i="12" a="1"/>
  <c r="X1293" i="12" a="1"/>
  <c r="U1293" i="12" a="1"/>
  <c r="X1292" i="12" a="1"/>
  <c r="U1292" i="12" a="1"/>
  <c r="X1291" i="12" a="1"/>
  <c r="U1291" i="12" a="1"/>
  <c r="X1290" i="12" a="1"/>
  <c r="U1290" i="12" a="1"/>
  <c r="X1289" i="12" a="1"/>
  <c r="U1289" i="12" a="1"/>
  <c r="X1288" i="12" a="1"/>
  <c r="U1288" i="12" a="1"/>
  <c r="X1287" i="12" a="1"/>
  <c r="U1287" i="12" a="1"/>
  <c r="X1286" i="12" a="1"/>
  <c r="U1286" i="12" a="1"/>
  <c r="X1285" i="12" a="1"/>
  <c r="U1285" i="12" a="1"/>
  <c r="X1284" i="12" a="1"/>
  <c r="U1284" i="12" a="1"/>
  <c r="X1283" i="12" a="1"/>
  <c r="U1283" i="12" a="1"/>
  <c r="X1282" i="12" a="1"/>
  <c r="U1282" i="12" a="1"/>
  <c r="X1281" i="12" a="1"/>
  <c r="U1281" i="12" a="1"/>
  <c r="X1280" i="12" a="1"/>
  <c r="U1280" i="12" a="1"/>
  <c r="X1279" i="12" a="1"/>
  <c r="U1279" i="12" a="1"/>
  <c r="X1278" i="12" a="1"/>
  <c r="U1278" i="12" a="1"/>
  <c r="X1277" i="12" a="1"/>
  <c r="U1277" i="12" a="1"/>
  <c r="X1276" i="12" a="1"/>
  <c r="U1276" i="12" a="1"/>
  <c r="X1275" i="12" a="1"/>
  <c r="U1275" i="12" a="1"/>
  <c r="X1274" i="12" a="1"/>
  <c r="U1274" i="12" a="1"/>
  <c r="X1273" i="12" a="1"/>
  <c r="U1273" i="12" a="1"/>
  <c r="X1272" i="12" a="1"/>
  <c r="U1272" i="12" a="1"/>
  <c r="X1271" i="12" a="1"/>
  <c r="U1271" i="12" a="1"/>
  <c r="X1270" i="12" a="1"/>
  <c r="U1270" i="12" a="1"/>
  <c r="X1269" i="12" a="1"/>
  <c r="U1269" i="12" a="1"/>
  <c r="X1268" i="12" a="1"/>
  <c r="U1268" i="12" a="1"/>
  <c r="X1267" i="12" a="1"/>
  <c r="U1267" i="12" a="1"/>
  <c r="X1266" i="12" a="1"/>
  <c r="U1266" i="12" a="1"/>
  <c r="X1265" i="12" a="1"/>
  <c r="U1265" i="12" a="1"/>
  <c r="X1264" i="12" a="1"/>
  <c r="U1264" i="12" a="1"/>
  <c r="X1263" i="12" a="1"/>
  <c r="U1263" i="12" a="1"/>
  <c r="X1262" i="12" a="1"/>
  <c r="U1262" i="12" a="1"/>
  <c r="X1261" i="12" a="1"/>
  <c r="U1261" i="12" a="1"/>
  <c r="X1260" i="12" a="1"/>
  <c r="U1260" i="12" a="1"/>
  <c r="X1259" i="12" a="1"/>
  <c r="U1259" i="12" a="1"/>
  <c r="X1258" i="12" a="1"/>
  <c r="U1258" i="12" a="1"/>
  <c r="X1257" i="12" a="1"/>
  <c r="U1257" i="12" a="1"/>
  <c r="X1256" i="12" a="1"/>
  <c r="U1256" i="12" a="1"/>
  <c r="X1255" i="12" a="1"/>
  <c r="U1255" i="12" a="1"/>
  <c r="X1254" i="12" a="1"/>
  <c r="U1254" i="12" a="1"/>
  <c r="X1253" i="12" a="1"/>
  <c r="U1253" i="12" a="1"/>
  <c r="X1252" i="12" a="1"/>
  <c r="U1252" i="12" a="1"/>
  <c r="X1251" i="12" a="1"/>
  <c r="U1251" i="12" a="1"/>
  <c r="X1250" i="12" a="1"/>
  <c r="U1250" i="12" a="1"/>
  <c r="X1249" i="12" a="1"/>
  <c r="U1249" i="12" a="1"/>
  <c r="X1248" i="12" a="1"/>
  <c r="U1248" i="12" a="1"/>
  <c r="X1247" i="12" a="1"/>
  <c r="U1247" i="12" a="1"/>
  <c r="X1246" i="12" a="1"/>
  <c r="U1246" i="12" a="1"/>
  <c r="X1245" i="12" a="1"/>
  <c r="U1245" i="12" a="1"/>
  <c r="X1244" i="12" a="1"/>
  <c r="U1244" i="12" a="1"/>
  <c r="X1243" i="12" a="1"/>
  <c r="U1243" i="12" a="1"/>
  <c r="X1242" i="12" a="1"/>
  <c r="U1242" i="12" a="1"/>
  <c r="X1241" i="12" a="1"/>
  <c r="U1241" i="12" a="1"/>
  <c r="X1240" i="12" a="1"/>
  <c r="U1240" i="12" a="1"/>
  <c r="X1239" i="12" a="1"/>
  <c r="U1239" i="12" a="1"/>
  <c r="X1238" i="12" a="1"/>
  <c r="U1238" i="12" a="1"/>
  <c r="X1237" i="12" a="1"/>
  <c r="U1237" i="12" a="1"/>
  <c r="X1236" i="12" a="1"/>
  <c r="U1236" i="12" a="1"/>
  <c r="X1235" i="12" a="1"/>
  <c r="U1235" i="12" a="1"/>
  <c r="X1234" i="12" a="1"/>
  <c r="U1234" i="12" a="1"/>
  <c r="X1233" i="12" a="1"/>
  <c r="U1233" i="12" a="1"/>
  <c r="X1232" i="12" a="1"/>
  <c r="U1232" i="12" a="1"/>
  <c r="X1231" i="12" a="1"/>
  <c r="U1231" i="12" a="1"/>
  <c r="X1230" i="12" a="1"/>
  <c r="U1230" i="12" a="1"/>
  <c r="X1229" i="12" a="1"/>
  <c r="U1229" i="12" a="1"/>
  <c r="X1228" i="12" a="1"/>
  <c r="W1227" i="12" a="1"/>
  <c r="V1226" i="12" a="1"/>
  <c r="U1225" i="12" a="1"/>
  <c r="X1224" i="12" a="1"/>
  <c r="W1223" i="12" a="1"/>
  <c r="V1222" i="12" a="1"/>
  <c r="U1221" i="12" a="1"/>
  <c r="X1220" i="12" a="1"/>
  <c r="W1219" i="12" a="1"/>
  <c r="V1218" i="12" a="1"/>
  <c r="U1217" i="12" a="1"/>
  <c r="X1216" i="12" a="1"/>
  <c r="W1215" i="12" a="1"/>
  <c r="V1214" i="12" a="1"/>
  <c r="U1213" i="12" a="1"/>
  <c r="X1212" i="12" a="1"/>
  <c r="W1211" i="12" a="1"/>
  <c r="V1210" i="12" a="1"/>
  <c r="U1209" i="12" a="1"/>
  <c r="X1208" i="12" a="1"/>
  <c r="W1207" i="12" a="1"/>
  <c r="V1206" i="12" a="1"/>
  <c r="U1205" i="12" a="1"/>
  <c r="X1204" i="12" a="1"/>
  <c r="W1203" i="12" a="1"/>
  <c r="V1202" i="12" a="1"/>
  <c r="U1201" i="12" a="1"/>
  <c r="X1200" i="12" a="1"/>
  <c r="W1199" i="12" a="1"/>
  <c r="V1198" i="12" a="1"/>
  <c r="U1197" i="12" a="1"/>
  <c r="X1196" i="12" a="1"/>
  <c r="W1195" i="12" a="1"/>
  <c r="V1194" i="12" a="1"/>
  <c r="U1193" i="12" a="1"/>
  <c r="X1192" i="12" a="1"/>
  <c r="W1191" i="12" a="1"/>
  <c r="V1190" i="12" a="1"/>
  <c r="U1189" i="12" a="1"/>
  <c r="X1188" i="12" a="1"/>
  <c r="W1187" i="12" a="1"/>
  <c r="V1186" i="12" a="1"/>
  <c r="U1185" i="12" a="1"/>
  <c r="X1184" i="12" a="1"/>
  <c r="W1183" i="12" a="1"/>
  <c r="V1182" i="12" a="1"/>
  <c r="U1181" i="12" a="1"/>
  <c r="X1180" i="12" a="1"/>
  <c r="W1179" i="12" a="1"/>
  <c r="V1178" i="12" a="1"/>
  <c r="U1177" i="12" a="1"/>
  <c r="X1176" i="12" a="1"/>
  <c r="W1175" i="12" a="1"/>
  <c r="V1174" i="12" a="1"/>
  <c r="U1173" i="12" a="1"/>
  <c r="X1172" i="12" a="1"/>
  <c r="W1171" i="12" a="1"/>
  <c r="V1170" i="12" a="1"/>
  <c r="U1169" i="12" a="1"/>
  <c r="X1168" i="12" a="1"/>
  <c r="W1167" i="12" a="1"/>
  <c r="V1166" i="12" a="1"/>
  <c r="U1165" i="12" a="1"/>
  <c r="X1164" i="12" a="1"/>
  <c r="W1163" i="12" a="1"/>
  <c r="V1162" i="12" a="1"/>
  <c r="U1161" i="12" a="1"/>
  <c r="X1160" i="12" a="1"/>
  <c r="W1159" i="12" a="1"/>
  <c r="V1158" i="12" a="1"/>
  <c r="U1157" i="12" a="1"/>
  <c r="X1156" i="12" a="1"/>
  <c r="W1155" i="12" a="1"/>
  <c r="V1154" i="12" a="1"/>
  <c r="U1153" i="12" a="1"/>
  <c r="X1152" i="12" a="1"/>
  <c r="W1151" i="12" a="1"/>
  <c r="V1150" i="12" a="1"/>
  <c r="U1149" i="12" a="1"/>
  <c r="X1148" i="12" a="1"/>
  <c r="W1147" i="12" a="1"/>
  <c r="V1146" i="12" a="1"/>
  <c r="U1145" i="12" a="1"/>
  <c r="X1144" i="12" a="1"/>
  <c r="W1143" i="12" a="1"/>
  <c r="V1142" i="12" a="1"/>
  <c r="U1141" i="12" a="1"/>
  <c r="X1140" i="12" a="1"/>
  <c r="W1139" i="12" a="1"/>
  <c r="V1138" i="12" a="1"/>
  <c r="U1137" i="12" a="1"/>
  <c r="X1136" i="12" a="1"/>
  <c r="W1135" i="12" a="1"/>
  <c r="V1134" i="12" a="1"/>
  <c r="U1133" i="12" a="1"/>
  <c r="X1132" i="12" a="1"/>
  <c r="W1131" i="12" a="1"/>
  <c r="V1130" i="12" a="1"/>
  <c r="U1129" i="12" a="1"/>
  <c r="X1128" i="12" a="1"/>
  <c r="W1127" i="12" a="1"/>
  <c r="V1126" i="12" a="1"/>
  <c r="U1125" i="12" a="1"/>
  <c r="X1124" i="12" a="1"/>
  <c r="W1123" i="12" a="1"/>
  <c r="V1122" i="12" a="1"/>
  <c r="U1121" i="12" a="1"/>
  <c r="X1120" i="12" a="1"/>
  <c r="W1119" i="12" a="1"/>
  <c r="V1118" i="12" a="1"/>
  <c r="U1117" i="12" a="1"/>
  <c r="X1116" i="12" a="1"/>
  <c r="W1115" i="12" a="1"/>
  <c r="V1114" i="12" a="1"/>
  <c r="U1113" i="12" a="1"/>
  <c r="X1112" i="12" a="1"/>
  <c r="W1111" i="12" a="1"/>
  <c r="V1110" i="12" a="1"/>
  <c r="U1109" i="12" a="1"/>
  <c r="X1108" i="12" a="1"/>
  <c r="W1107" i="12" a="1"/>
  <c r="V1106" i="12" a="1"/>
  <c r="U1105" i="12" a="1"/>
  <c r="X1104" i="12" a="1"/>
  <c r="W1103" i="12" a="1"/>
  <c r="V1102" i="12" a="1"/>
  <c r="U1101" i="12" a="1"/>
  <c r="X1100" i="12" a="1"/>
  <c r="W1099" i="12" a="1"/>
  <c r="V1098" i="12" a="1"/>
  <c r="U1097" i="12" a="1"/>
  <c r="X1096" i="12" a="1"/>
  <c r="W1095" i="12" a="1"/>
  <c r="V1094" i="12" a="1"/>
  <c r="U1093" i="12" a="1"/>
  <c r="X1092" i="12" a="1"/>
  <c r="W1091" i="12" a="1"/>
  <c r="V1090" i="12" a="1"/>
  <c r="U1089" i="12" a="1"/>
  <c r="X1088" i="12" a="1"/>
  <c r="W1087" i="12" a="1"/>
  <c r="V1086" i="12" a="1"/>
  <c r="U1085" i="12" a="1"/>
  <c r="X1084" i="12" a="1"/>
  <c r="W1083" i="12" a="1"/>
  <c r="V1082" i="12" a="1"/>
  <c r="U1081" i="12" a="1"/>
  <c r="X1080" i="12" a="1"/>
  <c r="W1079" i="12" a="1"/>
  <c r="V1078" i="12" a="1"/>
  <c r="U1077" i="12" a="1"/>
  <c r="X1076" i="12" a="1"/>
  <c r="W1075" i="12" a="1"/>
  <c r="V1074" i="12" a="1"/>
  <c r="U1073" i="12" a="1"/>
  <c r="X1072" i="12" a="1"/>
  <c r="W1071" i="12" a="1"/>
  <c r="V1070" i="12" a="1"/>
  <c r="U1069" i="12" a="1"/>
  <c r="X1068" i="12" a="1"/>
  <c r="W1067" i="12" a="1"/>
  <c r="V1066" i="12" a="1"/>
  <c r="U1065" i="12" a="1"/>
  <c r="X1064" i="12" a="1"/>
  <c r="W1063" i="12" a="1"/>
  <c r="V1062" i="12" a="1"/>
  <c r="U1061" i="12" a="1"/>
  <c r="X1060" i="12" a="1"/>
  <c r="W1059" i="12" a="1"/>
  <c r="V1058" i="12" a="1"/>
  <c r="V1057" i="12" a="1"/>
  <c r="V1056" i="12" a="1"/>
  <c r="V1055" i="12" a="1"/>
  <c r="V1054" i="12" a="1"/>
  <c r="V1053" i="12" a="1"/>
  <c r="V1052" i="12" a="1"/>
  <c r="V1051" i="12" a="1"/>
  <c r="V1050" i="12" a="1"/>
  <c r="V1049" i="12" a="1"/>
  <c r="V1048" i="12" a="1"/>
  <c r="V1047" i="12" a="1"/>
  <c r="V1046" i="12" a="1"/>
  <c r="V1045" i="12" a="1"/>
  <c r="V1044" i="12" a="1"/>
  <c r="V1043" i="12" a="1"/>
  <c r="V1042" i="12" a="1"/>
  <c r="U1041" i="12" a="1"/>
  <c r="X1040" i="12" a="1"/>
  <c r="W1039" i="12" a="1"/>
  <c r="V1038" i="12" a="1"/>
  <c r="U1037" i="12" a="1"/>
  <c r="X1036" i="12" a="1"/>
  <c r="W1035" i="12" a="1"/>
  <c r="V1034" i="12" a="1"/>
  <c r="U1033" i="12" a="1"/>
  <c r="X1032" i="12" a="1"/>
  <c r="W1031" i="12" a="1"/>
  <c r="V1030" i="12" a="1"/>
  <c r="U1029" i="12" a="1"/>
  <c r="X1028" i="12" a="1"/>
  <c r="W1027" i="12" a="1"/>
  <c r="W1026" i="12" a="1"/>
  <c r="W1025" i="12" a="1"/>
  <c r="W1024" i="12" a="1"/>
  <c r="W1023" i="12" a="1"/>
  <c r="W1022" i="12" a="1"/>
  <c r="W1021" i="12" a="1"/>
  <c r="W1020" i="12" a="1"/>
  <c r="W1019" i="12" a="1"/>
  <c r="V1018" i="12" a="1"/>
  <c r="U1017" i="12" a="1"/>
  <c r="X1016" i="12" a="1"/>
  <c r="W1015" i="12" a="1"/>
  <c r="V1014" i="12" a="1"/>
  <c r="U1013" i="12" a="1"/>
  <c r="X1012" i="12" a="1"/>
  <c r="U1012" i="12" a="1"/>
  <c r="W1463" i="12" a="1"/>
  <c r="W1462" i="12" a="1"/>
  <c r="W1459" i="12" a="1"/>
  <c r="W1458" i="12" a="1"/>
  <c r="W1455" i="12" a="1"/>
  <c r="W1454" i="12" a="1"/>
  <c r="W1451" i="12" a="1"/>
  <c r="W1450" i="12" a="1"/>
  <c r="W1447" i="12" a="1"/>
  <c r="W1446" i="12" a="1"/>
  <c r="W1443" i="12" a="1"/>
  <c r="W1442" i="12" a="1"/>
  <c r="W1439" i="12" a="1"/>
  <c r="X1438" i="12" a="1"/>
  <c r="W1437" i="12" a="1"/>
  <c r="V1436" i="12" a="1"/>
  <c r="U1435" i="12" a="1"/>
  <c r="X1434" i="12" a="1"/>
  <c r="W1433" i="12" a="1"/>
  <c r="V1432" i="12" a="1"/>
  <c r="U1431" i="12" a="1"/>
  <c r="X1430" i="12" a="1"/>
  <c r="W1429" i="12" a="1"/>
  <c r="V1428" i="12" a="1"/>
  <c r="U1427" i="12" a="1"/>
  <c r="X1426" i="12" a="1"/>
  <c r="W1425" i="12" a="1"/>
  <c r="V1424" i="12" a="1"/>
  <c r="U1423" i="12" a="1"/>
  <c r="X1422" i="12" a="1"/>
  <c r="W1421" i="12" a="1"/>
  <c r="V1420" i="12" a="1"/>
  <c r="U1419" i="12" a="1"/>
  <c r="X1418" i="12" a="1"/>
  <c r="W1417" i="12" a="1"/>
  <c r="V1416" i="12" a="1"/>
  <c r="U1415" i="12" a="1"/>
  <c r="X1414" i="12" a="1"/>
  <c r="W1413" i="12" a="1"/>
  <c r="V1412" i="12" a="1"/>
  <c r="U1411" i="12" a="1"/>
  <c r="X1410" i="12" a="1"/>
  <c r="W1409" i="12" a="1"/>
  <c r="V1408" i="12" a="1"/>
  <c r="U1407" i="12" a="1"/>
  <c r="X1406" i="12" a="1"/>
  <c r="W1405" i="12" a="1"/>
  <c r="V1404" i="12" a="1"/>
  <c r="U1403" i="12" a="1"/>
  <c r="X1402" i="12" a="1"/>
  <c r="W1401" i="12" a="1"/>
  <c r="V1400" i="12" a="1"/>
  <c r="U1399" i="12" a="1"/>
  <c r="X1398" i="12" a="1"/>
  <c r="W1397" i="12" a="1"/>
  <c r="V1396" i="12" a="1"/>
  <c r="U1395" i="12" a="1"/>
  <c r="X1394" i="12" a="1"/>
  <c r="W1393" i="12" a="1"/>
  <c r="V1392" i="12" a="1"/>
  <c r="U1391" i="12" a="1"/>
  <c r="X1390" i="12" a="1"/>
  <c r="W1389" i="12" a="1"/>
  <c r="V1388" i="12" a="1"/>
  <c r="U1387" i="12" a="1"/>
  <c r="X1386" i="12" a="1"/>
  <c r="W1385" i="12" a="1"/>
  <c r="V1384" i="12" a="1"/>
  <c r="U1383" i="12" a="1"/>
  <c r="X1382" i="12" a="1"/>
  <c r="W1381" i="12" a="1"/>
  <c r="V1380" i="12" a="1"/>
  <c r="U1379" i="12" a="1"/>
  <c r="X1378" i="12" a="1"/>
  <c r="W1377" i="12" a="1"/>
  <c r="V1376" i="12" a="1"/>
  <c r="U1375" i="12" a="1"/>
  <c r="X1374" i="12" a="1"/>
  <c r="W1373" i="12" a="1"/>
  <c r="V1372" i="12" a="1"/>
  <c r="U1371" i="12" a="1"/>
  <c r="X1370" i="12" a="1"/>
  <c r="W1369" i="12" a="1"/>
  <c r="V1368" i="12" a="1"/>
  <c r="U1367" i="12" a="1"/>
  <c r="X1366" i="12" a="1"/>
  <c r="W1365" i="12" a="1"/>
  <c r="V1364" i="12" a="1"/>
  <c r="U1363" i="12" a="1"/>
  <c r="X1362" i="12" a="1"/>
  <c r="W1361" i="12" a="1"/>
  <c r="V1360" i="12" a="1"/>
  <c r="U1359" i="12" a="1"/>
  <c r="X1358" i="12" a="1"/>
  <c r="W1357" i="12" a="1"/>
  <c r="V1356" i="12" a="1"/>
  <c r="U1355" i="12" a="1"/>
  <c r="X1354" i="12" a="1"/>
  <c r="W1353" i="12" a="1"/>
  <c r="V1352" i="12" a="1"/>
  <c r="U1351" i="12" a="1"/>
  <c r="X1350" i="12" a="1"/>
  <c r="W1349" i="12" a="1"/>
  <c r="V1348" i="12" a="1"/>
  <c r="U1347" i="12" a="1"/>
  <c r="X1346" i="12" a="1"/>
  <c r="W1345" i="12" a="1"/>
  <c r="V1344" i="12" a="1"/>
  <c r="U1343" i="12" a="1"/>
  <c r="X1342" i="12" a="1"/>
  <c r="W1341" i="12" a="1"/>
  <c r="V1340" i="12" a="1"/>
  <c r="U1339" i="12" a="1"/>
  <c r="X1338" i="12" a="1"/>
  <c r="W1337" i="12" a="1"/>
  <c r="V1336" i="12" a="1"/>
  <c r="U1335" i="12" a="1"/>
  <c r="X1334" i="12" a="1"/>
  <c r="W1333" i="12" a="1"/>
  <c r="V1332" i="12" a="1"/>
  <c r="U1331" i="12" a="1"/>
  <c r="X1330" i="12" a="1"/>
  <c r="W1329" i="12" a="1"/>
  <c r="V1328" i="12" a="1"/>
  <c r="U1327" i="12" a="1"/>
  <c r="X1326" i="12" a="1"/>
  <c r="W1325" i="12" a="1"/>
  <c r="V1324" i="12" a="1"/>
  <c r="U1323" i="12" a="1"/>
  <c r="X1322" i="12" a="1"/>
  <c r="W1321" i="12" a="1"/>
  <c r="V1320" i="12" a="1"/>
  <c r="U1319" i="12" a="1"/>
  <c r="X1318" i="12" a="1"/>
  <c r="W1317" i="12" a="1"/>
  <c r="V1316" i="12" a="1"/>
  <c r="U1315" i="12" a="1"/>
  <c r="X1314" i="12" a="1"/>
  <c r="W1313" i="12" a="1"/>
  <c r="V1312" i="12" a="1"/>
  <c r="U1311" i="12" a="1"/>
  <c r="X1310" i="12" a="1"/>
  <c r="W1309" i="12" a="1"/>
  <c r="V1308" i="12" a="1"/>
  <c r="U1307" i="12" a="1"/>
  <c r="X1306" i="12" a="1"/>
  <c r="W1305" i="12" a="1"/>
  <c r="V1304" i="12" a="1"/>
  <c r="U1303" i="12" a="1"/>
  <c r="X1302" i="12" a="1"/>
  <c r="W1301" i="12" a="1"/>
  <c r="V1300" i="12" a="1"/>
  <c r="U1299" i="12" a="1"/>
  <c r="X1298" i="12" a="1"/>
  <c r="W1297" i="12" a="1"/>
  <c r="W1296" i="12" a="1"/>
  <c r="W1295" i="12" a="1"/>
  <c r="W1294" i="12" a="1"/>
  <c r="W1293" i="12" a="1"/>
  <c r="W1292" i="12" a="1"/>
  <c r="W1291" i="12" a="1"/>
  <c r="W1290" i="12" a="1"/>
  <c r="W1289" i="12" a="1"/>
  <c r="W1288" i="12" a="1"/>
  <c r="W1287" i="12" a="1"/>
  <c r="W1286" i="12" a="1"/>
  <c r="W1285" i="12" a="1"/>
  <c r="W1284" i="12" a="1"/>
  <c r="W1283" i="12" a="1"/>
  <c r="W1282" i="12" a="1"/>
  <c r="W1281" i="12" a="1"/>
  <c r="W1280" i="12" a="1"/>
  <c r="W1279" i="12" a="1"/>
  <c r="W1278" i="12" a="1"/>
  <c r="W1277" i="12" a="1"/>
  <c r="W1276" i="12" a="1"/>
  <c r="W1275" i="12" a="1"/>
  <c r="W1274" i="12" a="1"/>
  <c r="W1273" i="12" a="1"/>
  <c r="W1272" i="12" a="1"/>
  <c r="W1271" i="12" a="1"/>
  <c r="W1270" i="12" a="1"/>
  <c r="W1269" i="12" a="1"/>
  <c r="W1268" i="12" a="1"/>
  <c r="W1267" i="12" a="1"/>
  <c r="W1266" i="12" a="1"/>
  <c r="W1265" i="12" a="1"/>
  <c r="W1264" i="12" a="1"/>
  <c r="W1263" i="12" a="1"/>
  <c r="W1262" i="12" a="1"/>
  <c r="W1261" i="12" a="1"/>
  <c r="W1260" i="12" a="1"/>
  <c r="W1259" i="12" a="1"/>
  <c r="W1258" i="12" a="1"/>
  <c r="W1257" i="12" a="1"/>
  <c r="W1256" i="12" a="1"/>
  <c r="W1255" i="12" a="1"/>
  <c r="W1254" i="12" a="1"/>
  <c r="W1253" i="12" a="1"/>
  <c r="W1252" i="12" a="1"/>
  <c r="W1251" i="12" a="1"/>
  <c r="W1250" i="12" a="1"/>
  <c r="W1249" i="12" a="1"/>
  <c r="W1248" i="12" a="1"/>
  <c r="W1247" i="12" a="1"/>
  <c r="W1246" i="12" a="1"/>
  <c r="W1245" i="12" a="1"/>
  <c r="W1244" i="12" a="1"/>
  <c r="W1243" i="12" a="1"/>
  <c r="W1242" i="12" a="1"/>
  <c r="W1241" i="12" a="1"/>
  <c r="W1240" i="12" a="1"/>
  <c r="W1239" i="12" a="1"/>
  <c r="W1238" i="12" a="1"/>
  <c r="W1237" i="12" a="1"/>
  <c r="W1236" i="12" a="1"/>
  <c r="W1235" i="12" a="1"/>
  <c r="W1234" i="12" a="1"/>
  <c r="W1233" i="12" a="1"/>
  <c r="W1232" i="12" a="1"/>
  <c r="W1231" i="12" a="1"/>
  <c r="W1230" i="12" a="1"/>
  <c r="W1229" i="12" a="1"/>
  <c r="W1228" i="12" a="1"/>
  <c r="V1227" i="12" a="1"/>
  <c r="U1226" i="12" a="1"/>
  <c r="X1225" i="12" a="1"/>
  <c r="W1224" i="12" a="1"/>
  <c r="V1223" i="12" a="1"/>
  <c r="U1222" i="12" a="1"/>
  <c r="X1221" i="12" a="1"/>
  <c r="W1220" i="12" a="1"/>
  <c r="V1219" i="12" a="1"/>
  <c r="U1218" i="12" a="1"/>
  <c r="X1217" i="12" a="1"/>
  <c r="W1216" i="12" a="1"/>
  <c r="V1215" i="12" a="1"/>
  <c r="U1214" i="12" a="1"/>
  <c r="X1213" i="12" a="1"/>
  <c r="W1212" i="12" a="1"/>
  <c r="V1211" i="12" a="1"/>
  <c r="U1210" i="12" a="1"/>
  <c r="X1209" i="12" a="1"/>
  <c r="W1208" i="12" a="1"/>
  <c r="V1207" i="12" a="1"/>
  <c r="U1206" i="12" a="1"/>
  <c r="X1205" i="12" a="1"/>
  <c r="W1204" i="12" a="1"/>
  <c r="V1203" i="12" a="1"/>
  <c r="U1202" i="12" a="1"/>
  <c r="X1201" i="12" a="1"/>
  <c r="W1200" i="12" a="1"/>
  <c r="V1199" i="12" a="1"/>
  <c r="U1198" i="12" a="1"/>
  <c r="X1197" i="12" a="1"/>
  <c r="W1196" i="12" a="1"/>
  <c r="V1195" i="12" a="1"/>
  <c r="U1194" i="12" a="1"/>
  <c r="X1193" i="12" a="1"/>
  <c r="W1192" i="12" a="1"/>
  <c r="V1191" i="12" a="1"/>
  <c r="U1190" i="12" a="1"/>
  <c r="X1189" i="12" a="1"/>
  <c r="W1188" i="12" a="1"/>
  <c r="V1187" i="12" a="1"/>
  <c r="U1186" i="12" a="1"/>
  <c r="X1185" i="12" a="1"/>
  <c r="W1184" i="12" a="1"/>
  <c r="V1183" i="12" a="1"/>
  <c r="U1182" i="12" a="1"/>
  <c r="X1181" i="12" a="1"/>
  <c r="W1180" i="12" a="1"/>
  <c r="V1179" i="12" a="1"/>
  <c r="U1178" i="12" a="1"/>
  <c r="X1177" i="12" a="1"/>
  <c r="W1176" i="12" a="1"/>
  <c r="V1175" i="12" a="1"/>
  <c r="U1174" i="12" a="1"/>
  <c r="X1173" i="12" a="1"/>
  <c r="W1172" i="12" a="1"/>
  <c r="V1171" i="12" a="1"/>
  <c r="U1170" i="12" a="1"/>
  <c r="X1169" i="12" a="1"/>
  <c r="W1168" i="12" a="1"/>
  <c r="V1167" i="12" a="1"/>
  <c r="U1166" i="12" a="1"/>
  <c r="X1165" i="12" a="1"/>
  <c r="W1164" i="12" a="1"/>
  <c r="V1163" i="12" a="1"/>
  <c r="U1162" i="12" a="1"/>
  <c r="X1161" i="12" a="1"/>
  <c r="W1160" i="12" a="1"/>
  <c r="V1159" i="12" a="1"/>
  <c r="U1158" i="12" a="1"/>
  <c r="X1157" i="12" a="1"/>
  <c r="W1156" i="12" a="1"/>
  <c r="V1155" i="12" a="1"/>
  <c r="U1154" i="12" a="1"/>
  <c r="X1153" i="12" a="1"/>
  <c r="W1152" i="12" a="1"/>
  <c r="V1151" i="12" a="1"/>
  <c r="U1150" i="12" a="1"/>
  <c r="X1149" i="12" a="1"/>
  <c r="W1148" i="12" a="1"/>
  <c r="V1147" i="12" a="1"/>
  <c r="U1146" i="12" a="1"/>
  <c r="X1145" i="12" a="1"/>
  <c r="W1144" i="12" a="1"/>
  <c r="V1143" i="12" a="1"/>
  <c r="U1142" i="12" a="1"/>
  <c r="X1141" i="12" a="1"/>
  <c r="W1140" i="12" a="1"/>
  <c r="V1139" i="12" a="1"/>
  <c r="U1138" i="12" a="1"/>
  <c r="X1137" i="12" a="1"/>
  <c r="W1136" i="12" a="1"/>
  <c r="V1135" i="12" a="1"/>
  <c r="U1134" i="12" a="1"/>
  <c r="X1133" i="12" a="1"/>
  <c r="W1132" i="12" a="1"/>
  <c r="V1131" i="12" a="1"/>
  <c r="U1130" i="12" a="1"/>
  <c r="X1129" i="12" a="1"/>
  <c r="W1128" i="12" a="1"/>
  <c r="V1127" i="12" a="1"/>
  <c r="U1126" i="12" a="1"/>
  <c r="X1125" i="12" a="1"/>
  <c r="W1124" i="12" a="1"/>
  <c r="V1123" i="12" a="1"/>
  <c r="U1122" i="12" a="1"/>
  <c r="X1121" i="12" a="1"/>
  <c r="W1120" i="12" a="1"/>
  <c r="V1119" i="12" a="1"/>
  <c r="U1118" i="12" a="1"/>
  <c r="X1117" i="12" a="1"/>
  <c r="W1116" i="12" a="1"/>
  <c r="V1115" i="12" a="1"/>
  <c r="U1114" i="12" a="1"/>
  <c r="X1113" i="12" a="1"/>
  <c r="W1112" i="12" a="1"/>
  <c r="V1111" i="12" a="1"/>
  <c r="U1110" i="12" a="1"/>
  <c r="X1109" i="12" a="1"/>
  <c r="W1108" i="12" a="1"/>
  <c r="V1107" i="12" a="1"/>
  <c r="U1106" i="12" a="1"/>
  <c r="X1105" i="12" a="1"/>
  <c r="W1104" i="12" a="1"/>
  <c r="V1103" i="12" a="1"/>
  <c r="U1102" i="12" a="1"/>
  <c r="X1101" i="12" a="1"/>
  <c r="W1100" i="12" a="1"/>
  <c r="V1099" i="12" a="1"/>
  <c r="U1098" i="12" a="1"/>
  <c r="X1097" i="12" a="1"/>
  <c r="W1096" i="12" a="1"/>
  <c r="V1095" i="12" a="1"/>
  <c r="U1094" i="12" a="1"/>
  <c r="X1093" i="12" a="1"/>
  <c r="W1092" i="12" a="1"/>
  <c r="V1091" i="12" a="1"/>
  <c r="U1090" i="12" a="1"/>
  <c r="X1089" i="12" a="1"/>
  <c r="W1088" i="12" a="1"/>
  <c r="V1087" i="12" a="1"/>
  <c r="U1086" i="12" a="1"/>
  <c r="X1085" i="12" a="1"/>
  <c r="W1084" i="12" a="1"/>
  <c r="V1083" i="12" a="1"/>
  <c r="U1082" i="12" a="1"/>
  <c r="X1081" i="12" a="1"/>
  <c r="W1080" i="12" a="1"/>
  <c r="V1079" i="12" a="1"/>
  <c r="U1078" i="12" a="1"/>
  <c r="X1077" i="12" a="1"/>
  <c r="W1076" i="12" a="1"/>
  <c r="V1075" i="12" a="1"/>
  <c r="U1074" i="12" a="1"/>
  <c r="X1073" i="12" a="1"/>
  <c r="W1072" i="12" a="1"/>
  <c r="V1071" i="12" a="1"/>
  <c r="U1070" i="12" a="1"/>
  <c r="X1069" i="12" a="1"/>
  <c r="W1068" i="12" a="1"/>
  <c r="V1067" i="12" a="1"/>
  <c r="U1066" i="12" a="1"/>
  <c r="X1065" i="12" a="1"/>
  <c r="W1064" i="12" a="1"/>
  <c r="V1063" i="12" a="1"/>
  <c r="U1062" i="12" a="1"/>
  <c r="X1061" i="12" a="1"/>
  <c r="W1060" i="12" a="1"/>
  <c r="V1059" i="12" a="1"/>
  <c r="U1058" i="12" a="1"/>
  <c r="X1057" i="12" a="1"/>
  <c r="U1057" i="12" a="1"/>
  <c r="X1056" i="12" a="1"/>
  <c r="U1056" i="12" a="1"/>
  <c r="X1055" i="12" a="1"/>
  <c r="U1055" i="12" a="1"/>
  <c r="X1054" i="12" a="1"/>
  <c r="U1054" i="12" a="1"/>
  <c r="X1053" i="12" a="1"/>
  <c r="U1053" i="12" a="1"/>
  <c r="X1052" i="12" a="1"/>
  <c r="U1052" i="12" a="1"/>
  <c r="X1051" i="12" a="1"/>
  <c r="U1051" i="12" a="1"/>
  <c r="X1050" i="12" a="1"/>
  <c r="U1050" i="12" a="1"/>
  <c r="X1049" i="12" a="1"/>
  <c r="U1049" i="12" a="1"/>
  <c r="X1048" i="12" a="1"/>
  <c r="U1048" i="12" a="1"/>
  <c r="X1047" i="12" a="1"/>
  <c r="U1047" i="12" a="1"/>
  <c r="X1046" i="12" a="1"/>
  <c r="U1046" i="12" a="1"/>
  <c r="X1045" i="12" a="1"/>
  <c r="U1045" i="12" a="1"/>
  <c r="X1044" i="12" a="1"/>
  <c r="U1044" i="12" a="1"/>
  <c r="X1043" i="12" a="1"/>
  <c r="U1043" i="12" a="1"/>
  <c r="X1042" i="12" a="1"/>
  <c r="U1042" i="12" a="1"/>
  <c r="X1041" i="12" a="1"/>
  <c r="W1040" i="12" a="1"/>
  <c r="V1039" i="12" a="1"/>
  <c r="U1038" i="12" a="1"/>
  <c r="X1037" i="12" a="1"/>
  <c r="W1036" i="12" a="1"/>
  <c r="V1035" i="12" a="1"/>
  <c r="U1034" i="12" a="1"/>
  <c r="X1033" i="12" a="1"/>
  <c r="W1032" i="12" a="1"/>
  <c r="V1031" i="12" a="1"/>
  <c r="U1030" i="12" a="1"/>
  <c r="X1029" i="12" a="1"/>
  <c r="W1028" i="12" a="1"/>
  <c r="V1019" i="12" a="1"/>
  <c r="U1018" i="12" a="1"/>
  <c r="X1017" i="12" a="1"/>
  <c r="W1016" i="12" a="1"/>
  <c r="V1015" i="12" a="1"/>
  <c r="U1014" i="12" a="1"/>
  <c r="X1013" i="12" a="1"/>
  <c r="W1012" i="12" a="1"/>
  <c r="W1011" i="12" a="1"/>
  <c r="W1010" i="12" a="1"/>
  <c r="W1009" i="12" a="1"/>
  <c r="W1008" i="12" a="1"/>
  <c r="W1007" i="12" a="1"/>
  <c r="W1006" i="12" a="1"/>
  <c r="W1005" i="12" a="1"/>
  <c r="W1004" i="12" a="1"/>
  <c r="V1003" i="12" a="1"/>
  <c r="U1002" i="12" a="1"/>
  <c r="X1001" i="12" a="1"/>
  <c r="W1000" i="12" a="1"/>
  <c r="V999" i="12" a="1"/>
  <c r="U998" i="12" a="1"/>
  <c r="X997" i="12" a="1"/>
  <c r="X1480" i="12" a="1"/>
  <c r="W1479" i="12" a="1"/>
  <c r="V1478" i="12" a="1"/>
  <c r="U1477" i="12" a="1"/>
  <c r="X1476" i="12" a="1"/>
  <c r="W1475" i="12" a="1"/>
  <c r="V1474" i="12" a="1"/>
  <c r="U1473" i="12" a="1"/>
  <c r="X1472" i="12" a="1"/>
  <c r="W1471" i="12" a="1"/>
  <c r="V1470" i="12" a="1"/>
  <c r="U1469" i="12" a="1"/>
  <c r="X1468" i="12" a="1"/>
  <c r="W1467" i="12" a="1"/>
  <c r="V1466" i="12" a="1"/>
  <c r="V1465" i="12" a="1"/>
  <c r="V1462" i="12" a="1"/>
  <c r="V1461" i="12" a="1"/>
  <c r="V1458" i="12" a="1"/>
  <c r="V1457" i="12" a="1"/>
  <c r="V1454" i="12" a="1"/>
  <c r="V1453" i="12" a="1"/>
  <c r="V1450" i="12" a="1"/>
  <c r="V1449" i="12" a="1"/>
  <c r="V1446" i="12" a="1"/>
  <c r="V1445" i="12" a="1"/>
  <c r="V1442" i="12" a="1"/>
  <c r="V1441" i="12" a="1"/>
  <c r="W1438" i="12" a="1"/>
  <c r="V1437" i="12" a="1"/>
  <c r="U1436" i="12" a="1"/>
  <c r="X1435" i="12" a="1"/>
  <c r="W1434" i="12" a="1"/>
  <c r="V1433" i="12" a="1"/>
  <c r="U1432" i="12" a="1"/>
  <c r="X1431" i="12" a="1"/>
  <c r="W1430" i="12" a="1"/>
  <c r="V1429" i="12" a="1"/>
  <c r="U1428" i="12" a="1"/>
  <c r="X1427" i="12" a="1"/>
  <c r="W1426" i="12" a="1"/>
  <c r="V1425" i="12" a="1"/>
  <c r="U1424" i="12" a="1"/>
  <c r="X1423" i="12" a="1"/>
  <c r="W1422" i="12" a="1"/>
  <c r="V1421" i="12" a="1"/>
  <c r="U1420" i="12" a="1"/>
  <c r="X1419" i="12" a="1"/>
  <c r="W1418" i="12" a="1"/>
  <c r="V1417" i="12" a="1"/>
  <c r="U1416" i="12" a="1"/>
  <c r="X1415" i="12" a="1"/>
  <c r="W1414" i="12" a="1"/>
  <c r="V1413" i="12" a="1"/>
  <c r="U1412" i="12" a="1"/>
  <c r="X1411" i="12" a="1"/>
  <c r="W1410" i="12" a="1"/>
  <c r="V1409" i="12" a="1"/>
  <c r="U1408" i="12" a="1"/>
  <c r="X1407" i="12" a="1"/>
  <c r="W1406" i="12" a="1"/>
  <c r="V1405" i="12" a="1"/>
  <c r="U1404" i="12" a="1"/>
  <c r="X1403" i="12" a="1"/>
  <c r="W1402" i="12" a="1"/>
  <c r="V1401" i="12" a="1"/>
  <c r="U1400" i="12" a="1"/>
  <c r="X1399" i="12" a="1"/>
  <c r="W1398" i="12" a="1"/>
  <c r="V1397" i="12" a="1"/>
  <c r="U1396" i="12" a="1"/>
  <c r="X1395" i="12" a="1"/>
  <c r="W1394" i="12" a="1"/>
  <c r="V1393" i="12" a="1"/>
  <c r="U1392" i="12" a="1"/>
  <c r="X1391" i="12" a="1"/>
  <c r="W1390" i="12" a="1"/>
  <c r="V1389" i="12" a="1"/>
  <c r="U1388" i="12" a="1"/>
  <c r="X1387" i="12" a="1"/>
  <c r="W1386" i="12" a="1"/>
  <c r="V1385" i="12" a="1"/>
  <c r="U1384" i="12" a="1"/>
  <c r="X1383" i="12" a="1"/>
  <c r="W1382" i="12" a="1"/>
  <c r="V1381" i="12" a="1"/>
  <c r="U1380" i="12" a="1"/>
  <c r="X1379" i="12" a="1"/>
  <c r="W1378" i="12" a="1"/>
  <c r="V1377" i="12" a="1"/>
  <c r="U1376" i="12" a="1"/>
  <c r="X1375" i="12" a="1"/>
  <c r="W1374" i="12" a="1"/>
  <c r="V1373" i="12" a="1"/>
  <c r="U1372" i="12" a="1"/>
  <c r="X1371" i="12" a="1"/>
  <c r="W1370" i="12" a="1"/>
  <c r="V1369" i="12" a="1"/>
  <c r="U1368" i="12" a="1"/>
  <c r="X1367" i="12" a="1"/>
  <c r="W1366" i="12" a="1"/>
  <c r="V1365" i="12" a="1"/>
  <c r="U1364" i="12" a="1"/>
  <c r="X1363" i="12" a="1"/>
  <c r="W1362" i="12" a="1"/>
  <c r="V1361" i="12" a="1"/>
  <c r="U1360" i="12" a="1"/>
  <c r="X1359" i="12" a="1"/>
  <c r="W1358" i="12" a="1"/>
  <c r="V1357" i="12" a="1"/>
  <c r="U1356" i="12" a="1"/>
  <c r="X1355" i="12" a="1"/>
  <c r="W1354" i="12" a="1"/>
  <c r="V1353" i="12" a="1"/>
  <c r="U1352" i="12" a="1"/>
  <c r="X1351" i="12" a="1"/>
  <c r="W1350" i="12" a="1"/>
  <c r="V1349" i="12" a="1"/>
  <c r="U1348" i="12" a="1"/>
  <c r="X1347" i="12" a="1"/>
  <c r="W1346" i="12" a="1"/>
  <c r="V1345" i="12" a="1"/>
  <c r="U1344" i="12" a="1"/>
  <c r="X1343" i="12" a="1"/>
  <c r="W1342" i="12" a="1"/>
  <c r="V1341" i="12" a="1"/>
  <c r="U1340" i="12" a="1"/>
  <c r="X1339" i="12" a="1"/>
  <c r="W1338" i="12" a="1"/>
  <c r="V1337" i="12" a="1"/>
  <c r="U1336" i="12" a="1"/>
  <c r="X1335" i="12" a="1"/>
  <c r="W1334" i="12" a="1"/>
  <c r="V1333" i="12" a="1"/>
  <c r="U1332" i="12" a="1"/>
  <c r="X1331" i="12" a="1"/>
  <c r="W1330" i="12" a="1"/>
  <c r="V1329" i="12" a="1"/>
  <c r="U1328" i="12" a="1"/>
  <c r="X1327" i="12" a="1"/>
  <c r="W1326" i="12" a="1"/>
  <c r="V1325" i="12" a="1"/>
  <c r="U1324" i="12" a="1"/>
  <c r="X1323" i="12" a="1"/>
  <c r="W1322" i="12" a="1"/>
  <c r="V1321" i="12" a="1"/>
  <c r="U1320" i="12" a="1"/>
  <c r="X1319" i="12" a="1"/>
  <c r="W1318" i="12" a="1"/>
  <c r="V1317" i="12" a="1"/>
  <c r="U1316" i="12" a="1"/>
  <c r="X1315" i="12" a="1"/>
  <c r="W1314" i="12" a="1"/>
  <c r="V1313" i="12" a="1"/>
  <c r="U1312" i="12" a="1"/>
  <c r="X1311" i="12" a="1"/>
  <c r="W1310" i="12" a="1"/>
  <c r="V1309" i="12" a="1"/>
  <c r="U1308" i="12" a="1"/>
  <c r="X1307" i="12" a="1"/>
  <c r="W1306" i="12" a="1"/>
  <c r="V1305" i="12" a="1"/>
  <c r="U1304" i="12" a="1"/>
  <c r="X1303" i="12" a="1"/>
  <c r="W1302" i="12" a="1"/>
  <c r="V1301" i="12" a="1"/>
  <c r="U1300" i="12" a="1"/>
  <c r="X1299" i="12" a="1"/>
  <c r="W1298" i="12" a="1"/>
  <c r="V1228" i="12" a="1"/>
  <c r="U1227" i="12" a="1"/>
  <c r="X1226" i="12" a="1"/>
  <c r="W1225" i="12" a="1"/>
  <c r="V1224" i="12" a="1"/>
  <c r="U1223" i="12" a="1"/>
  <c r="X1222" i="12" a="1"/>
  <c r="W1221" i="12" a="1"/>
  <c r="V1220" i="12" a="1"/>
  <c r="U1219" i="12" a="1"/>
  <c r="X1218" i="12" a="1"/>
  <c r="W1217" i="12" a="1"/>
  <c r="V1216" i="12" a="1"/>
  <c r="U1215" i="12" a="1"/>
  <c r="X1214" i="12" a="1"/>
  <c r="W1213" i="12" a="1"/>
  <c r="V1212" i="12" a="1"/>
  <c r="U1211" i="12" a="1"/>
  <c r="X1210" i="12" a="1"/>
  <c r="W1209" i="12" a="1"/>
  <c r="V1208" i="12" a="1"/>
  <c r="U1207" i="12" a="1"/>
  <c r="X1206" i="12" a="1"/>
  <c r="W1205" i="12" a="1"/>
  <c r="V1204" i="12" a="1"/>
  <c r="U1203" i="12" a="1"/>
  <c r="X1202" i="12" a="1"/>
  <c r="W1201" i="12" a="1"/>
  <c r="V1200" i="12" a="1"/>
  <c r="U1199" i="12" a="1"/>
  <c r="X1198" i="12" a="1"/>
  <c r="W1197" i="12" a="1"/>
  <c r="V1196" i="12" a="1"/>
  <c r="U1195" i="12" a="1"/>
  <c r="X1194" i="12" a="1"/>
  <c r="W1193" i="12" a="1"/>
  <c r="V1192" i="12" a="1"/>
  <c r="U1191" i="12" a="1"/>
  <c r="X1190" i="12" a="1"/>
  <c r="W1189" i="12" a="1"/>
  <c r="V1188" i="12" a="1"/>
  <c r="U1187" i="12" a="1"/>
  <c r="X1186" i="12" a="1"/>
  <c r="W1185" i="12" a="1"/>
  <c r="V1184" i="12" a="1"/>
  <c r="U1183" i="12" a="1"/>
  <c r="X1182" i="12" a="1"/>
  <c r="W1181" i="12" a="1"/>
  <c r="V1180" i="12" a="1"/>
  <c r="U1179" i="12" a="1"/>
  <c r="X1178" i="12" a="1"/>
  <c r="W1177" i="12" a="1"/>
  <c r="V1176" i="12" a="1"/>
  <c r="U1175" i="12" a="1"/>
  <c r="X1174" i="12" a="1"/>
  <c r="W1173" i="12" a="1"/>
  <c r="V1172" i="12" a="1"/>
  <c r="U1171" i="12" a="1"/>
  <c r="X1170" i="12" a="1"/>
  <c r="W1169" i="12" a="1"/>
  <c r="V1168" i="12" a="1"/>
  <c r="U1167" i="12" a="1"/>
  <c r="X1166" i="12" a="1"/>
  <c r="W1165" i="12" a="1"/>
  <c r="V1164" i="12" a="1"/>
  <c r="U1163" i="12" a="1"/>
  <c r="X1162" i="12" a="1"/>
  <c r="W1161" i="12" a="1"/>
  <c r="V1160" i="12" a="1"/>
  <c r="U1159" i="12" a="1"/>
  <c r="X1158" i="12" a="1"/>
  <c r="W1157" i="12" a="1"/>
  <c r="V1156" i="12" a="1"/>
  <c r="U1155" i="12" a="1"/>
  <c r="X1154" i="12" a="1"/>
  <c r="W1153" i="12" a="1"/>
  <c r="V1152" i="12" a="1"/>
  <c r="U1151" i="12" a="1"/>
  <c r="X1150" i="12" a="1"/>
  <c r="W1149" i="12" a="1"/>
  <c r="V1148" i="12" a="1"/>
  <c r="U1147" i="12" a="1"/>
  <c r="X1146" i="12" a="1"/>
  <c r="W1145" i="12" a="1"/>
  <c r="V1144" i="12" a="1"/>
  <c r="U1143" i="12" a="1"/>
  <c r="X1142" i="12" a="1"/>
  <c r="W1141" i="12" a="1"/>
  <c r="V1140" i="12" a="1"/>
  <c r="U1139" i="12" a="1"/>
  <c r="X1138" i="12" a="1"/>
  <c r="W1137" i="12" a="1"/>
  <c r="V1136" i="12" a="1"/>
  <c r="U1135" i="12" a="1"/>
  <c r="X1134" i="12" a="1"/>
  <c r="W1133" i="12" a="1"/>
  <c r="V1132" i="12" a="1"/>
  <c r="U1131" i="12" a="1"/>
  <c r="X1130" i="12" a="1"/>
  <c r="W1129" i="12" a="1"/>
  <c r="V1128" i="12" a="1"/>
  <c r="U1127" i="12" a="1"/>
  <c r="X1126" i="12" a="1"/>
  <c r="W1125" i="12" a="1"/>
  <c r="V1124" i="12" a="1"/>
  <c r="U1123" i="12" a="1"/>
  <c r="X1122" i="12" a="1"/>
  <c r="W1121" i="12" a="1"/>
  <c r="V1120" i="12" a="1"/>
  <c r="U1119" i="12" a="1"/>
  <c r="X1118" i="12" a="1"/>
  <c r="W1117" i="12" a="1"/>
  <c r="V1116" i="12" a="1"/>
  <c r="U1115" i="12" a="1"/>
  <c r="X1114" i="12" a="1"/>
  <c r="W1113" i="12" a="1"/>
  <c r="V1112" i="12" a="1"/>
  <c r="U1111" i="12" a="1"/>
  <c r="X1110" i="12" a="1"/>
  <c r="W1109" i="12" a="1"/>
  <c r="V1108" i="12" a="1"/>
  <c r="U1107" i="12" a="1"/>
  <c r="X1106" i="12" a="1"/>
  <c r="W1105" i="12" a="1"/>
  <c r="V1104" i="12" a="1"/>
  <c r="U1103" i="12" a="1"/>
  <c r="X1102" i="12" a="1"/>
  <c r="W1101" i="12" a="1"/>
  <c r="V1100" i="12" a="1"/>
  <c r="U1099" i="12" a="1"/>
  <c r="X1098" i="12" a="1"/>
  <c r="W1097" i="12" a="1"/>
  <c r="V1096" i="12" a="1"/>
  <c r="U1095" i="12" a="1"/>
  <c r="X1094" i="12" a="1"/>
  <c r="W1093" i="12" a="1"/>
  <c r="V1092" i="12" a="1"/>
  <c r="U1091" i="12" a="1"/>
  <c r="X1090" i="12" a="1"/>
  <c r="W1089" i="12" a="1"/>
  <c r="V1088" i="12" a="1"/>
  <c r="U1087" i="12" a="1"/>
  <c r="X1086" i="12" a="1"/>
  <c r="W1085" i="12" a="1"/>
  <c r="V1084" i="12" a="1"/>
  <c r="U1083" i="12" a="1"/>
  <c r="X1082" i="12" a="1"/>
  <c r="W1081" i="12" a="1"/>
  <c r="V1080" i="12" a="1"/>
  <c r="U1079" i="12" a="1"/>
  <c r="X1078" i="12" a="1"/>
  <c r="W1077" i="12" a="1"/>
  <c r="V1076" i="12" a="1"/>
  <c r="U1075" i="12" a="1"/>
  <c r="X1074" i="12" a="1"/>
  <c r="W1073" i="12" a="1"/>
  <c r="V1072" i="12" a="1"/>
  <c r="U1071" i="12" a="1"/>
  <c r="X1070" i="12" a="1"/>
  <c r="W1069" i="12" a="1"/>
  <c r="V1068" i="12" a="1"/>
  <c r="U1067" i="12" a="1"/>
  <c r="X1066" i="12" a="1"/>
  <c r="W1065" i="12" a="1"/>
  <c r="V1064" i="12" a="1"/>
  <c r="U1063" i="12" a="1"/>
  <c r="X1062" i="12" a="1"/>
  <c r="W1061" i="12" a="1"/>
  <c r="V1060" i="12" a="1"/>
  <c r="U1059" i="12" a="1"/>
  <c r="X1058" i="12" a="1"/>
  <c r="W1057" i="12" a="1"/>
  <c r="W1056" i="12" a="1"/>
  <c r="W1055" i="12" a="1"/>
  <c r="W1054" i="12" a="1"/>
  <c r="W1053" i="12" a="1"/>
  <c r="W1052" i="12" a="1"/>
  <c r="W1051" i="12" a="1"/>
  <c r="W1050" i="12" a="1"/>
  <c r="W1049" i="12" a="1"/>
  <c r="W1048" i="12" a="1"/>
  <c r="W1047" i="12" a="1"/>
  <c r="W1046" i="12" a="1"/>
  <c r="W1045" i="12" a="1"/>
  <c r="W1044" i="12" a="1"/>
  <c r="W1043" i="12" a="1"/>
  <c r="W1042" i="12" a="1"/>
  <c r="W1041" i="12" a="1"/>
  <c r="V1040" i="12" a="1"/>
  <c r="U1039" i="12" a="1"/>
  <c r="X1038" i="12" a="1"/>
  <c r="W1037" i="12" a="1"/>
  <c r="V1036" i="12" a="1"/>
  <c r="U1035" i="12" a="1"/>
  <c r="X1034" i="12" a="1"/>
  <c r="W1033" i="12" a="1"/>
  <c r="V1032" i="12" a="1"/>
  <c r="U1031" i="12" a="1"/>
  <c r="X1030" i="12" a="1"/>
  <c r="W1029" i="12" a="1"/>
  <c r="V1028" i="12" a="1"/>
  <c r="V1027" i="12" a="1"/>
  <c r="V1026" i="12" a="1"/>
  <c r="V1025" i="12" a="1"/>
  <c r="V1024" i="12" a="1"/>
  <c r="V1023" i="12" a="1"/>
  <c r="V1022" i="12" a="1"/>
  <c r="V1021" i="12" a="1"/>
  <c r="V1020" i="12" a="1"/>
  <c r="U1019" i="12" a="1"/>
  <c r="X1018" i="12" a="1"/>
  <c r="W1017" i="12" a="1"/>
  <c r="V1016" i="12" a="1"/>
  <c r="U1015" i="12" a="1"/>
  <c r="X1014" i="12" a="1"/>
  <c r="W1013" i="12" a="1"/>
  <c r="V1004" i="12" a="1"/>
  <c r="U1003" i="12" a="1"/>
  <c r="X1002" i="12" a="1"/>
  <c r="W1001" i="12" a="1"/>
  <c r="V1000" i="12" a="1"/>
  <c r="U999" i="12" a="1"/>
  <c r="X998" i="12" a="1"/>
  <c r="W997" i="12" a="1"/>
  <c r="U1465" i="12" a="1"/>
  <c r="X1464" i="12" a="1"/>
  <c r="U1461" i="12" a="1"/>
  <c r="X1460" i="12" a="1"/>
  <c r="U1457" i="12" a="1"/>
  <c r="X1456" i="12" a="1"/>
  <c r="U1453" i="12" a="1"/>
  <c r="X1452" i="12" a="1"/>
  <c r="U1449" i="12" a="1"/>
  <c r="X1448" i="12" a="1"/>
  <c r="U1445" i="12" a="1"/>
  <c r="X1444" i="12" a="1"/>
  <c r="U1441" i="12" a="1"/>
  <c r="X1440" i="12" a="1"/>
  <c r="V1438" i="12" a="1"/>
  <c r="U1437" i="12" a="1"/>
  <c r="X1436" i="12" a="1"/>
  <c r="W1435" i="12" a="1"/>
  <c r="V1434" i="12" a="1"/>
  <c r="U1433" i="12" a="1"/>
  <c r="X1432" i="12" a="1"/>
  <c r="W1431" i="12" a="1"/>
  <c r="V1430" i="12" a="1"/>
  <c r="U1429" i="12" a="1"/>
  <c r="X1428" i="12" a="1"/>
  <c r="W1427" i="12" a="1"/>
  <c r="V1426" i="12" a="1"/>
  <c r="U1425" i="12" a="1"/>
  <c r="X1424" i="12" a="1"/>
  <c r="W1423" i="12" a="1"/>
  <c r="V1422" i="12" a="1"/>
  <c r="U1421" i="12" a="1"/>
  <c r="X1420" i="12" a="1"/>
  <c r="W1419" i="12" a="1"/>
  <c r="V1418" i="12" a="1"/>
  <c r="U1417" i="12" a="1"/>
  <c r="X1416" i="12" a="1"/>
  <c r="W1415" i="12" a="1"/>
  <c r="V1414" i="12" a="1"/>
  <c r="U1413" i="12" a="1"/>
  <c r="X1412" i="12" a="1"/>
  <c r="W1411" i="12" a="1"/>
  <c r="V1410" i="12" a="1"/>
  <c r="U1409" i="12" a="1"/>
  <c r="X1408" i="12" a="1"/>
  <c r="W1407" i="12" a="1"/>
  <c r="V1406" i="12" a="1"/>
  <c r="U1405" i="12" a="1"/>
  <c r="X1404" i="12" a="1"/>
  <c r="W1403" i="12" a="1"/>
  <c r="V1402" i="12" a="1"/>
  <c r="U1401" i="12" a="1"/>
  <c r="X1400" i="12" a="1"/>
  <c r="W1399" i="12" a="1"/>
  <c r="V1398" i="12" a="1"/>
  <c r="U1397" i="12" a="1"/>
  <c r="X1396" i="12" a="1"/>
  <c r="W1395" i="12" a="1"/>
  <c r="V1394" i="12" a="1"/>
  <c r="U1393" i="12" a="1"/>
  <c r="X1392" i="12" a="1"/>
  <c r="W1391" i="12" a="1"/>
  <c r="V1390" i="12" a="1"/>
  <c r="U1389" i="12" a="1"/>
  <c r="X1388" i="12" a="1"/>
  <c r="W1387" i="12" a="1"/>
  <c r="V1386" i="12" a="1"/>
  <c r="U1385" i="12" a="1"/>
  <c r="X1384" i="12" a="1"/>
  <c r="W1383" i="12" a="1"/>
  <c r="V1382" i="12" a="1"/>
  <c r="U1381" i="12" a="1"/>
  <c r="X1380" i="12" a="1"/>
  <c r="W1379" i="12" a="1"/>
  <c r="V1378" i="12" a="1"/>
  <c r="U1377" i="12" a="1"/>
  <c r="X1376" i="12" a="1"/>
  <c r="W1375" i="12" a="1"/>
  <c r="V1374" i="12" a="1"/>
  <c r="U1373" i="12" a="1"/>
  <c r="X1372" i="12" a="1"/>
  <c r="W1371" i="12" a="1"/>
  <c r="V1370" i="12" a="1"/>
  <c r="U1369" i="12" a="1"/>
  <c r="X1368" i="12" a="1"/>
  <c r="W1367" i="12" a="1"/>
  <c r="V1366" i="12" a="1"/>
  <c r="U1365" i="12" a="1"/>
  <c r="X1364" i="12" a="1"/>
  <c r="W1363" i="12" a="1"/>
  <c r="V1362" i="12" a="1"/>
  <c r="U1361" i="12" a="1"/>
  <c r="X1360" i="12" a="1"/>
  <c r="W1359" i="12" a="1"/>
  <c r="V1358" i="12" a="1"/>
  <c r="U1357" i="12" a="1"/>
  <c r="X1356" i="12" a="1"/>
  <c r="W1355" i="12" a="1"/>
  <c r="V1354" i="12" a="1"/>
  <c r="U1353" i="12" a="1"/>
  <c r="X1352" i="12" a="1"/>
  <c r="W1351" i="12" a="1"/>
  <c r="V1350" i="12" a="1"/>
  <c r="U1349" i="12" a="1"/>
  <c r="X1348" i="12" a="1"/>
  <c r="W1347" i="12" a="1"/>
  <c r="V1346" i="12" a="1"/>
  <c r="U1345" i="12" a="1"/>
  <c r="X1344" i="12" a="1"/>
  <c r="W1343" i="12" a="1"/>
  <c r="V1342" i="12" a="1"/>
  <c r="U1341" i="12" a="1"/>
  <c r="X1340" i="12" a="1"/>
  <c r="W1339" i="12" a="1"/>
  <c r="V1338" i="12" a="1"/>
  <c r="U1337" i="12" a="1"/>
  <c r="X1336" i="12" a="1"/>
  <c r="W1335" i="12" a="1"/>
  <c r="V1334" i="12" a="1"/>
  <c r="U1333" i="12" a="1"/>
  <c r="X1332" i="12" a="1"/>
  <c r="W1331" i="12" a="1"/>
  <c r="V1330" i="12" a="1"/>
  <c r="U1329" i="12" a="1"/>
  <c r="X1328" i="12" a="1"/>
  <c r="W1327" i="12" a="1"/>
  <c r="V1326" i="12" a="1"/>
  <c r="U1325" i="12" a="1"/>
  <c r="X1324" i="12" a="1"/>
  <c r="W1323" i="12" a="1"/>
  <c r="V1322" i="12" a="1"/>
  <c r="U1321" i="12" a="1"/>
  <c r="X1320" i="12" a="1"/>
  <c r="W1319" i="12" a="1"/>
  <c r="V1318" i="12" a="1"/>
  <c r="U1317" i="12" a="1"/>
  <c r="X1316" i="12" a="1"/>
  <c r="W1315" i="12" a="1"/>
  <c r="V1314" i="12" a="1"/>
  <c r="U1313" i="12" a="1"/>
  <c r="X1312" i="12" a="1"/>
  <c r="W1311" i="12" a="1"/>
  <c r="V1310" i="12" a="1"/>
  <c r="U1309" i="12" a="1"/>
  <c r="X1308" i="12" a="1"/>
  <c r="W1307" i="12" a="1"/>
  <c r="V1306" i="12" a="1"/>
  <c r="U1305" i="12" a="1"/>
  <c r="X1304" i="12" a="1"/>
  <c r="W1303" i="12" a="1"/>
  <c r="V1302" i="12" a="1"/>
  <c r="U1301" i="12" a="1"/>
  <c r="X1300" i="12" a="1"/>
  <c r="W1299" i="12" a="1"/>
  <c r="V1298" i="12" a="1"/>
  <c r="V1297" i="12" a="1"/>
  <c r="V1296" i="12" a="1"/>
  <c r="V1295" i="12" a="1"/>
  <c r="V1294" i="12" a="1"/>
  <c r="V1293" i="12" a="1"/>
  <c r="V1292" i="12" a="1"/>
  <c r="V1291" i="12" a="1"/>
  <c r="V1290" i="12" a="1"/>
  <c r="V1289" i="12" a="1"/>
  <c r="V1288" i="12" a="1"/>
  <c r="V1287" i="12" a="1"/>
  <c r="V1286" i="12" a="1"/>
  <c r="V1285" i="12" a="1"/>
  <c r="V1284" i="12" a="1"/>
  <c r="V1283" i="12" a="1"/>
  <c r="V1282" i="12" a="1"/>
  <c r="V1281" i="12" a="1"/>
  <c r="V1280" i="12" a="1"/>
  <c r="V1279" i="12" a="1"/>
  <c r="V1278" i="12" a="1"/>
  <c r="V1277" i="12" a="1"/>
  <c r="V1276" i="12" a="1"/>
  <c r="V1275" i="12" a="1"/>
  <c r="V1274" i="12" a="1"/>
  <c r="V1273" i="12" a="1"/>
  <c r="V1272" i="12" a="1"/>
  <c r="V1271" i="12" a="1"/>
  <c r="V1270" i="12" a="1"/>
  <c r="V1269" i="12" a="1"/>
  <c r="V1268" i="12" a="1"/>
  <c r="V1267" i="12" a="1"/>
  <c r="V1266" i="12" a="1"/>
  <c r="V1265" i="12" a="1"/>
  <c r="V1264" i="12" a="1"/>
  <c r="V1263" i="12" a="1"/>
  <c r="V1262" i="12" a="1"/>
  <c r="V1261" i="12" a="1"/>
  <c r="V1260" i="12" a="1"/>
  <c r="V1259" i="12" a="1"/>
  <c r="V1258" i="12" a="1"/>
  <c r="V1257" i="12" a="1"/>
  <c r="V1256" i="12" a="1"/>
  <c r="V1255" i="12" a="1"/>
  <c r="V1254" i="12" a="1"/>
  <c r="V1253" i="12" a="1"/>
  <c r="V1252" i="12" a="1"/>
  <c r="V1251" i="12" a="1"/>
  <c r="V1250" i="12" a="1"/>
  <c r="V1249" i="12" a="1"/>
  <c r="V1248" i="12" a="1"/>
  <c r="V1247" i="12" a="1"/>
  <c r="V1246" i="12" a="1"/>
  <c r="V1245" i="12" a="1"/>
  <c r="V1244" i="12" a="1"/>
  <c r="V1243" i="12" a="1"/>
  <c r="V1242" i="12" a="1"/>
  <c r="V1241" i="12" a="1"/>
  <c r="V1240" i="12" a="1"/>
  <c r="V1239" i="12" a="1"/>
  <c r="V1238" i="12" a="1"/>
  <c r="V1237" i="12" a="1"/>
  <c r="V1236" i="12" a="1"/>
  <c r="V1235" i="12" a="1"/>
  <c r="V1234" i="12" a="1"/>
  <c r="V1233" i="12" a="1"/>
  <c r="V1232" i="12" a="1"/>
  <c r="V1231" i="12" a="1"/>
  <c r="V1230" i="12" a="1"/>
  <c r="V1229" i="12" a="1"/>
  <c r="U1228" i="12" a="1"/>
  <c r="X1227" i="12" a="1"/>
  <c r="W1226" i="12" a="1"/>
  <c r="V1225" i="12" a="1"/>
  <c r="U1224" i="12" a="1"/>
  <c r="X1223" i="12" a="1"/>
  <c r="W1222" i="12" a="1"/>
  <c r="V1221" i="12" a="1"/>
  <c r="U1220" i="12" a="1"/>
  <c r="X1219" i="12" a="1"/>
  <c r="W1218" i="12" a="1"/>
  <c r="V1217" i="12" a="1"/>
  <c r="U1216" i="12" a="1"/>
  <c r="X1215" i="12" a="1"/>
  <c r="W1214" i="12" a="1"/>
  <c r="V1213" i="12" a="1"/>
  <c r="U1212" i="12" a="1"/>
  <c r="X1211" i="12" a="1"/>
  <c r="W1210" i="12" a="1"/>
  <c r="V1209" i="12" a="1"/>
  <c r="U1208" i="12" a="1"/>
  <c r="X1207" i="12" a="1"/>
  <c r="W1206" i="12" a="1"/>
  <c r="V1205" i="12" a="1"/>
  <c r="U1204" i="12" a="1"/>
  <c r="X1203" i="12" a="1"/>
  <c r="W1202" i="12" a="1"/>
  <c r="V1201" i="12" a="1"/>
  <c r="U1200" i="12" a="1"/>
  <c r="X1199" i="12" a="1"/>
  <c r="W1198" i="12" a="1"/>
  <c r="V1197" i="12" a="1"/>
  <c r="U1196" i="12" a="1"/>
  <c r="X1195" i="12" a="1"/>
  <c r="W1194" i="12" a="1"/>
  <c r="V1193" i="12" a="1"/>
  <c r="U1192" i="12" a="1"/>
  <c r="X1191" i="12" a="1"/>
  <c r="W1190" i="12" a="1"/>
  <c r="V1189" i="12" a="1"/>
  <c r="U1188" i="12" a="1"/>
  <c r="X1187" i="12" a="1"/>
  <c r="W1186" i="12" a="1"/>
  <c r="V1185" i="12" a="1"/>
  <c r="U1184" i="12" a="1"/>
  <c r="X1183" i="12" a="1"/>
  <c r="W1182" i="12" a="1"/>
  <c r="V1181" i="12" a="1"/>
  <c r="U1180" i="12" a="1"/>
  <c r="X1179" i="12" a="1"/>
  <c r="W1178" i="12" a="1"/>
  <c r="V1177" i="12" a="1"/>
  <c r="U1176" i="12" a="1"/>
  <c r="X1175" i="12" a="1"/>
  <c r="W1174" i="12" a="1"/>
  <c r="V1173" i="12" a="1"/>
  <c r="U1172" i="12" a="1"/>
  <c r="X1171" i="12" a="1"/>
  <c r="W1170" i="12" a="1"/>
  <c r="V1169" i="12" a="1"/>
  <c r="U1168" i="12" a="1"/>
  <c r="X1167" i="12" a="1"/>
  <c r="W1166" i="12" a="1"/>
  <c r="V1165" i="12" a="1"/>
  <c r="U1164" i="12" a="1"/>
  <c r="X1163" i="12" a="1"/>
  <c r="W1162" i="12" a="1"/>
  <c r="V1161" i="12" a="1"/>
  <c r="U1160" i="12" a="1"/>
  <c r="X1159" i="12" a="1"/>
  <c r="W1158" i="12" a="1"/>
  <c r="V1157" i="12" a="1"/>
  <c r="U1156" i="12" a="1"/>
  <c r="X1155" i="12" a="1"/>
  <c r="W1154" i="12" a="1"/>
  <c r="V1153" i="12" a="1"/>
  <c r="U1152" i="12" a="1"/>
  <c r="X1151" i="12" a="1"/>
  <c r="W1150" i="12" a="1"/>
  <c r="V1149" i="12" a="1"/>
  <c r="U1148" i="12" a="1"/>
  <c r="X1147" i="12" a="1"/>
  <c r="W1146" i="12" a="1"/>
  <c r="V1145" i="12" a="1"/>
  <c r="U1144" i="12" a="1"/>
  <c r="X1143" i="12" a="1"/>
  <c r="W1142" i="12" a="1"/>
  <c r="V1141" i="12" a="1"/>
  <c r="U1140" i="12" a="1"/>
  <c r="X1139" i="12" a="1"/>
  <c r="W1138" i="12" a="1"/>
  <c r="V1137" i="12" a="1"/>
  <c r="U1136" i="12" a="1"/>
  <c r="X1135" i="12" a="1"/>
  <c r="W1134" i="12" a="1"/>
  <c r="V1133" i="12" a="1"/>
  <c r="U1132" i="12" a="1"/>
  <c r="X1131" i="12" a="1"/>
  <c r="W1130" i="12" a="1"/>
  <c r="V1129" i="12" a="1"/>
  <c r="U1128" i="12" a="1"/>
  <c r="X1127" i="12" a="1"/>
  <c r="W1126" i="12" a="1"/>
  <c r="V1125" i="12" a="1"/>
  <c r="U1124" i="12" a="1"/>
  <c r="X1123" i="12" a="1"/>
  <c r="W1122" i="12" a="1"/>
  <c r="V1121" i="12" a="1"/>
  <c r="U1120" i="12" a="1"/>
  <c r="X1119" i="12" a="1"/>
  <c r="W1118" i="12" a="1"/>
  <c r="V1117" i="12" a="1"/>
  <c r="U1116" i="12" a="1"/>
  <c r="X1115" i="12" a="1"/>
  <c r="W1114" i="12" a="1"/>
  <c r="V1113" i="12" a="1"/>
  <c r="U1112" i="12" a="1"/>
  <c r="X1111" i="12" a="1"/>
  <c r="W1110" i="12" a="1"/>
  <c r="V1109" i="12" a="1"/>
  <c r="U1108" i="12" a="1"/>
  <c r="X1107" i="12" a="1"/>
  <c r="W1106" i="12" a="1"/>
  <c r="V1105" i="12" a="1"/>
  <c r="U1104" i="12" a="1"/>
  <c r="X1103" i="12" a="1"/>
  <c r="W1102" i="12" a="1"/>
  <c r="V1101" i="12" a="1"/>
  <c r="U1100" i="12" a="1"/>
  <c r="X1099" i="12" a="1"/>
  <c r="W1098" i="12" a="1"/>
  <c r="V1097" i="12" a="1"/>
  <c r="U1096" i="12" a="1"/>
  <c r="X1095" i="12" a="1"/>
  <c r="W1094" i="12" a="1"/>
  <c r="V1093" i="12" a="1"/>
  <c r="U1092" i="12" a="1"/>
  <c r="X1091" i="12" a="1"/>
  <c r="W1090" i="12" a="1"/>
  <c r="V1089" i="12" a="1"/>
  <c r="U1088" i="12" a="1"/>
  <c r="X1087" i="12" a="1"/>
  <c r="W1086" i="12" a="1"/>
  <c r="V1085" i="12" a="1"/>
  <c r="U1084" i="12" a="1"/>
  <c r="X1083" i="12" a="1"/>
  <c r="W1082" i="12" a="1"/>
  <c r="V1081" i="12" a="1"/>
  <c r="U1080" i="12" a="1"/>
  <c r="X1079" i="12" a="1"/>
  <c r="W1078" i="12" a="1"/>
  <c r="V1077" i="12" a="1"/>
  <c r="U1076" i="12" a="1"/>
  <c r="X1075" i="12" a="1"/>
  <c r="W1074" i="12" a="1"/>
  <c r="V1073" i="12" a="1"/>
  <c r="U1072" i="12" a="1"/>
  <c r="X1071" i="12" a="1"/>
  <c r="W1070" i="12" a="1"/>
  <c r="V1069" i="12" a="1"/>
  <c r="U1068" i="12" a="1"/>
  <c r="X1067" i="12" a="1"/>
  <c r="W1066" i="12" a="1"/>
  <c r="V1065" i="12" a="1"/>
  <c r="U1064" i="12" a="1"/>
  <c r="X1063" i="12" a="1"/>
  <c r="W1062" i="12" a="1"/>
  <c r="V1061" i="12" a="1"/>
  <c r="U1060" i="12" a="1"/>
  <c r="X1059" i="12" a="1"/>
  <c r="W1058" i="12" a="1"/>
  <c r="V1041" i="12" a="1"/>
  <c r="U1040" i="12" a="1"/>
  <c r="X1039" i="12" a="1"/>
  <c r="W1038" i="12" a="1"/>
  <c r="V1037" i="12" a="1"/>
  <c r="U1036" i="12" a="1"/>
  <c r="X1035" i="12" a="1"/>
  <c r="W1034" i="12" a="1"/>
  <c r="V1033" i="12" a="1"/>
  <c r="U1032" i="12" a="1"/>
  <c r="X1031" i="12" a="1"/>
  <c r="W1030" i="12" a="1"/>
  <c r="V1029" i="12" a="1"/>
  <c r="U1028" i="12" a="1"/>
  <c r="X1027" i="12" a="1"/>
  <c r="U1024" i="12" a="1"/>
  <c r="X1023" i="12" a="1"/>
  <c r="U1020" i="12" a="1"/>
  <c r="X1019" i="12" a="1"/>
  <c r="W1018" i="12" a="1"/>
  <c r="V1017" i="12" a="1"/>
  <c r="U1016" i="12" a="1"/>
  <c r="X1015" i="12" a="1"/>
  <c r="W1014" i="12" a="1"/>
  <c r="V1013" i="12" a="1"/>
  <c r="V1012" i="12" a="1"/>
  <c r="X1011" i="12" a="1"/>
  <c r="U1010" i="12" a="1"/>
  <c r="X1009" i="12" a="1"/>
  <c r="U1008" i="12" a="1"/>
  <c r="X1007" i="12" a="1"/>
  <c r="U1006" i="12" a="1"/>
  <c r="X1005" i="12" a="1"/>
  <c r="W1003" i="12" a="1"/>
  <c r="W1002" i="12" a="1"/>
  <c r="W999" i="12" a="1"/>
  <c r="W998" i="12" a="1"/>
  <c r="V996" i="12" a="1"/>
  <c r="U995" i="12" a="1"/>
  <c r="X994" i="12" a="1"/>
  <c r="U994" i="12" a="1"/>
  <c r="X993" i="12" a="1"/>
  <c r="W992" i="12" a="1"/>
  <c r="W991" i="12" a="1"/>
  <c r="W990" i="12" a="1"/>
  <c r="W989" i="12" a="1"/>
  <c r="W988" i="12" a="1"/>
  <c r="W987" i="12" a="1"/>
  <c r="V985" i="12" a="1"/>
  <c r="U984" i="12" a="1"/>
  <c r="X983" i="12" a="1"/>
  <c r="W982" i="12" a="1"/>
  <c r="W981" i="12" a="1"/>
  <c r="V980" i="12" a="1"/>
  <c r="V977" i="12" a="1"/>
  <c r="V976" i="12" a="1"/>
  <c r="V975" i="12" a="1"/>
  <c r="V974" i="12" a="1"/>
  <c r="V973" i="12" a="1"/>
  <c r="V972" i="12" a="1"/>
  <c r="U971" i="12" a="1"/>
  <c r="X970" i="12" a="1"/>
  <c r="U970" i="12" a="1"/>
  <c r="X969" i="12" a="1"/>
  <c r="W968" i="12" a="1"/>
  <c r="V967" i="12" a="1"/>
  <c r="V966" i="12" a="1"/>
  <c r="V965" i="12" a="1"/>
  <c r="U963" i="12" a="1"/>
  <c r="X962" i="12" a="1"/>
  <c r="U962" i="12" a="1"/>
  <c r="X961" i="12" a="1"/>
  <c r="W960" i="12" a="1"/>
  <c r="V959" i="12" a="1"/>
  <c r="U958" i="12" a="1"/>
  <c r="X957" i="12" a="1"/>
  <c r="U957" i="12" a="1"/>
  <c r="X956" i="12" a="1"/>
  <c r="U956" i="12" a="1"/>
  <c r="X955" i="12" a="1"/>
  <c r="U952" i="12" a="1"/>
  <c r="X951" i="12" a="1"/>
  <c r="U950" i="12" a="1"/>
  <c r="X949" i="12" a="1"/>
  <c r="W948" i="12" a="1"/>
  <c r="W947" i="12" a="1"/>
  <c r="W946" i="12" a="1"/>
  <c r="V945" i="12" a="1"/>
  <c r="U944" i="12" a="1"/>
  <c r="X943" i="12" a="1"/>
  <c r="W942" i="12" a="1"/>
  <c r="V941" i="12" a="1"/>
  <c r="V940" i="12" a="1"/>
  <c r="U939" i="12" a="1"/>
  <c r="X938" i="12" a="1"/>
  <c r="U938" i="12" a="1"/>
  <c r="X937" i="12" a="1"/>
  <c r="W936" i="12" a="1"/>
  <c r="V935" i="12" a="1"/>
  <c r="U934" i="12" a="1"/>
  <c r="X933" i="12" a="1"/>
  <c r="W931" i="12" a="1"/>
  <c r="W930" i="12" a="1"/>
  <c r="V929" i="12" a="1"/>
  <c r="U928" i="12" a="1"/>
  <c r="X927" i="12" a="1"/>
  <c r="W926" i="12" a="1"/>
  <c r="V925" i="12" a="1"/>
  <c r="V924" i="12" a="1"/>
  <c r="U923" i="12" a="1"/>
  <c r="X922" i="12" a="1"/>
  <c r="U922" i="12" a="1"/>
  <c r="X921" i="12" a="1"/>
  <c r="W920" i="12" a="1"/>
  <c r="V919" i="12" a="1"/>
  <c r="U918" i="12" a="1"/>
  <c r="X917" i="12" a="1"/>
  <c r="W915" i="12" a="1"/>
  <c r="W914" i="12" a="1"/>
  <c r="V913" i="12" a="1"/>
  <c r="U912" i="12" a="1"/>
  <c r="X911" i="12" a="1"/>
  <c r="W910" i="12" a="1"/>
  <c r="V909" i="12" a="1"/>
  <c r="V908" i="12" a="1"/>
  <c r="U907" i="12" a="1"/>
  <c r="X906" i="12" a="1"/>
  <c r="U906" i="12" a="1"/>
  <c r="X905" i="12" a="1"/>
  <c r="W904" i="12" a="1"/>
  <c r="V903" i="12" a="1"/>
  <c r="U902" i="12" a="1"/>
  <c r="X901" i="12" a="1"/>
  <c r="W899" i="12" a="1"/>
  <c r="W898" i="12" a="1"/>
  <c r="V897" i="12" a="1"/>
  <c r="U896" i="12" a="1"/>
  <c r="X895" i="12" a="1"/>
  <c r="W894" i="12" a="1"/>
  <c r="V893" i="12" a="1"/>
  <c r="V892" i="12" a="1"/>
  <c r="U891" i="12" a="1"/>
  <c r="X890" i="12" a="1"/>
  <c r="U890" i="12" a="1"/>
  <c r="X889" i="12" a="1"/>
  <c r="W888" i="12" a="1"/>
  <c r="V887" i="12" a="1"/>
  <c r="U886" i="12" a="1"/>
  <c r="X885" i="12" a="1"/>
  <c r="W883" i="12" a="1"/>
  <c r="W882" i="12" a="1"/>
  <c r="W881" i="12" a="1"/>
  <c r="W880" i="12" a="1"/>
  <c r="W879" i="12" a="1"/>
  <c r="W878" i="12" a="1"/>
  <c r="W877" i="12" a="1"/>
  <c r="W876" i="12" a="1"/>
  <c r="W875" i="12" a="1"/>
  <c r="W874" i="12" a="1"/>
  <c r="W873" i="12" a="1"/>
  <c r="W872" i="12" a="1"/>
  <c r="W871" i="12" a="1"/>
  <c r="W870" i="12" a="1"/>
  <c r="W869" i="12" a="1"/>
  <c r="W868" i="12" a="1"/>
  <c r="W867" i="12" a="1"/>
  <c r="W866" i="12" a="1"/>
  <c r="W865" i="12" a="1"/>
  <c r="W864" i="12" a="1"/>
  <c r="W863" i="12" a="1"/>
  <c r="W862" i="12" a="1"/>
  <c r="W861" i="12" a="1"/>
  <c r="W860" i="12" a="1"/>
  <c r="W859" i="12" a="1"/>
  <c r="W858" i="12" a="1"/>
  <c r="W857" i="12" a="1"/>
  <c r="V856" i="12" a="1"/>
  <c r="U855" i="12" a="1"/>
  <c r="X854" i="12" a="1"/>
  <c r="W853" i="12" a="1"/>
  <c r="V852" i="12" a="1"/>
  <c r="U851" i="12" a="1"/>
  <c r="X850" i="12" a="1"/>
  <c r="W849" i="12" a="1"/>
  <c r="V848" i="12" a="1"/>
  <c r="U847" i="12" a="1"/>
  <c r="X846" i="12" a="1"/>
  <c r="W845" i="12" a="1"/>
  <c r="V844" i="12" a="1"/>
  <c r="U843" i="12" a="1"/>
  <c r="X842" i="12" a="1"/>
  <c r="W841" i="12" a="1"/>
  <c r="V840" i="12" a="1"/>
  <c r="U839" i="12" a="1"/>
  <c r="X838" i="12" a="1"/>
  <c r="W837" i="12" a="1"/>
  <c r="V836" i="12" a="1"/>
  <c r="U835" i="12" a="1"/>
  <c r="X834" i="12" a="1"/>
  <c r="W833" i="12" a="1"/>
  <c r="V832" i="12" a="1"/>
  <c r="U831" i="12" a="1"/>
  <c r="X830" i="12" a="1"/>
  <c r="W829" i="12" a="1"/>
  <c r="V828" i="12" a="1"/>
  <c r="U827" i="12" a="1"/>
  <c r="X826" i="12" a="1"/>
  <c r="W825" i="12" a="1"/>
  <c r="V824" i="12" a="1"/>
  <c r="U823" i="12" a="1"/>
  <c r="X822" i="12" a="1"/>
  <c r="W821" i="12" a="1"/>
  <c r="V820" i="12" a="1"/>
  <c r="U819" i="12" a="1"/>
  <c r="X818" i="12" a="1"/>
  <c r="W817" i="12" a="1"/>
  <c r="V816" i="12" a="1"/>
  <c r="U815" i="12" a="1"/>
  <c r="X814" i="12" a="1"/>
  <c r="W813" i="12" a="1"/>
  <c r="V812" i="12" a="1"/>
  <c r="U811" i="12" a="1"/>
  <c r="X810" i="12" a="1"/>
  <c r="W809" i="12" a="1"/>
  <c r="V808" i="12" a="1"/>
  <c r="U807" i="12" a="1"/>
  <c r="X806" i="12" a="1"/>
  <c r="W805" i="12" a="1"/>
  <c r="V804" i="12" a="1"/>
  <c r="U803" i="12" a="1"/>
  <c r="X802" i="12" a="1"/>
  <c r="W801" i="12" a="1"/>
  <c r="V800" i="12" a="1"/>
  <c r="U799" i="12" a="1"/>
  <c r="X798" i="12" a="1"/>
  <c r="W797" i="12" a="1"/>
  <c r="V796" i="12" a="1"/>
  <c r="U795" i="12" a="1"/>
  <c r="X794" i="12" a="1"/>
  <c r="W793" i="12" a="1"/>
  <c r="V792" i="12" a="1"/>
  <c r="U791" i="12" a="1"/>
  <c r="X790" i="12" a="1"/>
  <c r="W789" i="12" a="1"/>
  <c r="V788" i="12" a="1"/>
  <c r="U787" i="12" a="1"/>
  <c r="X786" i="12" a="1"/>
  <c r="W785" i="12" a="1"/>
  <c r="V784" i="12" a="1"/>
  <c r="U783" i="12" a="1"/>
  <c r="X782" i="12" a="1"/>
  <c r="W781" i="12" a="1"/>
  <c r="V780" i="12" a="1"/>
  <c r="U779" i="12" a="1"/>
  <c r="X778" i="12" a="1"/>
  <c r="W777" i="12" a="1"/>
  <c r="V776" i="12" a="1"/>
  <c r="U775" i="12" a="1"/>
  <c r="X774" i="12" a="1"/>
  <c r="W773" i="12" a="1"/>
  <c r="V772" i="12" a="1"/>
  <c r="U771" i="12" a="1"/>
  <c r="X770" i="12" a="1"/>
  <c r="W769" i="12" a="1"/>
  <c r="V768" i="12" a="1"/>
  <c r="U767" i="12" a="1"/>
  <c r="X766" i="12" a="1"/>
  <c r="W765" i="12" a="1"/>
  <c r="V764" i="12" a="1"/>
  <c r="U763" i="12" a="1"/>
  <c r="X762" i="12" a="1"/>
  <c r="W761" i="12" a="1"/>
  <c r="V760" i="12" a="1"/>
  <c r="U759" i="12" a="1"/>
  <c r="X758" i="12" a="1"/>
  <c r="W757" i="12" a="1"/>
  <c r="V756" i="12" a="1"/>
  <c r="U755" i="12" a="1"/>
  <c r="X754" i="12" a="1"/>
  <c r="W753" i="12" a="1"/>
  <c r="V752" i="12" a="1"/>
  <c r="U751" i="12" a="1"/>
  <c r="X750" i="12" a="1"/>
  <c r="W749" i="12" a="1"/>
  <c r="V748" i="12" a="1"/>
  <c r="U747" i="12" a="1"/>
  <c r="X746" i="12" a="1"/>
  <c r="W745" i="12" a="1"/>
  <c r="V744" i="12" a="1"/>
  <c r="U743" i="12" a="1"/>
  <c r="X742" i="12" a="1"/>
  <c r="W741" i="12" a="1"/>
  <c r="V740" i="12" a="1"/>
  <c r="U739" i="12" a="1"/>
  <c r="X738" i="12" a="1"/>
  <c r="W737" i="12" a="1"/>
  <c r="V736" i="12" a="1"/>
  <c r="U735" i="12" a="1"/>
  <c r="X734" i="12" a="1"/>
  <c r="W733" i="12" a="1"/>
  <c r="V732" i="12" a="1"/>
  <c r="U731" i="12" a="1"/>
  <c r="X730" i="12" a="1"/>
  <c r="W729" i="12" a="1"/>
  <c r="V728" i="12" a="1"/>
  <c r="U727" i="12" a="1"/>
  <c r="X726" i="12" a="1"/>
  <c r="W725" i="12" a="1"/>
  <c r="V724" i="12" a="1"/>
  <c r="U723" i="12" a="1"/>
  <c r="X722" i="12" a="1"/>
  <c r="W721" i="12" a="1"/>
  <c r="V720" i="12" a="1"/>
  <c r="U719" i="12" a="1"/>
  <c r="X718" i="12" a="1"/>
  <c r="W717" i="12" a="1"/>
  <c r="V716" i="12" a="1"/>
  <c r="U715" i="12" a="1"/>
  <c r="X714" i="12" a="1"/>
  <c r="W713" i="12" a="1"/>
  <c r="V712" i="12" a="1"/>
  <c r="U711" i="12" a="1"/>
  <c r="X710" i="12" a="1"/>
  <c r="W709" i="12" a="1"/>
  <c r="V708" i="12" a="1"/>
  <c r="U707" i="12" a="1"/>
  <c r="X706" i="12" a="1"/>
  <c r="W705" i="12" a="1"/>
  <c r="V704" i="12" a="1"/>
  <c r="U703" i="12" a="1"/>
  <c r="X702" i="12" a="1"/>
  <c r="W701" i="12" a="1"/>
  <c r="V700" i="12" a="1"/>
  <c r="U699" i="12" a="1"/>
  <c r="X698" i="12" a="1"/>
  <c r="W697" i="12" a="1"/>
  <c r="V696" i="12" a="1"/>
  <c r="U695" i="12" a="1"/>
  <c r="X694" i="12" a="1"/>
  <c r="W693" i="12" a="1"/>
  <c r="V692" i="12" a="1"/>
  <c r="U691" i="12" a="1"/>
  <c r="X690" i="12" a="1"/>
  <c r="W689" i="12" a="1"/>
  <c r="V688" i="12" a="1"/>
  <c r="U687" i="12" a="1"/>
  <c r="X686" i="12" a="1"/>
  <c r="W685" i="12" a="1"/>
  <c r="V684" i="12" a="1"/>
  <c r="U683" i="12" a="1"/>
  <c r="X682" i="12" a="1"/>
  <c r="W681" i="12" a="1"/>
  <c r="V680" i="12" a="1"/>
  <c r="U679" i="12" a="1"/>
  <c r="X678" i="12" a="1"/>
  <c r="W677" i="12" a="1"/>
  <c r="V676" i="12" a="1"/>
  <c r="U675" i="12" a="1"/>
  <c r="X674" i="12" a="1"/>
  <c r="W673" i="12" a="1"/>
  <c r="V672" i="12" a="1"/>
  <c r="U671" i="12" a="1"/>
  <c r="X670" i="12" a="1"/>
  <c r="W669" i="12" a="1"/>
  <c r="V668" i="12" a="1"/>
  <c r="U667" i="12" a="1"/>
  <c r="X666" i="12" a="1"/>
  <c r="W665" i="12" a="1"/>
  <c r="V664" i="12" a="1"/>
  <c r="U663" i="12" a="1"/>
  <c r="X662" i="12" a="1"/>
  <c r="W661" i="12" a="1"/>
  <c r="V660" i="12" a="1"/>
  <c r="U659" i="12" a="1"/>
  <c r="X658" i="12" a="1"/>
  <c r="W657" i="12" a="1"/>
  <c r="V656" i="12" a="1"/>
  <c r="U655" i="12" a="1"/>
  <c r="X654" i="12" a="1"/>
  <c r="W653" i="12" a="1"/>
  <c r="V652" i="12" a="1"/>
  <c r="U651" i="12" a="1"/>
  <c r="X650" i="12" a="1"/>
  <c r="W649" i="12" a="1"/>
  <c r="V648" i="12" a="1"/>
  <c r="U647" i="12" a="1"/>
  <c r="X646" i="12" a="1"/>
  <c r="W645" i="12" a="1"/>
  <c r="V644" i="12" a="1"/>
  <c r="U643" i="12" a="1"/>
  <c r="X642" i="12" a="1"/>
  <c r="W641" i="12" a="1"/>
  <c r="V640" i="12" a="1"/>
  <c r="U639" i="12" a="1"/>
  <c r="X638" i="12" a="1"/>
  <c r="W637" i="12" a="1"/>
  <c r="V636" i="12" a="1"/>
  <c r="U635" i="12" a="1"/>
  <c r="X634" i="12" a="1"/>
  <c r="W633" i="12" a="1"/>
  <c r="V632" i="12" a="1"/>
  <c r="U631" i="12" a="1"/>
  <c r="X630" i="12" a="1"/>
  <c r="W629" i="12" a="1"/>
  <c r="V628" i="12" a="1"/>
  <c r="U627" i="12" a="1"/>
  <c r="X626" i="12" a="1"/>
  <c r="W625" i="12" a="1"/>
  <c r="W624" i="12" a="1"/>
  <c r="W623" i="12" a="1"/>
  <c r="W622" i="12" a="1"/>
  <c r="X621" i="12" a="1"/>
  <c r="U620" i="12" a="1"/>
  <c r="X619" i="12" a="1"/>
  <c r="X618" i="12" a="1"/>
  <c r="U618" i="12" a="1"/>
  <c r="U617" i="12" a="1"/>
  <c r="X616" i="12" a="1"/>
  <c r="U615" i="12" a="1"/>
  <c r="V614" i="12" a="1"/>
  <c r="V613" i="12" a="1"/>
  <c r="V612" i="12" a="1"/>
  <c r="V611" i="12" a="1"/>
  <c r="W609" i="12" a="1"/>
  <c r="W608" i="12" a="1"/>
  <c r="W607" i="12" a="1"/>
  <c r="W606" i="12" a="1"/>
  <c r="X605" i="12" a="1"/>
  <c r="U604" i="12" a="1"/>
  <c r="X603" i="12" a="1"/>
  <c r="X602" i="12" a="1"/>
  <c r="U602" i="12" a="1"/>
  <c r="U601" i="12" a="1"/>
  <c r="X600" i="12" a="1"/>
  <c r="W597" i="12" a="1"/>
  <c r="W596" i="12" a="1"/>
  <c r="W595" i="12" a="1"/>
  <c r="X594" i="12" a="1"/>
  <c r="U594" i="12" a="1"/>
  <c r="U593" i="12" a="1"/>
  <c r="X592" i="12" a="1"/>
  <c r="W589" i="12" a="1"/>
  <c r="W588" i="12" a="1"/>
  <c r="W587" i="12" a="1"/>
  <c r="X586" i="12" a="1"/>
  <c r="U586" i="12" a="1"/>
  <c r="U585" i="12" a="1"/>
  <c r="X584" i="12" a="1"/>
  <c r="W581" i="12" a="1"/>
  <c r="W580" i="12" a="1"/>
  <c r="W579" i="12" a="1"/>
  <c r="X578" i="12" a="1"/>
  <c r="U578" i="12" a="1"/>
  <c r="U577" i="12" a="1"/>
  <c r="X576" i="12" a="1"/>
  <c r="W573" i="12" a="1"/>
  <c r="W572" i="12" a="1"/>
  <c r="W571" i="12" a="1"/>
  <c r="X570" i="12" a="1"/>
  <c r="U570" i="12" a="1"/>
  <c r="U569" i="12" a="1"/>
  <c r="X568" i="12" a="1"/>
  <c r="W565" i="12" a="1"/>
  <c r="W564" i="12" a="1"/>
  <c r="W563" i="12" a="1"/>
  <c r="X562" i="12" a="1"/>
  <c r="U562" i="12" a="1"/>
  <c r="X561" i="12" a="1"/>
  <c r="U561" i="12" a="1"/>
  <c r="X560" i="12" a="1"/>
  <c r="W559" i="12" a="1"/>
  <c r="W558" i="12" a="1"/>
  <c r="W556" i="12" a="1"/>
  <c r="W555" i="12" a="1"/>
  <c r="W554" i="12" a="1"/>
  <c r="W553" i="12" a="1"/>
  <c r="W552" i="12" a="1"/>
  <c r="V551" i="12" a="1"/>
  <c r="V550" i="12" a="1"/>
  <c r="V549" i="12" a="1"/>
  <c r="V548" i="12" a="1"/>
  <c r="V547" i="12" a="1"/>
  <c r="U1027" i="12" a="1"/>
  <c r="X1026" i="12" a="1"/>
  <c r="U1023" i="12" a="1"/>
  <c r="X1022" i="12" a="1"/>
  <c r="V1011" i="12" a="1"/>
  <c r="V1009" i="12" a="1"/>
  <c r="V1007" i="12" a="1"/>
  <c r="V1005" i="12" a="1"/>
  <c r="V1002" i="12" a="1"/>
  <c r="V1001" i="12" a="1"/>
  <c r="V998" i="12" a="1"/>
  <c r="V997" i="12" a="1"/>
  <c r="U996" i="12" a="1"/>
  <c r="X995" i="12" a="1"/>
  <c r="W994" i="12" a="1"/>
  <c r="W993" i="12" a="1"/>
  <c r="V987" i="12" a="1"/>
  <c r="V986" i="12" a="1"/>
  <c r="U985" i="12" a="1"/>
  <c r="X984" i="12" a="1"/>
  <c r="W983" i="12" a="1"/>
  <c r="V982" i="12" a="1"/>
  <c r="V981" i="12" a="1"/>
  <c r="U980" i="12" a="1"/>
  <c r="V979" i="12" a="1"/>
  <c r="V978" i="12" a="1"/>
  <c r="U977" i="12" a="1"/>
  <c r="X976" i="12" a="1"/>
  <c r="U976" i="12" a="1"/>
  <c r="X975" i="12" a="1"/>
  <c r="U975" i="12" a="1"/>
  <c r="X974" i="12" a="1"/>
  <c r="U974" i="12" a="1"/>
  <c r="X973" i="12" a="1"/>
  <c r="U973" i="12" a="1"/>
  <c r="X972" i="12" a="1"/>
  <c r="U972" i="12" a="1"/>
  <c r="X971" i="12" a="1"/>
  <c r="W970" i="12" a="1"/>
  <c r="W969" i="12" a="1"/>
  <c r="V968" i="12" a="1"/>
  <c r="U967" i="12" a="1"/>
  <c r="X966" i="12" a="1"/>
  <c r="U965" i="12" a="1"/>
  <c r="X964" i="12" a="1"/>
  <c r="U964" i="12" a="1"/>
  <c r="X963" i="12" a="1"/>
  <c r="W962" i="12" a="1"/>
  <c r="W961" i="12" a="1"/>
  <c r="V960" i="12" a="1"/>
  <c r="U959" i="12" a="1"/>
  <c r="X958" i="12" a="1"/>
  <c r="W955" i="12" a="1"/>
  <c r="W954" i="12" a="1"/>
  <c r="W953" i="12" a="1"/>
  <c r="W952" i="12" a="1"/>
  <c r="W951" i="12" a="1"/>
  <c r="W950" i="12" a="1"/>
  <c r="W949" i="12" a="1"/>
  <c r="V948" i="12" a="1"/>
  <c r="V947" i="12" a="1"/>
  <c r="V946" i="12" a="1"/>
  <c r="U945" i="12" a="1"/>
  <c r="X944" i="12" a="1"/>
  <c r="W943" i="12" a="1"/>
  <c r="V942" i="12" a="1"/>
  <c r="U941" i="12" a="1"/>
  <c r="X940" i="12" a="1"/>
  <c r="U940" i="12" a="1"/>
  <c r="X939" i="12" a="1"/>
  <c r="W937" i="12" a="1"/>
  <c r="V936" i="12" a="1"/>
  <c r="U935" i="12" a="1"/>
  <c r="X934" i="12" a="1"/>
  <c r="W933" i="12" a="1"/>
  <c r="W932" i="12" a="1"/>
  <c r="V931" i="12" a="1"/>
  <c r="V930" i="12" a="1"/>
  <c r="U929" i="12" a="1"/>
  <c r="X928" i="12" a="1"/>
  <c r="W927" i="12" a="1"/>
  <c r="V926" i="12" a="1"/>
  <c r="U925" i="12" a="1"/>
  <c r="X924" i="12" a="1"/>
  <c r="U924" i="12" a="1"/>
  <c r="X923" i="12" a="1"/>
  <c r="W921" i="12" a="1"/>
  <c r="V920" i="12" a="1"/>
  <c r="U919" i="12" a="1"/>
  <c r="X918" i="12" a="1"/>
  <c r="W917" i="12" a="1"/>
  <c r="W916" i="12" a="1"/>
  <c r="V915" i="12" a="1"/>
  <c r="V914" i="12" a="1"/>
  <c r="U913" i="12" a="1"/>
  <c r="X912" i="12" a="1"/>
  <c r="W911" i="12" a="1"/>
  <c r="V910" i="12" a="1"/>
  <c r="U909" i="12" a="1"/>
  <c r="X908" i="12" a="1"/>
  <c r="U908" i="12" a="1"/>
  <c r="X907" i="12" a="1"/>
  <c r="W905" i="12" a="1"/>
  <c r="V904" i="12" a="1"/>
  <c r="U903" i="12" a="1"/>
  <c r="X902" i="12" a="1"/>
  <c r="W901" i="12" a="1"/>
  <c r="W900" i="12" a="1"/>
  <c r="V899" i="12" a="1"/>
  <c r="V898" i="12" a="1"/>
  <c r="U897" i="12" a="1"/>
  <c r="X896" i="12" a="1"/>
  <c r="W895" i="12" a="1"/>
  <c r="V894" i="12" a="1"/>
  <c r="U893" i="12" a="1"/>
  <c r="X892" i="12" a="1"/>
  <c r="U892" i="12" a="1"/>
  <c r="X891" i="12" a="1"/>
  <c r="W889" i="12" a="1"/>
  <c r="V888" i="12" a="1"/>
  <c r="U887" i="12" a="1"/>
  <c r="X886" i="12" a="1"/>
  <c r="W885" i="12" a="1"/>
  <c r="W884" i="12" a="1"/>
  <c r="V883" i="12" a="1"/>
  <c r="V882" i="12" a="1"/>
  <c r="V881" i="12" a="1"/>
  <c r="V880" i="12" a="1"/>
  <c r="V879" i="12" a="1"/>
  <c r="V878" i="12" a="1"/>
  <c r="V877" i="12" a="1"/>
  <c r="V876" i="12" a="1"/>
  <c r="V875" i="12" a="1"/>
  <c r="V874" i="12" a="1"/>
  <c r="V873" i="12" a="1"/>
  <c r="V872" i="12" a="1"/>
  <c r="V871" i="12" a="1"/>
  <c r="V870" i="12" a="1"/>
  <c r="V869" i="12" a="1"/>
  <c r="V868" i="12" a="1"/>
  <c r="V867" i="12" a="1"/>
  <c r="V866" i="12" a="1"/>
  <c r="V865" i="12" a="1"/>
  <c r="V864" i="12" a="1"/>
  <c r="V863" i="12" a="1"/>
  <c r="V862" i="12" a="1"/>
  <c r="V861" i="12" a="1"/>
  <c r="V860" i="12" a="1"/>
  <c r="V859" i="12" a="1"/>
  <c r="V858" i="12" a="1"/>
  <c r="V857" i="12" a="1"/>
  <c r="U856" i="12" a="1"/>
  <c r="X855" i="12" a="1"/>
  <c r="W854" i="12" a="1"/>
  <c r="V853" i="12" a="1"/>
  <c r="U852" i="12" a="1"/>
  <c r="X851" i="12" a="1"/>
  <c r="W850" i="12" a="1"/>
  <c r="V849" i="12" a="1"/>
  <c r="U848" i="12" a="1"/>
  <c r="X847" i="12" a="1"/>
  <c r="W846" i="12" a="1"/>
  <c r="V845" i="12" a="1"/>
  <c r="U844" i="12" a="1"/>
  <c r="X843" i="12" a="1"/>
  <c r="W842" i="12" a="1"/>
  <c r="V841" i="12" a="1"/>
  <c r="U840" i="12" a="1"/>
  <c r="X839" i="12" a="1"/>
  <c r="W838" i="12" a="1"/>
  <c r="V837" i="12" a="1"/>
  <c r="U836" i="12" a="1"/>
  <c r="X835" i="12" a="1"/>
  <c r="W834" i="12" a="1"/>
  <c r="V833" i="12" a="1"/>
  <c r="U832" i="12" a="1"/>
  <c r="X831" i="12" a="1"/>
  <c r="W830" i="12" a="1"/>
  <c r="V829" i="12" a="1"/>
  <c r="U828" i="12" a="1"/>
  <c r="X827" i="12" a="1"/>
  <c r="W826" i="12" a="1"/>
  <c r="V825" i="12" a="1"/>
  <c r="U824" i="12" a="1"/>
  <c r="X823" i="12" a="1"/>
  <c r="W822" i="12" a="1"/>
  <c r="V821" i="12" a="1"/>
  <c r="U820" i="12" a="1"/>
  <c r="X819" i="12" a="1"/>
  <c r="W818" i="12" a="1"/>
  <c r="V817" i="12" a="1"/>
  <c r="U816" i="12" a="1"/>
  <c r="X815" i="12" a="1"/>
  <c r="W814" i="12" a="1"/>
  <c r="V813" i="12" a="1"/>
  <c r="U812" i="12" a="1"/>
  <c r="X811" i="12" a="1"/>
  <c r="W810" i="12" a="1"/>
  <c r="V809" i="12" a="1"/>
  <c r="U808" i="12" a="1"/>
  <c r="X807" i="12" a="1"/>
  <c r="W806" i="12" a="1"/>
  <c r="V805" i="12" a="1"/>
  <c r="U804" i="12" a="1"/>
  <c r="X803" i="12" a="1"/>
  <c r="W802" i="12" a="1"/>
  <c r="V801" i="12" a="1"/>
  <c r="U800" i="12" a="1"/>
  <c r="X799" i="12" a="1"/>
  <c r="W798" i="12" a="1"/>
  <c r="V797" i="12" a="1"/>
  <c r="U796" i="12" a="1"/>
  <c r="X795" i="12" a="1"/>
  <c r="W794" i="12" a="1"/>
  <c r="V793" i="12" a="1"/>
  <c r="U792" i="12" a="1"/>
  <c r="X791" i="12" a="1"/>
  <c r="W790" i="12" a="1"/>
  <c r="V789" i="12" a="1"/>
  <c r="U788" i="12" a="1"/>
  <c r="X787" i="12" a="1"/>
  <c r="W786" i="12" a="1"/>
  <c r="V785" i="12" a="1"/>
  <c r="U784" i="12" a="1"/>
  <c r="X783" i="12" a="1"/>
  <c r="W782" i="12" a="1"/>
  <c r="V781" i="12" a="1"/>
  <c r="U780" i="12" a="1"/>
  <c r="X779" i="12" a="1"/>
  <c r="W778" i="12" a="1"/>
  <c r="V777" i="12" a="1"/>
  <c r="U776" i="12" a="1"/>
  <c r="X775" i="12" a="1"/>
  <c r="W774" i="12" a="1"/>
  <c r="V773" i="12" a="1"/>
  <c r="U772" i="12" a="1"/>
  <c r="X771" i="12" a="1"/>
  <c r="W770" i="12" a="1"/>
  <c r="V769" i="12" a="1"/>
  <c r="U768" i="12" a="1"/>
  <c r="X767" i="12" a="1"/>
  <c r="W766" i="12" a="1"/>
  <c r="V765" i="12" a="1"/>
  <c r="U764" i="12" a="1"/>
  <c r="X763" i="12" a="1"/>
  <c r="W762" i="12" a="1"/>
  <c r="V761" i="12" a="1"/>
  <c r="U760" i="12" a="1"/>
  <c r="X759" i="12" a="1"/>
  <c r="W758" i="12" a="1"/>
  <c r="V757" i="12" a="1"/>
  <c r="U756" i="12" a="1"/>
  <c r="X755" i="12" a="1"/>
  <c r="W754" i="12" a="1"/>
  <c r="V753" i="12" a="1"/>
  <c r="U752" i="12" a="1"/>
  <c r="X751" i="12" a="1"/>
  <c r="W750" i="12" a="1"/>
  <c r="V749" i="12" a="1"/>
  <c r="U748" i="12" a="1"/>
  <c r="X747" i="12" a="1"/>
  <c r="W746" i="12" a="1"/>
  <c r="V745" i="12" a="1"/>
  <c r="U744" i="12" a="1"/>
  <c r="X743" i="12" a="1"/>
  <c r="W742" i="12" a="1"/>
  <c r="V741" i="12" a="1"/>
  <c r="U740" i="12" a="1"/>
  <c r="X739" i="12" a="1"/>
  <c r="W738" i="12" a="1"/>
  <c r="V737" i="12" a="1"/>
  <c r="U736" i="12" a="1"/>
  <c r="X735" i="12" a="1"/>
  <c r="W734" i="12" a="1"/>
  <c r="V733" i="12" a="1"/>
  <c r="U732" i="12" a="1"/>
  <c r="X731" i="12" a="1"/>
  <c r="W730" i="12" a="1"/>
  <c r="V729" i="12" a="1"/>
  <c r="U728" i="12" a="1"/>
  <c r="X727" i="12" a="1"/>
  <c r="W726" i="12" a="1"/>
  <c r="V725" i="12" a="1"/>
  <c r="U724" i="12" a="1"/>
  <c r="X723" i="12" a="1"/>
  <c r="W722" i="12" a="1"/>
  <c r="V721" i="12" a="1"/>
  <c r="U720" i="12" a="1"/>
  <c r="X719" i="12" a="1"/>
  <c r="W718" i="12" a="1"/>
  <c r="V717" i="12" a="1"/>
  <c r="U716" i="12" a="1"/>
  <c r="X715" i="12" a="1"/>
  <c r="W714" i="12" a="1"/>
  <c r="V713" i="12" a="1"/>
  <c r="U712" i="12" a="1"/>
  <c r="X711" i="12" a="1"/>
  <c r="W710" i="12" a="1"/>
  <c r="V709" i="12" a="1"/>
  <c r="U708" i="12" a="1"/>
  <c r="X707" i="12" a="1"/>
  <c r="W706" i="12" a="1"/>
  <c r="V705" i="12" a="1"/>
  <c r="U704" i="12" a="1"/>
  <c r="X703" i="12" a="1"/>
  <c r="W702" i="12" a="1"/>
  <c r="V701" i="12" a="1"/>
  <c r="U700" i="12" a="1"/>
  <c r="X699" i="12" a="1"/>
  <c r="W698" i="12" a="1"/>
  <c r="V697" i="12" a="1"/>
  <c r="U696" i="12" a="1"/>
  <c r="X695" i="12" a="1"/>
  <c r="W694" i="12" a="1"/>
  <c r="V693" i="12" a="1"/>
  <c r="U692" i="12" a="1"/>
  <c r="X691" i="12" a="1"/>
  <c r="W690" i="12" a="1"/>
  <c r="V689" i="12" a="1"/>
  <c r="U688" i="12" a="1"/>
  <c r="X687" i="12" a="1"/>
  <c r="W686" i="12" a="1"/>
  <c r="V685" i="12" a="1"/>
  <c r="U684" i="12" a="1"/>
  <c r="X683" i="12" a="1"/>
  <c r="W682" i="12" a="1"/>
  <c r="V681" i="12" a="1"/>
  <c r="U680" i="12" a="1"/>
  <c r="X679" i="12" a="1"/>
  <c r="W678" i="12" a="1"/>
  <c r="V677" i="12" a="1"/>
  <c r="U676" i="12" a="1"/>
  <c r="X675" i="12" a="1"/>
  <c r="W674" i="12" a="1"/>
  <c r="V673" i="12" a="1"/>
  <c r="U672" i="12" a="1"/>
  <c r="X671" i="12" a="1"/>
  <c r="W670" i="12" a="1"/>
  <c r="V669" i="12" a="1"/>
  <c r="U668" i="12" a="1"/>
  <c r="X667" i="12" a="1"/>
  <c r="W666" i="12" a="1"/>
  <c r="V665" i="12" a="1"/>
  <c r="U664" i="12" a="1"/>
  <c r="X663" i="12" a="1"/>
  <c r="W662" i="12" a="1"/>
  <c r="V661" i="12" a="1"/>
  <c r="U660" i="12" a="1"/>
  <c r="X659" i="12" a="1"/>
  <c r="W658" i="12" a="1"/>
  <c r="V657" i="12" a="1"/>
  <c r="U656" i="12" a="1"/>
  <c r="X655" i="12" a="1"/>
  <c r="W654" i="12" a="1"/>
  <c r="V653" i="12" a="1"/>
  <c r="U652" i="12" a="1"/>
  <c r="X651" i="12" a="1"/>
  <c r="W650" i="12" a="1"/>
  <c r="V649" i="12" a="1"/>
  <c r="U648" i="12" a="1"/>
  <c r="X647" i="12" a="1"/>
  <c r="W646" i="12" a="1"/>
  <c r="V645" i="12" a="1"/>
  <c r="U644" i="12" a="1"/>
  <c r="X643" i="12" a="1"/>
  <c r="W642" i="12" a="1"/>
  <c r="V641" i="12" a="1"/>
  <c r="U640" i="12" a="1"/>
  <c r="X639" i="12" a="1"/>
  <c r="W638" i="12" a="1"/>
  <c r="V637" i="12" a="1"/>
  <c r="U636" i="12" a="1"/>
  <c r="X635" i="12" a="1"/>
  <c r="W634" i="12" a="1"/>
  <c r="V633" i="12" a="1"/>
  <c r="U632" i="12" a="1"/>
  <c r="X631" i="12" a="1"/>
  <c r="W630" i="12" a="1"/>
  <c r="V629" i="12" a="1"/>
  <c r="U1026" i="12" a="1"/>
  <c r="X1025" i="12" a="1"/>
  <c r="U1022" i="12" a="1"/>
  <c r="X1021" i="12" a="1"/>
  <c r="U1011" i="12" a="1"/>
  <c r="X1010" i="12" a="1"/>
  <c r="U1009" i="12" a="1"/>
  <c r="X1008" i="12" a="1"/>
  <c r="U1007" i="12" a="1"/>
  <c r="X1006" i="12" a="1"/>
  <c r="U1005" i="12" a="1"/>
  <c r="X1004" i="12" a="1"/>
  <c r="U1001" i="12" a="1"/>
  <c r="X1000" i="12" a="1"/>
  <c r="U997" i="12" a="1"/>
  <c r="X996" i="12" a="1"/>
  <c r="W995" i="12" a="1"/>
  <c r="V993" i="12" a="1"/>
  <c r="V992" i="12" a="1"/>
  <c r="V991" i="12" a="1"/>
  <c r="V990" i="12" a="1"/>
  <c r="V989" i="12" a="1"/>
  <c r="V988" i="12" a="1"/>
  <c r="U987" i="12" a="1"/>
  <c r="X986" i="12" a="1"/>
  <c r="U986" i="12" a="1"/>
  <c r="X985" i="12" a="1"/>
  <c r="W984" i="12" a="1"/>
  <c r="V983" i="12" a="1"/>
  <c r="U982" i="12" a="1"/>
  <c r="U981" i="12" a="1"/>
  <c r="X980" i="12" a="1"/>
  <c r="X979" i="12" a="1"/>
  <c r="U979" i="12" a="1"/>
  <c r="X978" i="12" a="1"/>
  <c r="U978" i="12" a="1"/>
  <c r="X977" i="12" a="1"/>
  <c r="W976" i="12" a="1"/>
  <c r="W975" i="12" a="1"/>
  <c r="W974" i="12" a="1"/>
  <c r="W973" i="12" a="1"/>
  <c r="W972" i="12" a="1"/>
  <c r="W971" i="12" a="1"/>
  <c r="V969" i="12" a="1"/>
  <c r="U968" i="12" a="1"/>
  <c r="X967" i="12" a="1"/>
  <c r="U966" i="12" a="1"/>
  <c r="X965" i="12" a="1"/>
  <c r="W964" i="12" a="1"/>
  <c r="W963" i="12" a="1"/>
  <c r="V962" i="12" a="1"/>
  <c r="V961" i="12" a="1"/>
  <c r="U960" i="12" a="1"/>
  <c r="X959" i="12" a="1"/>
  <c r="W958" i="12" a="1"/>
  <c r="W957" i="12" a="1"/>
  <c r="W956" i="12" a="1"/>
  <c r="V955" i="12" a="1"/>
  <c r="V954" i="12" a="1"/>
  <c r="V953" i="12" a="1"/>
  <c r="V952" i="12" a="1"/>
  <c r="V951" i="12" a="1"/>
  <c r="V950" i="12" a="1"/>
  <c r="V949" i="12" a="1"/>
  <c r="U947" i="12" a="1"/>
  <c r="X946" i="12" a="1"/>
  <c r="U946" i="12" a="1"/>
  <c r="X945" i="12" a="1"/>
  <c r="W944" i="12" a="1"/>
  <c r="V943" i="12" a="1"/>
  <c r="U942" i="12" a="1"/>
  <c r="X941" i="12" a="1"/>
  <c r="W939" i="12" a="1"/>
  <c r="W938" i="12" a="1"/>
  <c r="V937" i="12" a="1"/>
  <c r="U936" i="12" a="1"/>
  <c r="X935" i="12" a="1"/>
  <c r="W934" i="12" a="1"/>
  <c r="V933" i="12" a="1"/>
  <c r="V932" i="12" a="1"/>
  <c r="U931" i="12" a="1"/>
  <c r="X930" i="12" a="1"/>
  <c r="U930" i="12" a="1"/>
  <c r="X929" i="12" a="1"/>
  <c r="W928" i="12" a="1"/>
  <c r="V927" i="12" a="1"/>
  <c r="U926" i="12" a="1"/>
  <c r="X925" i="12" a="1"/>
  <c r="W923" i="12" a="1"/>
  <c r="W922" i="12" a="1"/>
  <c r="V921" i="12" a="1"/>
  <c r="U920" i="12" a="1"/>
  <c r="X919" i="12" a="1"/>
  <c r="W918" i="12" a="1"/>
  <c r="V917" i="12" a="1"/>
  <c r="V916" i="12" a="1"/>
  <c r="U915" i="12" a="1"/>
  <c r="X914" i="12" a="1"/>
  <c r="U914" i="12" a="1"/>
  <c r="X913" i="12" a="1"/>
  <c r="W912" i="12" a="1"/>
  <c r="V911" i="12" a="1"/>
  <c r="U910" i="12" a="1"/>
  <c r="X909" i="12" a="1"/>
  <c r="W907" i="12" a="1"/>
  <c r="W906" i="12" a="1"/>
  <c r="V905" i="12" a="1"/>
  <c r="U904" i="12" a="1"/>
  <c r="X903" i="12" a="1"/>
  <c r="W902" i="12" a="1"/>
  <c r="V901" i="12" a="1"/>
  <c r="V900" i="12" a="1"/>
  <c r="U899" i="12" a="1"/>
  <c r="X898" i="12" a="1"/>
  <c r="U898" i="12" a="1"/>
  <c r="X897" i="12" a="1"/>
  <c r="W896" i="12" a="1"/>
  <c r="V895" i="12" a="1"/>
  <c r="U894" i="12" a="1"/>
  <c r="X893" i="12" a="1"/>
  <c r="W891" i="12" a="1"/>
  <c r="W890" i="12" a="1"/>
  <c r="V889" i="12" a="1"/>
  <c r="U888" i="12" a="1"/>
  <c r="X887" i="12" a="1"/>
  <c r="W886" i="12" a="1"/>
  <c r="V885" i="12" a="1"/>
  <c r="V884" i="12" a="1"/>
  <c r="U883" i="12" a="1"/>
  <c r="X882" i="12" a="1"/>
  <c r="U882" i="12" a="1"/>
  <c r="X881" i="12" a="1"/>
  <c r="U881" i="12" a="1"/>
  <c r="X880" i="12" a="1"/>
  <c r="U880" i="12" a="1"/>
  <c r="X879" i="12" a="1"/>
  <c r="U879" i="12" a="1"/>
  <c r="X878" i="12" a="1"/>
  <c r="U878" i="12" a="1"/>
  <c r="X877" i="12" a="1"/>
  <c r="U877" i="12" a="1"/>
  <c r="X876" i="12" a="1"/>
  <c r="U876" i="12" a="1"/>
  <c r="X875" i="12" a="1"/>
  <c r="U875" i="12" a="1"/>
  <c r="X874" i="12" a="1"/>
  <c r="U874" i="12" a="1"/>
  <c r="X873" i="12" a="1"/>
  <c r="U873" i="12" a="1"/>
  <c r="X872" i="12" a="1"/>
  <c r="U872" i="12" a="1"/>
  <c r="X871" i="12" a="1"/>
  <c r="U871" i="12" a="1"/>
  <c r="X870" i="12" a="1"/>
  <c r="U870" i="12" a="1"/>
  <c r="X869" i="12" a="1"/>
  <c r="U869" i="12" a="1"/>
  <c r="X868" i="12" a="1"/>
  <c r="U868" i="12" a="1"/>
  <c r="X867" i="12" a="1"/>
  <c r="U867" i="12" a="1"/>
  <c r="X866" i="12" a="1"/>
  <c r="U866" i="12" a="1"/>
  <c r="X865" i="12" a="1"/>
  <c r="U865" i="12" a="1"/>
  <c r="X864" i="12" a="1"/>
  <c r="U864" i="12" a="1"/>
  <c r="X863" i="12" a="1"/>
  <c r="U863" i="12" a="1"/>
  <c r="X862" i="12" a="1"/>
  <c r="U862" i="12" a="1"/>
  <c r="X861" i="12" a="1"/>
  <c r="U861" i="12" a="1"/>
  <c r="X860" i="12" a="1"/>
  <c r="U860" i="12" a="1"/>
  <c r="X859" i="12" a="1"/>
  <c r="U859" i="12" a="1"/>
  <c r="X858" i="12" a="1"/>
  <c r="U858" i="12" a="1"/>
  <c r="X857" i="12" a="1"/>
  <c r="U857" i="12" a="1"/>
  <c r="X856" i="12" a="1"/>
  <c r="W855" i="12" a="1"/>
  <c r="V854" i="12" a="1"/>
  <c r="U853" i="12" a="1"/>
  <c r="X852" i="12" a="1"/>
  <c r="W851" i="12" a="1"/>
  <c r="V850" i="12" a="1"/>
  <c r="U849" i="12" a="1"/>
  <c r="X848" i="12" a="1"/>
  <c r="W847" i="12" a="1"/>
  <c r="V846" i="12" a="1"/>
  <c r="U845" i="12" a="1"/>
  <c r="X844" i="12" a="1"/>
  <c r="W843" i="12" a="1"/>
  <c r="V842" i="12" a="1"/>
  <c r="U841" i="12" a="1"/>
  <c r="X840" i="12" a="1"/>
  <c r="W839" i="12" a="1"/>
  <c r="V838" i="12" a="1"/>
  <c r="U837" i="12" a="1"/>
  <c r="X836" i="12" a="1"/>
  <c r="W835" i="12" a="1"/>
  <c r="V834" i="12" a="1"/>
  <c r="U833" i="12" a="1"/>
  <c r="X832" i="12" a="1"/>
  <c r="W831" i="12" a="1"/>
  <c r="V830" i="12" a="1"/>
  <c r="U829" i="12" a="1"/>
  <c r="X828" i="12" a="1"/>
  <c r="W827" i="12" a="1"/>
  <c r="V826" i="12" a="1"/>
  <c r="U825" i="12" a="1"/>
  <c r="X824" i="12" a="1"/>
  <c r="W823" i="12" a="1"/>
  <c r="V822" i="12" a="1"/>
  <c r="U821" i="12" a="1"/>
  <c r="X820" i="12" a="1"/>
  <c r="W819" i="12" a="1"/>
  <c r="V818" i="12" a="1"/>
  <c r="U817" i="12" a="1"/>
  <c r="X816" i="12" a="1"/>
  <c r="W815" i="12" a="1"/>
  <c r="V814" i="12" a="1"/>
  <c r="U813" i="12" a="1"/>
  <c r="X812" i="12" a="1"/>
  <c r="W811" i="12" a="1"/>
  <c r="V810" i="12" a="1"/>
  <c r="U809" i="12" a="1"/>
  <c r="X808" i="12" a="1"/>
  <c r="W807" i="12" a="1"/>
  <c r="V806" i="12" a="1"/>
  <c r="U805" i="12" a="1"/>
  <c r="X804" i="12" a="1"/>
  <c r="W803" i="12" a="1"/>
  <c r="V802" i="12" a="1"/>
  <c r="U801" i="12" a="1"/>
  <c r="X800" i="12" a="1"/>
  <c r="W799" i="12" a="1"/>
  <c r="V798" i="12" a="1"/>
  <c r="U797" i="12" a="1"/>
  <c r="X796" i="12" a="1"/>
  <c r="W795" i="12" a="1"/>
  <c r="V794" i="12" a="1"/>
  <c r="U793" i="12" a="1"/>
  <c r="X792" i="12" a="1"/>
  <c r="W791" i="12" a="1"/>
  <c r="V790" i="12" a="1"/>
  <c r="U789" i="12" a="1"/>
  <c r="X788" i="12" a="1"/>
  <c r="W787" i="12" a="1"/>
  <c r="V786" i="12" a="1"/>
  <c r="U785" i="12" a="1"/>
  <c r="X784" i="12" a="1"/>
  <c r="W783" i="12" a="1"/>
  <c r="V782" i="12" a="1"/>
  <c r="U781" i="12" a="1"/>
  <c r="X780" i="12" a="1"/>
  <c r="W779" i="12" a="1"/>
  <c r="V778" i="12" a="1"/>
  <c r="U777" i="12" a="1"/>
  <c r="X776" i="12" a="1"/>
  <c r="W775" i="12" a="1"/>
  <c r="V774" i="12" a="1"/>
  <c r="U773" i="12" a="1"/>
  <c r="X772" i="12" a="1"/>
  <c r="W771" i="12" a="1"/>
  <c r="V770" i="12" a="1"/>
  <c r="U769" i="12" a="1"/>
  <c r="X768" i="12" a="1"/>
  <c r="W767" i="12" a="1"/>
  <c r="V766" i="12" a="1"/>
  <c r="U765" i="12" a="1"/>
  <c r="X764" i="12" a="1"/>
  <c r="W763" i="12" a="1"/>
  <c r="V762" i="12" a="1"/>
  <c r="U761" i="12" a="1"/>
  <c r="X760" i="12" a="1"/>
  <c r="W759" i="12" a="1"/>
  <c r="V758" i="12" a="1"/>
  <c r="U757" i="12" a="1"/>
  <c r="X756" i="12" a="1"/>
  <c r="W755" i="12" a="1"/>
  <c r="V754" i="12" a="1"/>
  <c r="U753" i="12" a="1"/>
  <c r="X752" i="12" a="1"/>
  <c r="W751" i="12" a="1"/>
  <c r="V750" i="12" a="1"/>
  <c r="U749" i="12" a="1"/>
  <c r="X748" i="12" a="1"/>
  <c r="W747" i="12" a="1"/>
  <c r="V746" i="12" a="1"/>
  <c r="U745" i="12" a="1"/>
  <c r="X744" i="12" a="1"/>
  <c r="W743" i="12" a="1"/>
  <c r="V742" i="12" a="1"/>
  <c r="U741" i="12" a="1"/>
  <c r="X740" i="12" a="1"/>
  <c r="W739" i="12" a="1"/>
  <c r="V738" i="12" a="1"/>
  <c r="U737" i="12" a="1"/>
  <c r="X736" i="12" a="1"/>
  <c r="W735" i="12" a="1"/>
  <c r="V734" i="12" a="1"/>
  <c r="U733" i="12" a="1"/>
  <c r="X732" i="12" a="1"/>
  <c r="W731" i="12" a="1"/>
  <c r="V730" i="12" a="1"/>
  <c r="U729" i="12" a="1"/>
  <c r="X728" i="12" a="1"/>
  <c r="W727" i="12" a="1"/>
  <c r="V726" i="12" a="1"/>
  <c r="U725" i="12" a="1"/>
  <c r="X724" i="12" a="1"/>
  <c r="W723" i="12" a="1"/>
  <c r="V722" i="12" a="1"/>
  <c r="U721" i="12" a="1"/>
  <c r="X720" i="12" a="1"/>
  <c r="W719" i="12" a="1"/>
  <c r="V718" i="12" a="1"/>
  <c r="U717" i="12" a="1"/>
  <c r="X716" i="12" a="1"/>
  <c r="W715" i="12" a="1"/>
  <c r="V714" i="12" a="1"/>
  <c r="U713" i="12" a="1"/>
  <c r="X712" i="12" a="1"/>
  <c r="W711" i="12" a="1"/>
  <c r="V710" i="12" a="1"/>
  <c r="U709" i="12" a="1"/>
  <c r="X708" i="12" a="1"/>
  <c r="W707" i="12" a="1"/>
  <c r="V706" i="12" a="1"/>
  <c r="U705" i="12" a="1"/>
  <c r="X704" i="12" a="1"/>
  <c r="W703" i="12" a="1"/>
  <c r="V702" i="12" a="1"/>
  <c r="U701" i="12" a="1"/>
  <c r="X700" i="12" a="1"/>
  <c r="W699" i="12" a="1"/>
  <c r="V698" i="12" a="1"/>
  <c r="U697" i="12" a="1"/>
  <c r="X696" i="12" a="1"/>
  <c r="W695" i="12" a="1"/>
  <c r="V694" i="12" a="1"/>
  <c r="U693" i="12" a="1"/>
  <c r="X692" i="12" a="1"/>
  <c r="W691" i="12" a="1"/>
  <c r="V690" i="12" a="1"/>
  <c r="U689" i="12" a="1"/>
  <c r="X688" i="12" a="1"/>
  <c r="W687" i="12" a="1"/>
  <c r="V686" i="12" a="1"/>
  <c r="U685" i="12" a="1"/>
  <c r="X684" i="12" a="1"/>
  <c r="W683" i="12" a="1"/>
  <c r="V682" i="12" a="1"/>
  <c r="U681" i="12" a="1"/>
  <c r="X680" i="12" a="1"/>
  <c r="W679" i="12" a="1"/>
  <c r="V678" i="12" a="1"/>
  <c r="U677" i="12" a="1"/>
  <c r="X676" i="12" a="1"/>
  <c r="W675" i="12" a="1"/>
  <c r="V674" i="12" a="1"/>
  <c r="U673" i="12" a="1"/>
  <c r="X672" i="12" a="1"/>
  <c r="W671" i="12" a="1"/>
  <c r="V670" i="12" a="1"/>
  <c r="U669" i="12" a="1"/>
  <c r="U1025" i="12" a="1"/>
  <c r="X1024" i="12" a="1"/>
  <c r="U1021" i="12" a="1"/>
  <c r="X1020" i="12" a="1"/>
  <c r="V1010" i="12" a="1"/>
  <c r="V1008" i="12" a="1"/>
  <c r="V1006" i="12" a="1"/>
  <c r="U1004" i="12" a="1"/>
  <c r="X1003" i="12" a="1"/>
  <c r="U1000" i="12" a="1"/>
  <c r="X999" i="12" a="1"/>
  <c r="W996" i="12" a="1"/>
  <c r="V995" i="12" a="1"/>
  <c r="V994" i="12" a="1"/>
  <c r="U993" i="12" a="1"/>
  <c r="X992" i="12" a="1"/>
  <c r="U992" i="12" a="1"/>
  <c r="X991" i="12" a="1"/>
  <c r="U991" i="12" a="1"/>
  <c r="X990" i="12" a="1"/>
  <c r="U990" i="12" a="1"/>
  <c r="X989" i="12" a="1"/>
  <c r="U989" i="12" a="1"/>
  <c r="X988" i="12" a="1"/>
  <c r="U988" i="12" a="1"/>
  <c r="X987" i="12" a="1"/>
  <c r="W986" i="12" a="1"/>
  <c r="W985" i="12" a="1"/>
  <c r="V984" i="12" a="1"/>
  <c r="U983" i="12" a="1"/>
  <c r="X982" i="12" a="1"/>
  <c r="X981" i="12" a="1"/>
  <c r="W980" i="12" a="1"/>
  <c r="W979" i="12" a="1"/>
  <c r="W978" i="12" a="1"/>
  <c r="W977" i="12" a="1"/>
  <c r="V971" i="12" a="1"/>
  <c r="V970" i="12" a="1"/>
  <c r="U969" i="12" a="1"/>
  <c r="X968" i="12" a="1"/>
  <c r="W967" i="12" a="1"/>
  <c r="W966" i="12" a="1"/>
  <c r="W965" i="12" a="1"/>
  <c r="V964" i="12" a="1"/>
  <c r="V963" i="12" a="1"/>
  <c r="U961" i="12" a="1"/>
  <c r="X960" i="12" a="1"/>
  <c r="W959" i="12" a="1"/>
  <c r="V958" i="12" a="1"/>
  <c r="V957" i="12" a="1"/>
  <c r="V956" i="12" a="1"/>
  <c r="U955" i="12" a="1"/>
  <c r="X954" i="12" a="1"/>
  <c r="U954" i="12" a="1"/>
  <c r="X953" i="12" a="1"/>
  <c r="U953" i="12" a="1"/>
  <c r="X952" i="12" a="1"/>
  <c r="U951" i="12" a="1"/>
  <c r="X950" i="12" a="1"/>
  <c r="U949" i="12" a="1"/>
  <c r="X948" i="12" a="1"/>
  <c r="U948" i="12" a="1"/>
  <c r="X947" i="12" a="1"/>
  <c r="W945" i="12" a="1"/>
  <c r="V944" i="12" a="1"/>
  <c r="U943" i="12" a="1"/>
  <c r="X942" i="12" a="1"/>
  <c r="W941" i="12" a="1"/>
  <c r="W940" i="12" a="1"/>
  <c r="V939" i="12" a="1"/>
  <c r="V938" i="12" a="1"/>
  <c r="U937" i="12" a="1"/>
  <c r="X936" i="12" a="1"/>
  <c r="W935" i="12" a="1"/>
  <c r="V934" i="12" a="1"/>
  <c r="U933" i="12" a="1"/>
  <c r="X932" i="12" a="1"/>
  <c r="U932" i="12" a="1"/>
  <c r="X931" i="12" a="1"/>
  <c r="W929" i="12" a="1"/>
  <c r="V928" i="12" a="1"/>
  <c r="U927" i="12" a="1"/>
  <c r="X926" i="12" a="1"/>
  <c r="W925" i="12" a="1"/>
  <c r="W924" i="12" a="1"/>
  <c r="V923" i="12" a="1"/>
  <c r="V922" i="12" a="1"/>
  <c r="U921" i="12" a="1"/>
  <c r="X920" i="12" a="1"/>
  <c r="W919" i="12" a="1"/>
  <c r="V918" i="12" a="1"/>
  <c r="U917" i="12" a="1"/>
  <c r="X916" i="12" a="1"/>
  <c r="U916" i="12" a="1"/>
  <c r="X915" i="12" a="1"/>
  <c r="W913" i="12" a="1"/>
  <c r="V912" i="12" a="1"/>
  <c r="U911" i="12" a="1"/>
  <c r="X910" i="12" a="1"/>
  <c r="W909" i="12" a="1"/>
  <c r="W908" i="12" a="1"/>
  <c r="V907" i="12" a="1"/>
  <c r="V906" i="12" a="1"/>
  <c r="U905" i="12" a="1"/>
  <c r="X904" i="12" a="1"/>
  <c r="W903" i="12" a="1"/>
  <c r="V902" i="12" a="1"/>
  <c r="U901" i="12" a="1"/>
  <c r="X900" i="12" a="1"/>
  <c r="U900" i="12" a="1"/>
  <c r="X899" i="12" a="1"/>
  <c r="W897" i="12" a="1"/>
  <c r="V896" i="12" a="1"/>
  <c r="U895" i="12" a="1"/>
  <c r="X894" i="12" a="1"/>
  <c r="W893" i="12" a="1"/>
  <c r="W892" i="12" a="1"/>
  <c r="V891" i="12" a="1"/>
  <c r="V890" i="12" a="1"/>
  <c r="U889" i="12" a="1"/>
  <c r="X888" i="12" a="1"/>
  <c r="W887" i="12" a="1"/>
  <c r="V886" i="12" a="1"/>
  <c r="U885" i="12" a="1"/>
  <c r="X884" i="12" a="1"/>
  <c r="U884" i="12" a="1"/>
  <c r="X883" i="12" a="1"/>
  <c r="W856" i="12" a="1"/>
  <c r="V855" i="12" a="1"/>
  <c r="U854" i="12" a="1"/>
  <c r="X853" i="12" a="1"/>
  <c r="W852" i="12" a="1"/>
  <c r="V851" i="12" a="1"/>
  <c r="U850" i="12" a="1"/>
  <c r="X849" i="12" a="1"/>
  <c r="W848" i="12" a="1"/>
  <c r="V847" i="12" a="1"/>
  <c r="U846" i="12" a="1"/>
  <c r="X845" i="12" a="1"/>
  <c r="W844" i="12" a="1"/>
  <c r="V843" i="12" a="1"/>
  <c r="U842" i="12" a="1"/>
  <c r="X841" i="12" a="1"/>
  <c r="W840" i="12" a="1"/>
  <c r="V839" i="12" a="1"/>
  <c r="U838" i="12" a="1"/>
  <c r="X837" i="12" a="1"/>
  <c r="W836" i="12" a="1"/>
  <c r="V835" i="12" a="1"/>
  <c r="U834" i="12" a="1"/>
  <c r="X833" i="12" a="1"/>
  <c r="W832" i="12" a="1"/>
  <c r="V831" i="12" a="1"/>
  <c r="U830" i="12" a="1"/>
  <c r="X829" i="12" a="1"/>
  <c r="W828" i="12" a="1"/>
  <c r="V827" i="12" a="1"/>
  <c r="U826" i="12" a="1"/>
  <c r="X825" i="12" a="1"/>
  <c r="W824" i="12" a="1"/>
  <c r="V823" i="12" a="1"/>
  <c r="U822" i="12" a="1"/>
  <c r="X821" i="12" a="1"/>
  <c r="W820" i="12" a="1"/>
  <c r="V819" i="12" a="1"/>
  <c r="U818" i="12" a="1"/>
  <c r="X817" i="12" a="1"/>
  <c r="W816" i="12" a="1"/>
  <c r="V815" i="12" a="1"/>
  <c r="U814" i="12" a="1"/>
  <c r="X813" i="12" a="1"/>
  <c r="W812" i="12" a="1"/>
  <c r="V811" i="12" a="1"/>
  <c r="U810" i="12" a="1"/>
  <c r="X809" i="12" a="1"/>
  <c r="W808" i="12" a="1"/>
  <c r="V807" i="12" a="1"/>
  <c r="U806" i="12" a="1"/>
  <c r="X805" i="12" a="1"/>
  <c r="W804" i="12" a="1"/>
  <c r="V803" i="12" a="1"/>
  <c r="U802" i="12" a="1"/>
  <c r="X801" i="12" a="1"/>
  <c r="W800" i="12" a="1"/>
  <c r="V799" i="12" a="1"/>
  <c r="U798" i="12" a="1"/>
  <c r="X797" i="12" a="1"/>
  <c r="W796" i="12" a="1"/>
  <c r="V795" i="12" a="1"/>
  <c r="U794" i="12" a="1"/>
  <c r="X793" i="12" a="1"/>
  <c r="W792" i="12" a="1"/>
  <c r="V791" i="12" a="1"/>
  <c r="U790" i="12" a="1"/>
  <c r="X789" i="12" a="1"/>
  <c r="W788" i="12" a="1"/>
  <c r="V787" i="12" a="1"/>
  <c r="U786" i="12" a="1"/>
  <c r="X785" i="12" a="1"/>
  <c r="W784" i="12" a="1"/>
  <c r="V783" i="12" a="1"/>
  <c r="U782" i="12" a="1"/>
  <c r="X781" i="12" a="1"/>
  <c r="W780" i="12" a="1"/>
  <c r="V779" i="12" a="1"/>
  <c r="U778" i="12" a="1"/>
  <c r="X777" i="12" a="1"/>
  <c r="W776" i="12" a="1"/>
  <c r="V775" i="12" a="1"/>
  <c r="U774" i="12" a="1"/>
  <c r="X773" i="12" a="1"/>
  <c r="W772" i="12" a="1"/>
  <c r="V771" i="12" a="1"/>
  <c r="U770" i="12" a="1"/>
  <c r="X769" i="12" a="1"/>
  <c r="W768" i="12" a="1"/>
  <c r="V767" i="12" a="1"/>
  <c r="U766" i="12" a="1"/>
  <c r="X765" i="12" a="1"/>
  <c r="W764" i="12" a="1"/>
  <c r="V763" i="12" a="1"/>
  <c r="U762" i="12" a="1"/>
  <c r="X761" i="12" a="1"/>
  <c r="W760" i="12" a="1"/>
  <c r="V759" i="12" a="1"/>
  <c r="U758" i="12" a="1"/>
  <c r="X757" i="12" a="1"/>
  <c r="W756" i="12" a="1"/>
  <c r="V755" i="12" a="1"/>
  <c r="U754" i="12" a="1"/>
  <c r="X753" i="12" a="1"/>
  <c r="W752" i="12" a="1"/>
  <c r="V751" i="12" a="1"/>
  <c r="U750" i="12" a="1"/>
  <c r="X749" i="12" a="1"/>
  <c r="W748" i="12" a="1"/>
  <c r="V747" i="12" a="1"/>
  <c r="U746" i="12" a="1"/>
  <c r="X745" i="12" a="1"/>
  <c r="W744" i="12" a="1"/>
  <c r="V743" i="12" a="1"/>
  <c r="U742" i="12" a="1"/>
  <c r="X741" i="12" a="1"/>
  <c r="W740" i="12" a="1"/>
  <c r="V739" i="12" a="1"/>
  <c r="U738" i="12" a="1"/>
  <c r="X737" i="12" a="1"/>
  <c r="W736" i="12" a="1"/>
  <c r="V735" i="12" a="1"/>
  <c r="U734" i="12" a="1"/>
  <c r="X733" i="12" a="1"/>
  <c r="W732" i="12" a="1"/>
  <c r="V731" i="12" a="1"/>
  <c r="U730" i="12" a="1"/>
  <c r="X729" i="12" a="1"/>
  <c r="W728" i="12" a="1"/>
  <c r="V727" i="12" a="1"/>
  <c r="U726" i="12" a="1"/>
  <c r="X725" i="12" a="1"/>
  <c r="W724" i="12" a="1"/>
  <c r="V723" i="12" a="1"/>
  <c r="U722" i="12" a="1"/>
  <c r="X721" i="12" a="1"/>
  <c r="W720" i="12" a="1"/>
  <c r="V719" i="12" a="1"/>
  <c r="U718" i="12" a="1"/>
  <c r="X717" i="12" a="1"/>
  <c r="W716" i="12" a="1"/>
  <c r="V715" i="12" a="1"/>
  <c r="U714" i="12" a="1"/>
  <c r="X713" i="12" a="1"/>
  <c r="W712" i="12" a="1"/>
  <c r="V711" i="12" a="1"/>
  <c r="U710" i="12" a="1"/>
  <c r="X709" i="12" a="1"/>
  <c r="W708" i="12" a="1"/>
  <c r="V707" i="12" a="1"/>
  <c r="U706" i="12" a="1"/>
  <c r="X705" i="12" a="1"/>
  <c r="W704" i="12" a="1"/>
  <c r="V703" i="12" a="1"/>
  <c r="U702" i="12" a="1"/>
  <c r="X701" i="12" a="1"/>
  <c r="W700" i="12" a="1"/>
  <c r="V699" i="12" a="1"/>
  <c r="U698" i="12" a="1"/>
  <c r="X697" i="12" a="1"/>
  <c r="W696" i="12" a="1"/>
  <c r="V695" i="12" a="1"/>
  <c r="U694" i="12" a="1"/>
  <c r="X693" i="12" a="1"/>
  <c r="W692" i="12" a="1"/>
  <c r="V691" i="12" a="1"/>
  <c r="U690" i="12" a="1"/>
  <c r="X689" i="12" a="1"/>
  <c r="W688" i="12" a="1"/>
  <c r="V687" i="12" a="1"/>
  <c r="U686" i="12" a="1"/>
  <c r="X685" i="12" a="1"/>
  <c r="W684" i="12" a="1"/>
  <c r="V683" i="12" a="1"/>
  <c r="U682" i="12" a="1"/>
  <c r="X681" i="12" a="1"/>
  <c r="W680" i="12" a="1"/>
  <c r="V679" i="12" a="1"/>
  <c r="U678" i="12" a="1"/>
  <c r="X677" i="12" a="1"/>
  <c r="W676" i="12" a="1"/>
  <c r="V675" i="12" a="1"/>
  <c r="U674" i="12" a="1"/>
  <c r="X673" i="12" a="1"/>
  <c r="W672" i="12" a="1"/>
  <c r="V671" i="12" a="1"/>
  <c r="U670" i="12" a="1"/>
  <c r="X669" i="12" a="1"/>
  <c r="W668" i="12" a="1"/>
  <c r="V667" i="12" a="1"/>
  <c r="U666" i="12" a="1"/>
  <c r="X665" i="12" a="1"/>
  <c r="W664" i="12" a="1"/>
  <c r="V663" i="12" a="1"/>
  <c r="U662" i="12" a="1"/>
  <c r="X661" i="12" a="1"/>
  <c r="W660" i="12" a="1"/>
  <c r="V659" i="12" a="1"/>
  <c r="U658" i="12" a="1"/>
  <c r="X657" i="12" a="1"/>
  <c r="W656" i="12" a="1"/>
  <c r="V655" i="12" a="1"/>
  <c r="U654" i="12" a="1"/>
  <c r="X653" i="12" a="1"/>
  <c r="W652" i="12" a="1"/>
  <c r="V651" i="12" a="1"/>
  <c r="U650" i="12" a="1"/>
  <c r="X649" i="12" a="1"/>
  <c r="W648" i="12" a="1"/>
  <c r="V647" i="12" a="1"/>
  <c r="U646" i="12" a="1"/>
  <c r="X645" i="12" a="1"/>
  <c r="W644" i="12" a="1"/>
  <c r="V643" i="12" a="1"/>
  <c r="U642" i="12" a="1"/>
  <c r="X641" i="12" a="1"/>
  <c r="W640" i="12" a="1"/>
  <c r="V639" i="12" a="1"/>
  <c r="U638" i="12" a="1"/>
  <c r="X637" i="12" a="1"/>
  <c r="W636" i="12" a="1"/>
  <c r="V635" i="12" a="1"/>
  <c r="U634" i="12" a="1"/>
  <c r="X633" i="12" a="1"/>
  <c r="W632" i="12" a="1"/>
  <c r="V631" i="12" a="1"/>
  <c r="U630" i="12" a="1"/>
  <c r="X629" i="12" a="1"/>
  <c r="W628" i="12" a="1"/>
  <c r="V627" i="12" a="1"/>
  <c r="U626" i="12" a="1"/>
  <c r="X625" i="12" a="1"/>
  <c r="U624" i="12" a="1"/>
  <c r="X623" i="12" a="1"/>
  <c r="X622" i="12" a="1"/>
  <c r="U622" i="12" a="1"/>
  <c r="U621" i="12" a="1"/>
  <c r="X620" i="12" a="1"/>
  <c r="U619" i="12" a="1"/>
  <c r="V618" i="12" a="1"/>
  <c r="V617" i="12" a="1"/>
  <c r="V616" i="12" a="1"/>
  <c r="V615" i="12" a="1"/>
  <c r="W613" i="12" a="1"/>
  <c r="W612" i="12" a="1"/>
  <c r="W611" i="12" a="1"/>
  <c r="W610" i="12" a="1"/>
  <c r="X609" i="12" a="1"/>
  <c r="U608" i="12" a="1"/>
  <c r="X607" i="12" a="1"/>
  <c r="X606" i="12" a="1"/>
  <c r="U606" i="12" a="1"/>
  <c r="U605" i="12" a="1"/>
  <c r="X604" i="12" a="1"/>
  <c r="U603" i="12" a="1"/>
  <c r="V602" i="12" a="1"/>
  <c r="V601" i="12" a="1"/>
  <c r="V600" i="12" a="1"/>
  <c r="V599" i="12" a="1"/>
  <c r="W598" i="12" a="1"/>
  <c r="X597" i="12" a="1"/>
  <c r="U596" i="12" a="1"/>
  <c r="X595" i="12" a="1"/>
  <c r="U595" i="12" a="1"/>
  <c r="V594" i="12" a="1"/>
  <c r="V593" i="12" a="1"/>
  <c r="V592" i="12" a="1"/>
  <c r="V591" i="12" a="1"/>
  <c r="W590" i="12" a="1"/>
  <c r="X589" i="12" a="1"/>
  <c r="U588" i="12" a="1"/>
  <c r="X587" i="12" a="1"/>
  <c r="U587" i="12" a="1"/>
  <c r="V586" i="12" a="1"/>
  <c r="V585" i="12" a="1"/>
  <c r="V584" i="12" a="1"/>
  <c r="V583" i="12" a="1"/>
  <c r="W582" i="12" a="1"/>
  <c r="X581" i="12" a="1"/>
  <c r="U580" i="12" a="1"/>
  <c r="X579" i="12" a="1"/>
  <c r="U579" i="12" a="1"/>
  <c r="V578" i="12" a="1"/>
  <c r="V577" i="12" a="1"/>
  <c r="V576" i="12" a="1"/>
  <c r="V575" i="12" a="1"/>
  <c r="W574" i="12" a="1"/>
  <c r="X573" i="12" a="1"/>
  <c r="U572" i="12" a="1"/>
  <c r="X571" i="12" a="1"/>
  <c r="U571" i="12" a="1"/>
  <c r="V570" i="12" a="1"/>
  <c r="V569" i="12" a="1"/>
  <c r="V568" i="12" a="1"/>
  <c r="V567" i="12" a="1"/>
  <c r="W566" i="12" a="1"/>
  <c r="X565" i="12" a="1"/>
  <c r="U564" i="12" a="1"/>
  <c r="X563" i="12" a="1"/>
  <c r="U563" i="12" a="1"/>
  <c r="W627" i="12" a="1"/>
  <c r="W626" i="12" a="1"/>
  <c r="V623" i="12" a="1"/>
  <c r="V621" i="12" a="1"/>
  <c r="W620" i="12" a="1"/>
  <c r="W617" i="12" a="1"/>
  <c r="W614" i="12" a="1"/>
  <c r="X610" i="12" a="1"/>
  <c r="U609" i="12" a="1"/>
  <c r="X608" i="12" a="1"/>
  <c r="V603" i="12" a="1"/>
  <c r="W602" i="12" a="1"/>
  <c r="U600" i="12" a="1"/>
  <c r="X599" i="12" a="1"/>
  <c r="V598" i="12" a="1"/>
  <c r="V596" i="12" a="1"/>
  <c r="W593" i="12" a="1"/>
  <c r="U591" i="12" a="1"/>
  <c r="V589" i="12" a="1"/>
  <c r="W586" i="12" a="1"/>
  <c r="U584" i="12" a="1"/>
  <c r="X583" i="12" a="1"/>
  <c r="V582" i="12" a="1"/>
  <c r="V580" i="12" a="1"/>
  <c r="W577" i="12" a="1"/>
  <c r="U575" i="12" a="1"/>
  <c r="V573" i="12" a="1"/>
  <c r="W570" i="12" a="1"/>
  <c r="U568" i="12" a="1"/>
  <c r="X567" i="12" a="1"/>
  <c r="V566" i="12" a="1"/>
  <c r="V564" i="12" a="1"/>
  <c r="V560" i="12" a="1"/>
  <c r="X558" i="12" a="1"/>
  <c r="V557" i="12" a="1"/>
  <c r="U556" i="12" a="1"/>
  <c r="X554" i="12" a="1"/>
  <c r="U552" i="12" a="1"/>
  <c r="X551" i="12" a="1"/>
  <c r="W550" i="12" a="1"/>
  <c r="U549" i="12" a="1"/>
  <c r="X547" i="12" a="1"/>
  <c r="W546" i="12" a="1"/>
  <c r="W545" i="12" a="1"/>
  <c r="W544" i="12" a="1"/>
  <c r="V543" i="12" a="1"/>
  <c r="V542" i="12" a="1"/>
  <c r="V541" i="12" a="1"/>
  <c r="V540" i="12" a="1"/>
  <c r="V539" i="12" a="1"/>
  <c r="V536" i="12" a="1"/>
  <c r="U535" i="12" a="1"/>
  <c r="U534" i="12" a="1"/>
  <c r="X533" i="12" a="1"/>
  <c r="U533" i="12" a="1"/>
  <c r="U532" i="12" a="1"/>
  <c r="U531" i="12" a="1"/>
  <c r="V530" i="12" a="1"/>
  <c r="V529" i="12" a="1"/>
  <c r="U528" i="12" a="1"/>
  <c r="X527" i="12" a="1"/>
  <c r="X526" i="12" a="1"/>
  <c r="W525" i="12" a="1"/>
  <c r="X524" i="12" a="1"/>
  <c r="X523" i="12" a="1"/>
  <c r="X522" i="12" a="1"/>
  <c r="U522" i="12" a="1"/>
  <c r="X521" i="12" a="1"/>
  <c r="U521" i="12" a="1"/>
  <c r="X520" i="12" a="1"/>
  <c r="W519" i="12" a="1"/>
  <c r="W518" i="12" a="1"/>
  <c r="W516" i="12" a="1"/>
  <c r="W515" i="12" a="1"/>
  <c r="W514" i="12" a="1"/>
  <c r="W513" i="12" a="1"/>
  <c r="W512" i="12" a="1"/>
  <c r="V511" i="12" a="1"/>
  <c r="V510" i="12" a="1"/>
  <c r="V509" i="12" a="1"/>
  <c r="V508" i="12" a="1"/>
  <c r="V507" i="12" a="1"/>
  <c r="V504" i="12" a="1"/>
  <c r="U503" i="12" a="1"/>
  <c r="U502" i="12" a="1"/>
  <c r="X501" i="12" a="1"/>
  <c r="U501" i="12" a="1"/>
  <c r="U500" i="12" a="1"/>
  <c r="U499" i="12" a="1"/>
  <c r="V498" i="12" a="1"/>
  <c r="V497" i="12" a="1"/>
  <c r="U496" i="12" a="1"/>
  <c r="X495" i="12" a="1"/>
  <c r="X494" i="12" a="1"/>
  <c r="W493" i="12" a="1"/>
  <c r="X492" i="12" a="1"/>
  <c r="X491" i="12" a="1"/>
  <c r="X490" i="12" a="1"/>
  <c r="U490" i="12" a="1"/>
  <c r="X489" i="12" a="1"/>
  <c r="U489" i="12" a="1"/>
  <c r="X488" i="12" a="1"/>
  <c r="W487" i="12" a="1"/>
  <c r="W486" i="12" a="1"/>
  <c r="W484" i="12" a="1"/>
  <c r="W483" i="12" a="1"/>
  <c r="W482" i="12" a="1"/>
  <c r="W481" i="12" a="1"/>
  <c r="W480" i="12" a="1"/>
  <c r="V479" i="12" a="1"/>
  <c r="V478" i="12" a="1"/>
  <c r="V477" i="12" a="1"/>
  <c r="V476" i="12" a="1"/>
  <c r="V475" i="12" a="1"/>
  <c r="V472" i="12" a="1"/>
  <c r="U471" i="12" a="1"/>
  <c r="X470" i="12" a="1"/>
  <c r="X469" i="12" a="1"/>
  <c r="W468" i="12" a="1"/>
  <c r="W467" i="12" a="1"/>
  <c r="V466" i="12" a="1"/>
  <c r="V465" i="12" a="1"/>
  <c r="V464" i="12" a="1"/>
  <c r="U463" i="12" a="1"/>
  <c r="X462" i="12" a="1"/>
  <c r="X461" i="12" a="1"/>
  <c r="W460" i="12" a="1"/>
  <c r="W459" i="12" a="1"/>
  <c r="V458" i="12" a="1"/>
  <c r="V457" i="12" a="1"/>
  <c r="V456" i="12" a="1"/>
  <c r="U455" i="12" a="1"/>
  <c r="X454" i="12" a="1"/>
  <c r="X453" i="12" a="1"/>
  <c r="W452" i="12" a="1"/>
  <c r="W451" i="12" a="1"/>
  <c r="V450" i="12" a="1"/>
  <c r="V449" i="12" a="1"/>
  <c r="V448" i="12" a="1"/>
  <c r="U447" i="12" a="1"/>
  <c r="X446" i="12" a="1"/>
  <c r="X445" i="12" a="1"/>
  <c r="W444" i="12" a="1"/>
  <c r="W443" i="12" a="1"/>
  <c r="V442" i="12" a="1"/>
  <c r="V441" i="12" a="1"/>
  <c r="V440" i="12" a="1"/>
  <c r="U439" i="12" a="1"/>
  <c r="X438" i="12" a="1"/>
  <c r="X437" i="12" a="1"/>
  <c r="W436" i="12" a="1"/>
  <c r="W435" i="12" a="1"/>
  <c r="V434" i="12" a="1"/>
  <c r="V433" i="12" a="1"/>
  <c r="V432" i="12" a="1"/>
  <c r="U431" i="12" a="1"/>
  <c r="X430" i="12" a="1"/>
  <c r="X429" i="12" a="1"/>
  <c r="W428" i="12" a="1"/>
  <c r="W427" i="12" a="1"/>
  <c r="V426" i="12" a="1"/>
  <c r="V425" i="12" a="1"/>
  <c r="V424" i="12" a="1"/>
  <c r="U423" i="12" a="1"/>
  <c r="X422" i="12" a="1"/>
  <c r="W421" i="12" a="1"/>
  <c r="V420" i="12" a="1"/>
  <c r="U419" i="12" a="1"/>
  <c r="X418" i="12" a="1"/>
  <c r="W417" i="12" a="1"/>
  <c r="V416" i="12" a="1"/>
  <c r="U415" i="12" a="1"/>
  <c r="X414" i="12" a="1"/>
  <c r="W413" i="12" a="1"/>
  <c r="V412" i="12" a="1"/>
  <c r="U411" i="12" a="1"/>
  <c r="X410" i="12" a="1"/>
  <c r="W409" i="12" a="1"/>
  <c r="V408" i="12" a="1"/>
  <c r="U407" i="12" a="1"/>
  <c r="X406" i="12" a="1"/>
  <c r="W405" i="12" a="1"/>
  <c r="W404" i="12" a="1"/>
  <c r="V403" i="12" a="1"/>
  <c r="V402" i="12" a="1"/>
  <c r="U401" i="12" a="1"/>
  <c r="U400" i="12" a="1"/>
  <c r="X399" i="12" a="1"/>
  <c r="X398" i="12" a="1"/>
  <c r="W397" i="12" a="1"/>
  <c r="W396" i="12" a="1"/>
  <c r="V395" i="12" a="1"/>
  <c r="V394" i="12" a="1"/>
  <c r="U393" i="12" a="1"/>
  <c r="U392" i="12" a="1"/>
  <c r="X391" i="12" a="1"/>
  <c r="X390" i="12" a="1"/>
  <c r="W389" i="12" a="1"/>
  <c r="W388" i="12" a="1"/>
  <c r="V387" i="12" a="1"/>
  <c r="V386" i="12" a="1"/>
  <c r="U385" i="12" a="1"/>
  <c r="U384" i="12" a="1"/>
  <c r="X383" i="12" a="1"/>
  <c r="X382" i="12" a="1"/>
  <c r="W381" i="12" a="1"/>
  <c r="W380" i="12" a="1"/>
  <c r="V379" i="12" a="1"/>
  <c r="V378" i="12" a="1"/>
  <c r="U377" i="12" a="1"/>
  <c r="U376" i="12" a="1"/>
  <c r="X375" i="12" a="1"/>
  <c r="X374" i="12" a="1"/>
  <c r="W373" i="12" a="1"/>
  <c r="W372" i="12" a="1"/>
  <c r="V371" i="12" a="1"/>
  <c r="V370" i="12" a="1"/>
  <c r="U369" i="12" a="1"/>
  <c r="U368" i="12" a="1"/>
  <c r="X367" i="12" a="1"/>
  <c r="X366" i="12" a="1"/>
  <c r="W365" i="12" a="1"/>
  <c r="W364" i="12" a="1"/>
  <c r="V363" i="12" a="1"/>
  <c r="V362" i="12" a="1"/>
  <c r="U361" i="12" a="1"/>
  <c r="U360" i="12" a="1"/>
  <c r="X359" i="12" a="1"/>
  <c r="X358" i="12" a="1"/>
  <c r="W357" i="12" a="1"/>
  <c r="V356" i="12" a="1"/>
  <c r="V355" i="12" a="1"/>
  <c r="U354" i="12" a="1"/>
  <c r="X353" i="12" a="1"/>
  <c r="U353" i="12" a="1"/>
  <c r="X352" i="12" a="1"/>
  <c r="W351" i="12" a="1"/>
  <c r="W350" i="12" a="1"/>
  <c r="V348" i="12" a="1"/>
  <c r="V347" i="12" a="1"/>
  <c r="U346" i="12" a="1"/>
  <c r="X345" i="12" a="1"/>
  <c r="U345" i="12" a="1"/>
  <c r="X344" i="12" a="1"/>
  <c r="W343" i="12" a="1"/>
  <c r="W342" i="12" a="1"/>
  <c r="V341" i="12" a="1"/>
  <c r="U340" i="12" a="1"/>
  <c r="X339" i="12" a="1"/>
  <c r="U339" i="12" a="1"/>
  <c r="X338" i="12" a="1"/>
  <c r="W337" i="12" a="1"/>
  <c r="W336" i="12" a="1"/>
  <c r="V334" i="12" a="1"/>
  <c r="V333" i="12" a="1"/>
  <c r="U332" i="12" a="1"/>
  <c r="X331" i="12" a="1"/>
  <c r="U331" i="12" a="1"/>
  <c r="X330" i="12" a="1"/>
  <c r="W329" i="12" a="1"/>
  <c r="W328" i="12" a="1"/>
  <c r="V326" i="12" a="1"/>
  <c r="V325" i="12" a="1"/>
  <c r="U324" i="12" a="1"/>
  <c r="X323" i="12" a="1"/>
  <c r="U323" i="12" a="1"/>
  <c r="X322" i="12" a="1"/>
  <c r="W321" i="12" a="1"/>
  <c r="W320" i="12" a="1"/>
  <c r="V319" i="12" a="1"/>
  <c r="V318" i="12" a="1"/>
  <c r="U317" i="12" a="1"/>
  <c r="U316" i="12" a="1"/>
  <c r="X315" i="12" a="1"/>
  <c r="X314" i="12" a="1"/>
  <c r="W313" i="12" a="1"/>
  <c r="W312" i="12" a="1"/>
  <c r="V311" i="12" a="1"/>
  <c r="V310" i="12" a="1"/>
  <c r="U309" i="12" a="1"/>
  <c r="U308" i="12" a="1"/>
  <c r="X307" i="12" a="1"/>
  <c r="X306" i="12" a="1"/>
  <c r="W305" i="12" a="1"/>
  <c r="W304" i="12" a="1"/>
  <c r="V303" i="12" a="1"/>
  <c r="V302" i="12" a="1"/>
  <c r="U301" i="12" a="1"/>
  <c r="U300" i="12" a="1"/>
  <c r="X299" i="12" a="1"/>
  <c r="X298" i="12" a="1"/>
  <c r="W297" i="12" a="1"/>
  <c r="W296" i="12" a="1"/>
  <c r="V295" i="12" a="1"/>
  <c r="V294" i="12" a="1"/>
  <c r="U293" i="12" a="1"/>
  <c r="U292" i="12" a="1"/>
  <c r="X291" i="12" a="1"/>
  <c r="X290" i="12" a="1"/>
  <c r="W289" i="12" a="1"/>
  <c r="W288" i="12" a="1"/>
  <c r="V287" i="12" a="1"/>
  <c r="V286" i="12" a="1"/>
  <c r="V285" i="12" a="1"/>
  <c r="V284" i="12" a="1"/>
  <c r="V283" i="12" a="1"/>
  <c r="V282" i="12" a="1"/>
  <c r="U281" i="12" a="1"/>
  <c r="U280" i="12" a="1"/>
  <c r="X279" i="12" a="1"/>
  <c r="W278" i="12" a="1"/>
  <c r="V277" i="12" a="1"/>
  <c r="U276" i="12" a="1"/>
  <c r="X275" i="12" a="1"/>
  <c r="U275" i="12" a="1"/>
  <c r="X274" i="12" a="1"/>
  <c r="W273" i="12" a="1"/>
  <c r="W272" i="12" a="1"/>
  <c r="V270" i="12" a="1"/>
  <c r="V269" i="12" a="1"/>
  <c r="U268" i="12" a="1"/>
  <c r="X267" i="12" a="1"/>
  <c r="X266" i="12" a="1"/>
  <c r="X265" i="12" a="1"/>
  <c r="X264" i="12" a="1"/>
  <c r="X263" i="12" a="1"/>
  <c r="U263" i="12" a="1"/>
  <c r="X262" i="12" a="1"/>
  <c r="W261" i="12" a="1"/>
  <c r="W260" i="12" a="1"/>
  <c r="V259" i="12" a="1"/>
  <c r="V258" i="12" a="1"/>
  <c r="V257" i="12" a="1"/>
  <c r="V256" i="12" a="1"/>
  <c r="V254" i="12" a="1"/>
  <c r="V253" i="12" a="1"/>
  <c r="U252" i="12" a="1"/>
  <c r="X251" i="12" a="1"/>
  <c r="U251" i="12" a="1"/>
  <c r="X250" i="12" a="1"/>
  <c r="W249" i="12" a="1"/>
  <c r="W248" i="12" a="1"/>
  <c r="V247" i="12" a="1"/>
  <c r="V246" i="12" a="1"/>
  <c r="U245" i="12" a="1"/>
  <c r="U244" i="12" a="1"/>
  <c r="X243" i="12" a="1"/>
  <c r="X242" i="12" a="1"/>
  <c r="W241" i="12" a="1"/>
  <c r="W240" i="12" a="1"/>
  <c r="V239" i="12" a="1"/>
  <c r="V238" i="12" a="1"/>
  <c r="U237" i="12" a="1"/>
  <c r="U236" i="12" a="1"/>
  <c r="X235" i="12" a="1"/>
  <c r="X234" i="12" a="1"/>
  <c r="W233" i="12" a="1"/>
  <c r="W232" i="12" a="1"/>
  <c r="V231" i="12" a="1"/>
  <c r="V230" i="12" a="1"/>
  <c r="U229" i="12" a="1"/>
  <c r="U228" i="12" a="1"/>
  <c r="X227" i="12" a="1"/>
  <c r="X226" i="12" a="1"/>
  <c r="X225" i="12" a="1"/>
  <c r="X224" i="12" a="1"/>
  <c r="X223" i="12" a="1"/>
  <c r="U223" i="12" a="1"/>
  <c r="X222" i="12" a="1"/>
  <c r="W221" i="12" a="1"/>
  <c r="W220" i="12" a="1"/>
  <c r="V219" i="12" a="1"/>
  <c r="V218" i="12" a="1"/>
  <c r="V217" i="12" a="1"/>
  <c r="V216" i="12" a="1"/>
  <c r="V214" i="12" a="1"/>
  <c r="V213" i="12" a="1"/>
  <c r="U212" i="12" a="1"/>
  <c r="X211" i="12" a="1"/>
  <c r="U211" i="12" a="1"/>
  <c r="X210" i="12" a="1"/>
  <c r="W209" i="12" a="1"/>
  <c r="W208" i="12" a="1"/>
  <c r="V206" i="12" a="1"/>
  <c r="V205" i="12" a="1"/>
  <c r="U204" i="12" a="1"/>
  <c r="X203" i="12" a="1"/>
  <c r="U203" i="12" a="1"/>
  <c r="X202" i="12" a="1"/>
  <c r="W201" i="12" a="1"/>
  <c r="W200" i="12" a="1"/>
  <c r="V198" i="12" a="1"/>
  <c r="V197" i="12" a="1"/>
  <c r="U196" i="12" a="1"/>
  <c r="X195" i="12" a="1"/>
  <c r="X194" i="12" a="1"/>
  <c r="W193" i="12" a="1"/>
  <c r="W192" i="12" a="1"/>
  <c r="V191" i="12" a="1"/>
  <c r="V190" i="12" a="1"/>
  <c r="U189" i="12" a="1"/>
  <c r="U188" i="12" a="1"/>
  <c r="X187" i="12" a="1"/>
  <c r="X186" i="12" a="1"/>
  <c r="W185" i="12" a="1"/>
  <c r="W184" i="12" a="1"/>
  <c r="V183" i="12" a="1"/>
  <c r="V182" i="12" a="1"/>
  <c r="U181" i="12" a="1"/>
  <c r="U180" i="12" a="1"/>
  <c r="U179" i="12" a="1"/>
  <c r="U178" i="12" a="1"/>
  <c r="U177" i="12" a="1"/>
  <c r="V626" i="12" a="1"/>
  <c r="V625" i="12" a="1"/>
  <c r="U623" i="12" a="1"/>
  <c r="V620" i="12" a="1"/>
  <c r="W619" i="12" a="1"/>
  <c r="W616" i="12" a="1"/>
  <c r="U614" i="12" a="1"/>
  <c r="V610" i="12" a="1"/>
  <c r="V608" i="12" a="1"/>
  <c r="V606" i="12" a="1"/>
  <c r="W605" i="12" a="1"/>
  <c r="X601" i="12" a="1"/>
  <c r="W599" i="12" a="1"/>
  <c r="U598" i="12" a="1"/>
  <c r="V595" i="12" a="1"/>
  <c r="W592" i="12" a="1"/>
  <c r="X590" i="12" a="1"/>
  <c r="U589" i="12" a="1"/>
  <c r="X588" i="12" a="1"/>
  <c r="X585" i="12" a="1"/>
  <c r="W583" i="12" a="1"/>
  <c r="U582" i="12" a="1"/>
  <c r="V579" i="12" a="1"/>
  <c r="W576" i="12" a="1"/>
  <c r="X574" i="12" a="1"/>
  <c r="U573" i="12" a="1"/>
  <c r="X572" i="12" a="1"/>
  <c r="X569" i="12" a="1"/>
  <c r="W567" i="12" a="1"/>
  <c r="U566" i="12" a="1"/>
  <c r="V563" i="12" a="1"/>
  <c r="V562" i="12" a="1"/>
  <c r="W561" i="12" a="1"/>
  <c r="U560" i="12" a="1"/>
  <c r="X559" i="12" a="1"/>
  <c r="V558" i="12" a="1"/>
  <c r="U557" i="12" a="1"/>
  <c r="X555" i="12" a="1"/>
  <c r="V553" i="12" a="1"/>
  <c r="W551" i="12" a="1"/>
  <c r="U550" i="12" a="1"/>
  <c r="X549" i="12" a="1"/>
  <c r="X548" i="12" a="1"/>
  <c r="W547" i="12" a="1"/>
  <c r="V544" i="12" a="1"/>
  <c r="U543" i="12" a="1"/>
  <c r="U542" i="12" a="1"/>
  <c r="X541" i="12" a="1"/>
  <c r="U541" i="12" a="1"/>
  <c r="U540" i="12" a="1"/>
  <c r="U539" i="12" a="1"/>
  <c r="V538" i="12" a="1"/>
  <c r="V537" i="12" a="1"/>
  <c r="U536" i="12" a="1"/>
  <c r="X535" i="12" a="1"/>
  <c r="X534" i="12" a="1"/>
  <c r="W533" i="12" a="1"/>
  <c r="X532" i="12" a="1"/>
  <c r="X531" i="12" a="1"/>
  <c r="X530" i="12" a="1"/>
  <c r="U530" i="12" a="1"/>
  <c r="X529" i="12" a="1"/>
  <c r="U529" i="12" a="1"/>
  <c r="X528" i="12" a="1"/>
  <c r="W527" i="12" a="1"/>
  <c r="W526" i="12" a="1"/>
  <c r="W524" i="12" a="1"/>
  <c r="W523" i="12" a="1"/>
  <c r="W522" i="12" a="1"/>
  <c r="W521" i="12" a="1"/>
  <c r="W520" i="12" a="1"/>
  <c r="V519" i="12" a="1"/>
  <c r="V518" i="12" a="1"/>
  <c r="V517" i="12" a="1"/>
  <c r="V516" i="12" a="1"/>
  <c r="V515" i="12" a="1"/>
  <c r="V512" i="12" a="1"/>
  <c r="U511" i="12" a="1"/>
  <c r="U510" i="12" a="1"/>
  <c r="X509" i="12" a="1"/>
  <c r="U509" i="12" a="1"/>
  <c r="U508" i="12" a="1"/>
  <c r="U507" i="12" a="1"/>
  <c r="V506" i="12" a="1"/>
  <c r="V505" i="12" a="1"/>
  <c r="U504" i="12" a="1"/>
  <c r="X503" i="12" a="1"/>
  <c r="X502" i="12" a="1"/>
  <c r="W501" i="12" a="1"/>
  <c r="X500" i="12" a="1"/>
  <c r="X499" i="12" a="1"/>
  <c r="X498" i="12" a="1"/>
  <c r="U498" i="12" a="1"/>
  <c r="X497" i="12" a="1"/>
  <c r="U497" i="12" a="1"/>
  <c r="X496" i="12" a="1"/>
  <c r="W495" i="12" a="1"/>
  <c r="W494" i="12" a="1"/>
  <c r="W492" i="12" a="1"/>
  <c r="W491" i="12" a="1"/>
  <c r="W490" i="12" a="1"/>
  <c r="W489" i="12" a="1"/>
  <c r="W488" i="12" a="1"/>
  <c r="V487" i="12" a="1"/>
  <c r="V486" i="12" a="1"/>
  <c r="V485" i="12" a="1"/>
  <c r="V484" i="12" a="1"/>
  <c r="V483" i="12" a="1"/>
  <c r="V480" i="12" a="1"/>
  <c r="U479" i="12" a="1"/>
  <c r="U478" i="12" a="1"/>
  <c r="X477" i="12" a="1"/>
  <c r="U477" i="12" a="1"/>
  <c r="U476" i="12" a="1"/>
  <c r="U475" i="12" a="1"/>
  <c r="V474" i="12" a="1"/>
  <c r="V473" i="12" a="1"/>
  <c r="U472" i="12" a="1"/>
  <c r="X471" i="12" a="1"/>
  <c r="W470" i="12" a="1"/>
  <c r="W469" i="12" a="1"/>
  <c r="V467" i="12" a="1"/>
  <c r="U466" i="12" a="1"/>
  <c r="U465" i="12" a="1"/>
  <c r="X464" i="12" a="1"/>
  <c r="U464" i="12" a="1"/>
  <c r="X463" i="12" a="1"/>
  <c r="W462" i="12" a="1"/>
  <c r="W461" i="12" a="1"/>
  <c r="V459" i="12" a="1"/>
  <c r="U458" i="12" a="1"/>
  <c r="U457" i="12" a="1"/>
  <c r="X456" i="12" a="1"/>
  <c r="U456" i="12" a="1"/>
  <c r="X455" i="12" a="1"/>
  <c r="W454" i="12" a="1"/>
  <c r="W453" i="12" a="1"/>
  <c r="V451" i="12" a="1"/>
  <c r="U450" i="12" a="1"/>
  <c r="U449" i="12" a="1"/>
  <c r="X448" i="12" a="1"/>
  <c r="U448" i="12" a="1"/>
  <c r="X447" i="12" a="1"/>
  <c r="W446" i="12" a="1"/>
  <c r="W445" i="12" a="1"/>
  <c r="V443" i="12" a="1"/>
  <c r="U442" i="12" a="1"/>
  <c r="U441" i="12" a="1"/>
  <c r="X440" i="12" a="1"/>
  <c r="U440" i="12" a="1"/>
  <c r="X439" i="12" a="1"/>
  <c r="W438" i="12" a="1"/>
  <c r="W437" i="12" a="1"/>
  <c r="V435" i="12" a="1"/>
  <c r="U434" i="12" a="1"/>
  <c r="U433" i="12" a="1"/>
  <c r="X432" i="12" a="1"/>
  <c r="U432" i="12" a="1"/>
  <c r="X431" i="12" a="1"/>
  <c r="W430" i="12" a="1"/>
  <c r="W429" i="12" a="1"/>
  <c r="V427" i="12" a="1"/>
  <c r="U426" i="12" a="1"/>
  <c r="U425" i="12" a="1"/>
  <c r="X424" i="12" a="1"/>
  <c r="U424" i="12" a="1"/>
  <c r="X423" i="12" a="1"/>
  <c r="W422" i="12" a="1"/>
  <c r="V421" i="12" a="1"/>
  <c r="U420" i="12" a="1"/>
  <c r="X419" i="12" a="1"/>
  <c r="W418" i="12" a="1"/>
  <c r="V417" i="12" a="1"/>
  <c r="U416" i="12" a="1"/>
  <c r="X415" i="12" a="1"/>
  <c r="W414" i="12" a="1"/>
  <c r="V413" i="12" a="1"/>
  <c r="U412" i="12" a="1"/>
  <c r="X411" i="12" a="1"/>
  <c r="W410" i="12" a="1"/>
  <c r="V409" i="12" a="1"/>
  <c r="U408" i="12" a="1"/>
  <c r="X407" i="12" a="1"/>
  <c r="W406" i="12" a="1"/>
  <c r="V405" i="12" a="1"/>
  <c r="V404" i="12" a="1"/>
  <c r="U403" i="12" a="1"/>
  <c r="U402" i="12" a="1"/>
  <c r="X401" i="12" a="1"/>
  <c r="X400" i="12" a="1"/>
  <c r="W399" i="12" a="1"/>
  <c r="W398" i="12" a="1"/>
  <c r="V397" i="12" a="1"/>
  <c r="V396" i="12" a="1"/>
  <c r="U395" i="12" a="1"/>
  <c r="U394" i="12" a="1"/>
  <c r="X393" i="12" a="1"/>
  <c r="X392" i="12" a="1"/>
  <c r="W391" i="12" a="1"/>
  <c r="W390" i="12" a="1"/>
  <c r="V389" i="12" a="1"/>
  <c r="V388" i="12" a="1"/>
  <c r="U387" i="12" a="1"/>
  <c r="U386" i="12" a="1"/>
  <c r="X385" i="12" a="1"/>
  <c r="X384" i="12" a="1"/>
  <c r="W383" i="12" a="1"/>
  <c r="W382" i="12" a="1"/>
  <c r="V381" i="12" a="1"/>
  <c r="V380" i="12" a="1"/>
  <c r="U379" i="12" a="1"/>
  <c r="U378" i="12" a="1"/>
  <c r="X377" i="12" a="1"/>
  <c r="X376" i="12" a="1"/>
  <c r="W375" i="12" a="1"/>
  <c r="W374" i="12" a="1"/>
  <c r="V373" i="12" a="1"/>
  <c r="V372" i="12" a="1"/>
  <c r="U371" i="12" a="1"/>
  <c r="U370" i="12" a="1"/>
  <c r="X369" i="12" a="1"/>
  <c r="X368" i="12" a="1"/>
  <c r="W367" i="12" a="1"/>
  <c r="W366" i="12" a="1"/>
  <c r="V365" i="12" a="1"/>
  <c r="V364" i="12" a="1"/>
  <c r="U363" i="12" a="1"/>
  <c r="U362" i="12" a="1"/>
  <c r="X361" i="12" a="1"/>
  <c r="X360" i="12" a="1"/>
  <c r="W359" i="12" a="1"/>
  <c r="W358" i="12" a="1"/>
  <c r="V357" i="12" a="1"/>
  <c r="U356" i="12" a="1"/>
  <c r="X355" i="12" a="1"/>
  <c r="U355" i="12" a="1"/>
  <c r="X354" i="12" a="1"/>
  <c r="W353" i="12" a="1"/>
  <c r="W352" i="12" a="1"/>
  <c r="V350" i="12" a="1"/>
  <c r="V349" i="12" a="1"/>
  <c r="U348" i="12" a="1"/>
  <c r="X347" i="12" a="1"/>
  <c r="U347" i="12" a="1"/>
  <c r="X346" i="12" a="1"/>
  <c r="W345" i="12" a="1"/>
  <c r="W344" i="12" a="1"/>
  <c r="V342" i="12" a="1"/>
  <c r="U341" i="12" a="1"/>
  <c r="X340" i="12" a="1"/>
  <c r="W339" i="12" a="1"/>
  <c r="W338" i="12" a="1"/>
  <c r="V336" i="12" a="1"/>
  <c r="V335" i="12" a="1"/>
  <c r="U334" i="12" a="1"/>
  <c r="X333" i="12" a="1"/>
  <c r="U333" i="12" a="1"/>
  <c r="X332" i="12" a="1"/>
  <c r="W331" i="12" a="1"/>
  <c r="W330" i="12" a="1"/>
  <c r="V328" i="12" a="1"/>
  <c r="V327" i="12" a="1"/>
  <c r="U326" i="12" a="1"/>
  <c r="X325" i="12" a="1"/>
  <c r="U325" i="12" a="1"/>
  <c r="X324" i="12" a="1"/>
  <c r="W323" i="12" a="1"/>
  <c r="W322" i="12" a="1"/>
  <c r="V321" i="12" a="1"/>
  <c r="V320" i="12" a="1"/>
  <c r="U319" i="12" a="1"/>
  <c r="U318" i="12" a="1"/>
  <c r="X317" i="12" a="1"/>
  <c r="X316" i="12" a="1"/>
  <c r="W315" i="12" a="1"/>
  <c r="W314" i="12" a="1"/>
  <c r="V313" i="12" a="1"/>
  <c r="V312" i="12" a="1"/>
  <c r="U311" i="12" a="1"/>
  <c r="U310" i="12" a="1"/>
  <c r="X309" i="12" a="1"/>
  <c r="X308" i="12" a="1"/>
  <c r="W307" i="12" a="1"/>
  <c r="W306" i="12" a="1"/>
  <c r="V305" i="12" a="1"/>
  <c r="V304" i="12" a="1"/>
  <c r="U303" i="12" a="1"/>
  <c r="U302" i="12" a="1"/>
  <c r="X301" i="12" a="1"/>
  <c r="X300" i="12" a="1"/>
  <c r="W299" i="12" a="1"/>
  <c r="W298" i="12" a="1"/>
  <c r="V297" i="12" a="1"/>
  <c r="V296" i="12" a="1"/>
  <c r="U295" i="12" a="1"/>
  <c r="U294" i="12" a="1"/>
  <c r="X293" i="12" a="1"/>
  <c r="X292" i="12" a="1"/>
  <c r="W291" i="12" a="1"/>
  <c r="W290" i="12" a="1"/>
  <c r="V289" i="12" a="1"/>
  <c r="V288" i="12" a="1"/>
  <c r="U287" i="12" a="1"/>
  <c r="U286" i="12" a="1"/>
  <c r="U285" i="12" a="1"/>
  <c r="U284" i="12" a="1"/>
  <c r="U283" i="12" a="1"/>
  <c r="U282" i="12" a="1"/>
  <c r="X281" i="12" a="1"/>
  <c r="X280" i="12" a="1"/>
  <c r="W279" i="12" a="1"/>
  <c r="V278" i="12" a="1"/>
  <c r="U277" i="12" a="1"/>
  <c r="X276" i="12" a="1"/>
  <c r="W275" i="12" a="1"/>
  <c r="W274" i="12" a="1"/>
  <c r="V272" i="12" a="1"/>
  <c r="V271" i="12" a="1"/>
  <c r="U270" i="12" a="1"/>
  <c r="X269" i="12" a="1"/>
  <c r="U269" i="12" a="1"/>
  <c r="X268" i="12" a="1"/>
  <c r="W267" i="12" a="1"/>
  <c r="W266" i="12" a="1"/>
  <c r="W265" i="12" a="1"/>
  <c r="W264" i="12" a="1"/>
  <c r="W263" i="12" a="1"/>
  <c r="W262" i="12" a="1"/>
  <c r="V260" i="12" a="1"/>
  <c r="U259" i="12" a="1"/>
  <c r="U258" i="12" a="1"/>
  <c r="U257" i="12" a="1"/>
  <c r="U256" i="12" a="1"/>
  <c r="V255" i="12" a="1"/>
  <c r="U254" i="12" a="1"/>
  <c r="X253" i="12" a="1"/>
  <c r="U253" i="12" a="1"/>
  <c r="X252" i="12" a="1"/>
  <c r="W251" i="12" a="1"/>
  <c r="W250" i="12" a="1"/>
  <c r="V248" i="12" a="1"/>
  <c r="U247" i="12" a="1"/>
  <c r="U246" i="12" a="1"/>
  <c r="X245" i="12" a="1"/>
  <c r="X244" i="12" a="1"/>
  <c r="W243" i="12" a="1"/>
  <c r="W242" i="12" a="1"/>
  <c r="V241" i="12" a="1"/>
  <c r="V240" i="12" a="1"/>
  <c r="U239" i="12" a="1"/>
  <c r="U238" i="12" a="1"/>
  <c r="X237" i="12" a="1"/>
  <c r="X236" i="12" a="1"/>
  <c r="W235" i="12" a="1"/>
  <c r="W234" i="12" a="1"/>
  <c r="V233" i="12" a="1"/>
  <c r="V232" i="12" a="1"/>
  <c r="U231" i="12" a="1"/>
  <c r="U230" i="12" a="1"/>
  <c r="X229" i="12" a="1"/>
  <c r="X228" i="12" a="1"/>
  <c r="W227" i="12" a="1"/>
  <c r="W226" i="12" a="1"/>
  <c r="W225" i="12" a="1"/>
  <c r="W224" i="12" a="1"/>
  <c r="W223" i="12" a="1"/>
  <c r="W222" i="12" a="1"/>
  <c r="V220" i="12" a="1"/>
  <c r="U219" i="12" a="1"/>
  <c r="U218" i="12" a="1"/>
  <c r="U217" i="12" a="1"/>
  <c r="U216" i="12" a="1"/>
  <c r="V215" i="12" a="1"/>
  <c r="U214" i="12" a="1"/>
  <c r="X213" i="12" a="1"/>
  <c r="U213" i="12" a="1"/>
  <c r="X212" i="12" a="1"/>
  <c r="W211" i="12" a="1"/>
  <c r="W210" i="12" a="1"/>
  <c r="V208" i="12" a="1"/>
  <c r="V207" i="12" a="1"/>
  <c r="U206" i="12" a="1"/>
  <c r="X205" i="12" a="1"/>
  <c r="U205" i="12" a="1"/>
  <c r="X204" i="12" a="1"/>
  <c r="W203" i="12" a="1"/>
  <c r="W202" i="12" a="1"/>
  <c r="V200" i="12" a="1"/>
  <c r="X668" i="12" a="1"/>
  <c r="W667" i="12" a="1"/>
  <c r="V666" i="12" a="1"/>
  <c r="U665" i="12" a="1"/>
  <c r="X664" i="12" a="1"/>
  <c r="W663" i="12" a="1"/>
  <c r="V662" i="12" a="1"/>
  <c r="U661" i="12" a="1"/>
  <c r="X660" i="12" a="1"/>
  <c r="W659" i="12" a="1"/>
  <c r="V658" i="12" a="1"/>
  <c r="U657" i="12" a="1"/>
  <c r="X656" i="12" a="1"/>
  <c r="W655" i="12" a="1"/>
  <c r="V654" i="12" a="1"/>
  <c r="U653" i="12" a="1"/>
  <c r="X652" i="12" a="1"/>
  <c r="W651" i="12" a="1"/>
  <c r="V650" i="12" a="1"/>
  <c r="U649" i="12" a="1"/>
  <c r="X648" i="12" a="1"/>
  <c r="W647" i="12" a="1"/>
  <c r="V646" i="12" a="1"/>
  <c r="U645" i="12" a="1"/>
  <c r="X644" i="12" a="1"/>
  <c r="W643" i="12" a="1"/>
  <c r="V642" i="12" a="1"/>
  <c r="U641" i="12" a="1"/>
  <c r="X640" i="12" a="1"/>
  <c r="W639" i="12" a="1"/>
  <c r="V638" i="12" a="1"/>
  <c r="U637" i="12" a="1"/>
  <c r="X636" i="12" a="1"/>
  <c r="W635" i="12" a="1"/>
  <c r="V634" i="12" a="1"/>
  <c r="U633" i="12" a="1"/>
  <c r="X632" i="12" a="1"/>
  <c r="W631" i="12" a="1"/>
  <c r="V630" i="12" a="1"/>
  <c r="U629" i="12" a="1"/>
  <c r="X628" i="12" a="1"/>
  <c r="U625" i="12" a="1"/>
  <c r="X624" i="12" a="1"/>
  <c r="V619" i="12" a="1"/>
  <c r="W618" i="12" a="1"/>
  <c r="U616" i="12" a="1"/>
  <c r="X615" i="12" a="1"/>
  <c r="X613" i="12" a="1"/>
  <c r="U612" i="12" a="1"/>
  <c r="X611" i="12" a="1"/>
  <c r="U610" i="12" a="1"/>
  <c r="V607" i="12" a="1"/>
  <c r="V605" i="12" a="1"/>
  <c r="W604" i="12" a="1"/>
  <c r="W601" i="12" a="1"/>
  <c r="U599" i="12" a="1"/>
  <c r="V597" i="12" a="1"/>
  <c r="W594" i="12" a="1"/>
  <c r="U592" i="12" a="1"/>
  <c r="X591" i="12" a="1"/>
  <c r="V590" i="12" a="1"/>
  <c r="V588" i="12" a="1"/>
  <c r="W585" i="12" a="1"/>
  <c r="U583" i="12" a="1"/>
  <c r="V581" i="12" a="1"/>
  <c r="W578" i="12" a="1"/>
  <c r="U576" i="12" a="1"/>
  <c r="X575" i="12" a="1"/>
  <c r="V574" i="12" a="1"/>
  <c r="V572" i="12" a="1"/>
  <c r="W569" i="12" a="1"/>
  <c r="U567" i="12" a="1"/>
  <c r="V565" i="12" a="1"/>
  <c r="V559" i="12" a="1"/>
  <c r="U558" i="12" a="1"/>
  <c r="X557" i="12" a="1"/>
  <c r="X556" i="12" a="1"/>
  <c r="V555" i="12" a="1"/>
  <c r="V554" i="12" a="1"/>
  <c r="U553" i="12" a="1"/>
  <c r="X552" i="12" a="1"/>
  <c r="U551" i="12" a="1"/>
  <c r="W549" i="12" a="1"/>
  <c r="W548" i="12" a="1"/>
  <c r="U547" i="12" a="1"/>
  <c r="V546" i="12" a="1"/>
  <c r="V545" i="12" a="1"/>
  <c r="U544" i="12" a="1"/>
  <c r="X543" i="12" a="1"/>
  <c r="X542" i="12" a="1"/>
  <c r="W541" i="12" a="1"/>
  <c r="X540" i="12" a="1"/>
  <c r="X539" i="12" a="1"/>
  <c r="X538" i="12" a="1"/>
  <c r="U538" i="12" a="1"/>
  <c r="X537" i="12" a="1"/>
  <c r="U537" i="12" a="1"/>
  <c r="X536" i="12" a="1"/>
  <c r="W535" i="12" a="1"/>
  <c r="W534" i="12" a="1"/>
  <c r="W532" i="12" a="1"/>
  <c r="W531" i="12" a="1"/>
  <c r="W530" i="12" a="1"/>
  <c r="W529" i="12" a="1"/>
  <c r="W528" i="12" a="1"/>
  <c r="V527" i="12" a="1"/>
  <c r="V526" i="12" a="1"/>
  <c r="V525" i="12" a="1"/>
  <c r="V524" i="12" a="1"/>
  <c r="V523" i="12" a="1"/>
  <c r="V520" i="12" a="1"/>
  <c r="U519" i="12" a="1"/>
  <c r="U518" i="12" a="1"/>
  <c r="X517" i="12" a="1"/>
  <c r="U517" i="12" a="1"/>
  <c r="U516" i="12" a="1"/>
  <c r="U515" i="12" a="1"/>
  <c r="V514" i="12" a="1"/>
  <c r="V513" i="12" a="1"/>
  <c r="U512" i="12" a="1"/>
  <c r="X511" i="12" a="1"/>
  <c r="X510" i="12" a="1"/>
  <c r="W509" i="12" a="1"/>
  <c r="X508" i="12" a="1"/>
  <c r="X507" i="12" a="1"/>
  <c r="X506" i="12" a="1"/>
  <c r="U506" i="12" a="1"/>
  <c r="X505" i="12" a="1"/>
  <c r="U505" i="12" a="1"/>
  <c r="X504" i="12" a="1"/>
  <c r="W503" i="12" a="1"/>
  <c r="W502" i="12" a="1"/>
  <c r="W500" i="12" a="1"/>
  <c r="W499" i="12" a="1"/>
  <c r="W498" i="12" a="1"/>
  <c r="W497" i="12" a="1"/>
  <c r="W496" i="12" a="1"/>
  <c r="V495" i="12" a="1"/>
  <c r="V494" i="12" a="1"/>
  <c r="V493" i="12" a="1"/>
  <c r="V492" i="12" a="1"/>
  <c r="V491" i="12" a="1"/>
  <c r="V488" i="12" a="1"/>
  <c r="U487" i="12" a="1"/>
  <c r="U486" i="12" a="1"/>
  <c r="X485" i="12" a="1"/>
  <c r="U485" i="12" a="1"/>
  <c r="U484" i="12" a="1"/>
  <c r="U483" i="12" a="1"/>
  <c r="V482" i="12" a="1"/>
  <c r="V481" i="12" a="1"/>
  <c r="U480" i="12" a="1"/>
  <c r="X479" i="12" a="1"/>
  <c r="X478" i="12" a="1"/>
  <c r="W477" i="12" a="1"/>
  <c r="X476" i="12" a="1"/>
  <c r="X475" i="12" a="1"/>
  <c r="X474" i="12" a="1"/>
  <c r="U474" i="12" a="1"/>
  <c r="X473" i="12" a="1"/>
  <c r="U473" i="12" a="1"/>
  <c r="X472" i="12" a="1"/>
  <c r="W471" i="12" a="1"/>
  <c r="V470" i="12" a="1"/>
  <c r="V469" i="12" a="1"/>
  <c r="V468" i="12" a="1"/>
  <c r="U467" i="12" a="1"/>
  <c r="X466" i="12" a="1"/>
  <c r="X465" i="12" a="1"/>
  <c r="W464" i="12" a="1"/>
  <c r="W463" i="12" a="1"/>
  <c r="V462" i="12" a="1"/>
  <c r="V461" i="12" a="1"/>
  <c r="V460" i="12" a="1"/>
  <c r="U459" i="12" a="1"/>
  <c r="X458" i="12" a="1"/>
  <c r="X457" i="12" a="1"/>
  <c r="W456" i="12" a="1"/>
  <c r="W455" i="12" a="1"/>
  <c r="V454" i="12" a="1"/>
  <c r="V453" i="12" a="1"/>
  <c r="V452" i="12" a="1"/>
  <c r="U451" i="12" a="1"/>
  <c r="X450" i="12" a="1"/>
  <c r="X449" i="12" a="1"/>
  <c r="W448" i="12" a="1"/>
  <c r="W447" i="12" a="1"/>
  <c r="V446" i="12" a="1"/>
  <c r="V445" i="12" a="1"/>
  <c r="V444" i="12" a="1"/>
  <c r="U443" i="12" a="1"/>
  <c r="X442" i="12" a="1"/>
  <c r="X441" i="12" a="1"/>
  <c r="W440" i="12" a="1"/>
  <c r="W439" i="12" a="1"/>
  <c r="V438" i="12" a="1"/>
  <c r="V437" i="12" a="1"/>
  <c r="V436" i="12" a="1"/>
  <c r="U435" i="12" a="1"/>
  <c r="X434" i="12" a="1"/>
  <c r="X433" i="12" a="1"/>
  <c r="W432" i="12" a="1"/>
  <c r="W431" i="12" a="1"/>
  <c r="V430" i="12" a="1"/>
  <c r="V429" i="12" a="1"/>
  <c r="V428" i="12" a="1"/>
  <c r="U427" i="12" a="1"/>
  <c r="X426" i="12" a="1"/>
  <c r="X425" i="12" a="1"/>
  <c r="W424" i="12" a="1"/>
  <c r="W423" i="12" a="1"/>
  <c r="V422" i="12" a="1"/>
  <c r="U421" i="12" a="1"/>
  <c r="X420" i="12" a="1"/>
  <c r="W419" i="12" a="1"/>
  <c r="V418" i="12" a="1"/>
  <c r="U417" i="12" a="1"/>
  <c r="X416" i="12" a="1"/>
  <c r="W415" i="12" a="1"/>
  <c r="V414" i="12" a="1"/>
  <c r="U413" i="12" a="1"/>
  <c r="X412" i="12" a="1"/>
  <c r="W411" i="12" a="1"/>
  <c r="V410" i="12" a="1"/>
  <c r="U409" i="12" a="1"/>
  <c r="X408" i="12" a="1"/>
  <c r="W407" i="12" a="1"/>
  <c r="V406" i="12" a="1"/>
  <c r="U405" i="12" a="1"/>
  <c r="U404" i="12" a="1"/>
  <c r="X403" i="12" a="1"/>
  <c r="X402" i="12" a="1"/>
  <c r="W401" i="12" a="1"/>
  <c r="W400" i="12" a="1"/>
  <c r="V399" i="12" a="1"/>
  <c r="V398" i="12" a="1"/>
  <c r="U397" i="12" a="1"/>
  <c r="U396" i="12" a="1"/>
  <c r="X395" i="12" a="1"/>
  <c r="X394" i="12" a="1"/>
  <c r="W393" i="12" a="1"/>
  <c r="W392" i="12" a="1"/>
  <c r="V391" i="12" a="1"/>
  <c r="V390" i="12" a="1"/>
  <c r="U389" i="12" a="1"/>
  <c r="U388" i="12" a="1"/>
  <c r="X387" i="12" a="1"/>
  <c r="X386" i="12" a="1"/>
  <c r="W385" i="12" a="1"/>
  <c r="W384" i="12" a="1"/>
  <c r="V383" i="12" a="1"/>
  <c r="V382" i="12" a="1"/>
  <c r="U381" i="12" a="1"/>
  <c r="U380" i="12" a="1"/>
  <c r="X379" i="12" a="1"/>
  <c r="X378" i="12" a="1"/>
  <c r="W377" i="12" a="1"/>
  <c r="W376" i="12" a="1"/>
  <c r="V375" i="12" a="1"/>
  <c r="V374" i="12" a="1"/>
  <c r="U373" i="12" a="1"/>
  <c r="U372" i="12" a="1"/>
  <c r="X371" i="12" a="1"/>
  <c r="X370" i="12" a="1"/>
  <c r="W369" i="12" a="1"/>
  <c r="W368" i="12" a="1"/>
  <c r="V367" i="12" a="1"/>
  <c r="V366" i="12" a="1"/>
  <c r="U365" i="12" a="1"/>
  <c r="U364" i="12" a="1"/>
  <c r="X363" i="12" a="1"/>
  <c r="X362" i="12" a="1"/>
  <c r="W361" i="12" a="1"/>
  <c r="W360" i="12" a="1"/>
  <c r="V359" i="12" a="1"/>
  <c r="V358" i="12" a="1"/>
  <c r="U357" i="12" a="1"/>
  <c r="X356" i="12" a="1"/>
  <c r="W355" i="12" a="1"/>
  <c r="W354" i="12" a="1"/>
  <c r="V352" i="12" a="1"/>
  <c r="V351" i="12" a="1"/>
  <c r="U350" i="12" a="1"/>
  <c r="X349" i="12" a="1"/>
  <c r="U349" i="12" a="1"/>
  <c r="X348" i="12" a="1"/>
  <c r="W347" i="12" a="1"/>
  <c r="W346" i="12" a="1"/>
  <c r="V344" i="12" a="1"/>
  <c r="V343" i="12" a="1"/>
  <c r="U342" i="12" a="1"/>
  <c r="X341" i="12" a="1"/>
  <c r="W340" i="12" a="1"/>
  <c r="V338" i="12" a="1"/>
  <c r="V337" i="12" a="1"/>
  <c r="U336" i="12" a="1"/>
  <c r="X335" i="12" a="1"/>
  <c r="U335" i="12" a="1"/>
  <c r="X334" i="12" a="1"/>
  <c r="W333" i="12" a="1"/>
  <c r="W332" i="12" a="1"/>
  <c r="V330" i="12" a="1"/>
  <c r="V329" i="12" a="1"/>
  <c r="U328" i="12" a="1"/>
  <c r="X327" i="12" a="1"/>
  <c r="U327" i="12" a="1"/>
  <c r="X326" i="12" a="1"/>
  <c r="W325" i="12" a="1"/>
  <c r="W324" i="12" a="1"/>
  <c r="V322" i="12" a="1"/>
  <c r="U321" i="12" a="1"/>
  <c r="U320" i="12" a="1"/>
  <c r="X319" i="12" a="1"/>
  <c r="X318" i="12" a="1"/>
  <c r="W317" i="12" a="1"/>
  <c r="W316" i="12" a="1"/>
  <c r="V315" i="12" a="1"/>
  <c r="V314" i="12" a="1"/>
  <c r="U313" i="12" a="1"/>
  <c r="U312" i="12" a="1"/>
  <c r="X311" i="12" a="1"/>
  <c r="X310" i="12" a="1"/>
  <c r="W309" i="12" a="1"/>
  <c r="W308" i="12" a="1"/>
  <c r="V307" i="12" a="1"/>
  <c r="V306" i="12" a="1"/>
  <c r="U305" i="12" a="1"/>
  <c r="U304" i="12" a="1"/>
  <c r="X303" i="12" a="1"/>
  <c r="X302" i="12" a="1"/>
  <c r="W301" i="12" a="1"/>
  <c r="W300" i="12" a="1"/>
  <c r="V299" i="12" a="1"/>
  <c r="V298" i="12" a="1"/>
  <c r="U297" i="12" a="1"/>
  <c r="U296" i="12" a="1"/>
  <c r="X295" i="12" a="1"/>
  <c r="X294" i="12" a="1"/>
  <c r="W293" i="12" a="1"/>
  <c r="W292" i="12" a="1"/>
  <c r="V291" i="12" a="1"/>
  <c r="V290" i="12" a="1"/>
  <c r="U289" i="12" a="1"/>
  <c r="U288" i="12" a="1"/>
  <c r="X287" i="12" a="1"/>
  <c r="X286" i="12" a="1"/>
  <c r="X285" i="12" a="1"/>
  <c r="X284" i="12" a="1"/>
  <c r="X283" i="12" a="1"/>
  <c r="X282" i="12" a="1"/>
  <c r="W281" i="12" a="1"/>
  <c r="W280" i="12" a="1"/>
  <c r="V279" i="12" a="1"/>
  <c r="U278" i="12" a="1"/>
  <c r="X277" i="12" a="1"/>
  <c r="W276" i="12" a="1"/>
  <c r="V274" i="12" a="1"/>
  <c r="V273" i="12" a="1"/>
  <c r="U272" i="12" a="1"/>
  <c r="X271" i="12" a="1"/>
  <c r="U271" i="12" a="1"/>
  <c r="X270" i="12" a="1"/>
  <c r="W269" i="12" a="1"/>
  <c r="W268" i="12" a="1"/>
  <c r="V267" i="12" a="1"/>
  <c r="V266" i="12" a="1"/>
  <c r="V265" i="12" a="1"/>
  <c r="V264" i="12" a="1"/>
  <c r="V262" i="12" a="1"/>
  <c r="V261" i="12" a="1"/>
  <c r="U260" i="12" a="1"/>
  <c r="X259" i="12" a="1"/>
  <c r="X258" i="12" a="1"/>
  <c r="X257" i="12" a="1"/>
  <c r="X256" i="12" a="1"/>
  <c r="X255" i="12" a="1"/>
  <c r="U255" i="12" a="1"/>
  <c r="X254" i="12" a="1"/>
  <c r="W253" i="12" a="1"/>
  <c r="W252" i="12" a="1"/>
  <c r="V250" i="12" a="1"/>
  <c r="V249" i="12" a="1"/>
  <c r="U248" i="12" a="1"/>
  <c r="X247" i="12" a="1"/>
  <c r="X246" i="12" a="1"/>
  <c r="W245" i="12" a="1"/>
  <c r="W244" i="12" a="1"/>
  <c r="V243" i="12" a="1"/>
  <c r="V242" i="12" a="1"/>
  <c r="U241" i="12" a="1"/>
  <c r="U240" i="12" a="1"/>
  <c r="X239" i="12" a="1"/>
  <c r="X238" i="12" a="1"/>
  <c r="W237" i="12" a="1"/>
  <c r="W236" i="12" a="1"/>
  <c r="V235" i="12" a="1"/>
  <c r="U628" i="12" a="1"/>
  <c r="X627" i="12" a="1"/>
  <c r="V624" i="12" a="1"/>
  <c r="V622" i="12" a="1"/>
  <c r="W621" i="12" a="1"/>
  <c r="X617" i="12" a="1"/>
  <c r="W615" i="12" a="1"/>
  <c r="X614" i="12" a="1"/>
  <c r="U613" i="12" a="1"/>
  <c r="X612" i="12" a="1"/>
  <c r="U611" i="12" a="1"/>
  <c r="V609" i="12" a="1"/>
  <c r="U607" i="12" a="1"/>
  <c r="V604" i="12" a="1"/>
  <c r="W603" i="12" a="1"/>
  <c r="W600" i="12" a="1"/>
  <c r="X598" i="12" a="1"/>
  <c r="U597" i="12" a="1"/>
  <c r="X596" i="12" a="1"/>
  <c r="X593" i="12" a="1"/>
  <c r="W591" i="12" a="1"/>
  <c r="U590" i="12" a="1"/>
  <c r="V587" i="12" a="1"/>
  <c r="W584" i="12" a="1"/>
  <c r="X582" i="12" a="1"/>
  <c r="U581" i="12" a="1"/>
  <c r="X580" i="12" a="1"/>
  <c r="X577" i="12" a="1"/>
  <c r="W575" i="12" a="1"/>
  <c r="U574" i="12" a="1"/>
  <c r="V571" i="12" a="1"/>
  <c r="W568" i="12" a="1"/>
  <c r="X566" i="12" a="1"/>
  <c r="U565" i="12" a="1"/>
  <c r="X564" i="12" a="1"/>
  <c r="W562" i="12" a="1"/>
  <c r="V561" i="12" a="1"/>
  <c r="W560" i="12" a="1"/>
  <c r="U559" i="12" a="1"/>
  <c r="W557" i="12" a="1"/>
  <c r="V556" i="12" a="1"/>
  <c r="U555" i="12" a="1"/>
  <c r="U554" i="12" a="1"/>
  <c r="X553" i="12" a="1"/>
  <c r="V552" i="12" a="1"/>
  <c r="X550" i="12" a="1"/>
  <c r="U548" i="12" a="1"/>
  <c r="X546" i="12" a="1"/>
  <c r="U546" i="12" a="1"/>
  <c r="X545" i="12" a="1"/>
  <c r="U545" i="12" a="1"/>
  <c r="X544" i="12" a="1"/>
  <c r="W543" i="12" a="1"/>
  <c r="W542" i="12" a="1"/>
  <c r="W540" i="12" a="1"/>
  <c r="W539" i="12" a="1"/>
  <c r="W538" i="12" a="1"/>
  <c r="W537" i="12" a="1"/>
  <c r="W536" i="12" a="1"/>
  <c r="V535" i="12" a="1"/>
  <c r="V534" i="12" a="1"/>
  <c r="V533" i="12" a="1"/>
  <c r="V532" i="12" a="1"/>
  <c r="V531" i="12" a="1"/>
  <c r="V528" i="12" a="1"/>
  <c r="U527" i="12" a="1"/>
  <c r="U526" i="12" a="1"/>
  <c r="X525" i="12" a="1"/>
  <c r="U525" i="12" a="1"/>
  <c r="U524" i="12" a="1"/>
  <c r="U523" i="12" a="1"/>
  <c r="V522" i="12" a="1"/>
  <c r="V521" i="12" a="1"/>
  <c r="U520" i="12" a="1"/>
  <c r="X519" i="12" a="1"/>
  <c r="X518" i="12" a="1"/>
  <c r="W517" i="12" a="1"/>
  <c r="X516" i="12" a="1"/>
  <c r="X515" i="12" a="1"/>
  <c r="X514" i="12" a="1"/>
  <c r="U514" i="12" a="1"/>
  <c r="X513" i="12" a="1"/>
  <c r="U513" i="12" a="1"/>
  <c r="X512" i="12" a="1"/>
  <c r="W511" i="12" a="1"/>
  <c r="W510" i="12" a="1"/>
  <c r="W508" i="12" a="1"/>
  <c r="W507" i="12" a="1"/>
  <c r="W506" i="12" a="1"/>
  <c r="W505" i="12" a="1"/>
  <c r="W504" i="12" a="1"/>
  <c r="V503" i="12" a="1"/>
  <c r="V502" i="12" a="1"/>
  <c r="V501" i="12" a="1"/>
  <c r="V500" i="12" a="1"/>
  <c r="V499" i="12" a="1"/>
  <c r="V496" i="12" a="1"/>
  <c r="U495" i="12" a="1"/>
  <c r="U494" i="12" a="1"/>
  <c r="X493" i="12" a="1"/>
  <c r="U493" i="12" a="1"/>
  <c r="U492" i="12" a="1"/>
  <c r="U491" i="12" a="1"/>
  <c r="V490" i="12" a="1"/>
  <c r="V489" i="12" a="1"/>
  <c r="U488" i="12" a="1"/>
  <c r="X487" i="12" a="1"/>
  <c r="X486" i="12" a="1"/>
  <c r="W485" i="12" a="1"/>
  <c r="X484" i="12" a="1"/>
  <c r="X483" i="12" a="1"/>
  <c r="X482" i="12" a="1"/>
  <c r="U482" i="12" a="1"/>
  <c r="X481" i="12" a="1"/>
  <c r="U481" i="12" a="1"/>
  <c r="X480" i="12" a="1"/>
  <c r="W479" i="12" a="1"/>
  <c r="W478" i="12" a="1"/>
  <c r="W476" i="12" a="1"/>
  <c r="W475" i="12" a="1"/>
  <c r="W474" i="12" a="1"/>
  <c r="W473" i="12" a="1"/>
  <c r="W472" i="12" a="1"/>
  <c r="V471" i="12" a="1"/>
  <c r="U470" i="12" a="1"/>
  <c r="U469" i="12" a="1"/>
  <c r="X468" i="12" a="1"/>
  <c r="U468" i="12" a="1"/>
  <c r="X467" i="12" a="1"/>
  <c r="W466" i="12" a="1"/>
  <c r="W465" i="12" a="1"/>
  <c r="V463" i="12" a="1"/>
  <c r="U462" i="12" a="1"/>
  <c r="U461" i="12" a="1"/>
  <c r="X460" i="12" a="1"/>
  <c r="U460" i="12" a="1"/>
  <c r="X459" i="12" a="1"/>
  <c r="W458" i="12" a="1"/>
  <c r="W457" i="12" a="1"/>
  <c r="V455" i="12" a="1"/>
  <c r="U454" i="12" a="1"/>
  <c r="U453" i="12" a="1"/>
  <c r="X452" i="12" a="1"/>
  <c r="U452" i="12" a="1"/>
  <c r="X451" i="12" a="1"/>
  <c r="W450" i="12" a="1"/>
  <c r="W449" i="12" a="1"/>
  <c r="V447" i="12" a="1"/>
  <c r="U446" i="12" a="1"/>
  <c r="U445" i="12" a="1"/>
  <c r="X444" i="12" a="1"/>
  <c r="U444" i="12" a="1"/>
  <c r="X443" i="12" a="1"/>
  <c r="W442" i="12" a="1"/>
  <c r="W441" i="12" a="1"/>
  <c r="V439" i="12" a="1"/>
  <c r="U438" i="12" a="1"/>
  <c r="U437" i="12" a="1"/>
  <c r="X436" i="12" a="1"/>
  <c r="U436" i="12" a="1"/>
  <c r="X435" i="12" a="1"/>
  <c r="W434" i="12" a="1"/>
  <c r="W433" i="12" a="1"/>
  <c r="V431" i="12" a="1"/>
  <c r="U430" i="12" a="1"/>
  <c r="U429" i="12" a="1"/>
  <c r="X428" i="12" a="1"/>
  <c r="U428" i="12" a="1"/>
  <c r="X427" i="12" a="1"/>
  <c r="W426" i="12" a="1"/>
  <c r="W425" i="12" a="1"/>
  <c r="V423" i="12" a="1"/>
  <c r="U422" i="12" a="1"/>
  <c r="X421" i="12" a="1"/>
  <c r="W420" i="12" a="1"/>
  <c r="V419" i="12" a="1"/>
  <c r="U418" i="12" a="1"/>
  <c r="X417" i="12" a="1"/>
  <c r="W416" i="12" a="1"/>
  <c r="V415" i="12" a="1"/>
  <c r="U414" i="12" a="1"/>
  <c r="X413" i="12" a="1"/>
  <c r="W412" i="12" a="1"/>
  <c r="V411" i="12" a="1"/>
  <c r="U410" i="12" a="1"/>
  <c r="X409" i="12" a="1"/>
  <c r="W408" i="12" a="1"/>
  <c r="V407" i="12" a="1"/>
  <c r="U406" i="12" a="1"/>
  <c r="X405" i="12" a="1"/>
  <c r="X404" i="12" a="1"/>
  <c r="W403" i="12" a="1"/>
  <c r="W402" i="12" a="1"/>
  <c r="V401" i="12" a="1"/>
  <c r="V400" i="12" a="1"/>
  <c r="U399" i="12" a="1"/>
  <c r="U398" i="12" a="1"/>
  <c r="X397" i="12" a="1"/>
  <c r="X396" i="12" a="1"/>
  <c r="W395" i="12" a="1"/>
  <c r="W394" i="12" a="1"/>
  <c r="V393" i="12" a="1"/>
  <c r="V392" i="12" a="1"/>
  <c r="U391" i="12" a="1"/>
  <c r="U390" i="12" a="1"/>
  <c r="X389" i="12" a="1"/>
  <c r="X388" i="12" a="1"/>
  <c r="W387" i="12" a="1"/>
  <c r="W386" i="12" a="1"/>
  <c r="V385" i="12" a="1"/>
  <c r="V384" i="12" a="1"/>
  <c r="U383" i="12" a="1"/>
  <c r="U382" i="12" a="1"/>
  <c r="X381" i="12" a="1"/>
  <c r="X380" i="12" a="1"/>
  <c r="W379" i="12" a="1"/>
  <c r="W378" i="12" a="1"/>
  <c r="V377" i="12" a="1"/>
  <c r="V376" i="12" a="1"/>
  <c r="U375" i="12" a="1"/>
  <c r="U374" i="12" a="1"/>
  <c r="X373" i="12" a="1"/>
  <c r="X372" i="12" a="1"/>
  <c r="W371" i="12" a="1"/>
  <c r="W370" i="12" a="1"/>
  <c r="V369" i="12" a="1"/>
  <c r="V368" i="12" a="1"/>
  <c r="U367" i="12" a="1"/>
  <c r="U366" i="12" a="1"/>
  <c r="X365" i="12" a="1"/>
  <c r="X364" i="12" a="1"/>
  <c r="W363" i="12" a="1"/>
  <c r="W362" i="12" a="1"/>
  <c r="V361" i="12" a="1"/>
  <c r="V360" i="12" a="1"/>
  <c r="U359" i="12" a="1"/>
  <c r="U358" i="12" a="1"/>
  <c r="X357" i="12" a="1"/>
  <c r="W356" i="12" a="1"/>
  <c r="V354" i="12" a="1"/>
  <c r="V353" i="12" a="1"/>
  <c r="U352" i="12" a="1"/>
  <c r="X351" i="12" a="1"/>
  <c r="U351" i="12" a="1"/>
  <c r="X350" i="12" a="1"/>
  <c r="W349" i="12" a="1"/>
  <c r="W348" i="12" a="1"/>
  <c r="V346" i="12" a="1"/>
  <c r="V345" i="12" a="1"/>
  <c r="U344" i="12" a="1"/>
  <c r="X343" i="12" a="1"/>
  <c r="U343" i="12" a="1"/>
  <c r="X342" i="12" a="1"/>
  <c r="W341" i="12" a="1"/>
  <c r="V340" i="12" a="1"/>
  <c r="V339" i="12" a="1"/>
  <c r="U338" i="12" a="1"/>
  <c r="X337" i="12" a="1"/>
  <c r="U337" i="12" a="1"/>
  <c r="X336" i="12" a="1"/>
  <c r="W335" i="12" a="1"/>
  <c r="W334" i="12" a="1"/>
  <c r="V332" i="12" a="1"/>
  <c r="V331" i="12" a="1"/>
  <c r="U330" i="12" a="1"/>
  <c r="X329" i="12" a="1"/>
  <c r="U329" i="12" a="1"/>
  <c r="X328" i="12" a="1"/>
  <c r="W327" i="12" a="1"/>
  <c r="W326" i="12" a="1"/>
  <c r="V324" i="12" a="1"/>
  <c r="V323" i="12" a="1"/>
  <c r="U322" i="12" a="1"/>
  <c r="X321" i="12" a="1"/>
  <c r="X320" i="12" a="1"/>
  <c r="W319" i="12" a="1"/>
  <c r="W318" i="12" a="1"/>
  <c r="V317" i="12" a="1"/>
  <c r="V316" i="12" a="1"/>
  <c r="U315" i="12" a="1"/>
  <c r="U314" i="12" a="1"/>
  <c r="X313" i="12" a="1"/>
  <c r="X312" i="12" a="1"/>
  <c r="W311" i="12" a="1"/>
  <c r="W310" i="12" a="1"/>
  <c r="V309" i="12" a="1"/>
  <c r="V308" i="12" a="1"/>
  <c r="U307" i="12" a="1"/>
  <c r="U306" i="12" a="1"/>
  <c r="X305" i="12" a="1"/>
  <c r="X304" i="12" a="1"/>
  <c r="W303" i="12" a="1"/>
  <c r="W302" i="12" a="1"/>
  <c r="V301" i="12" a="1"/>
  <c r="V300" i="12" a="1"/>
  <c r="U299" i="12" a="1"/>
  <c r="U298" i="12" a="1"/>
  <c r="X297" i="12" a="1"/>
  <c r="X296" i="12" a="1"/>
  <c r="W295" i="12" a="1"/>
  <c r="W294" i="12" a="1"/>
  <c r="V293" i="12" a="1"/>
  <c r="V292" i="12" a="1"/>
  <c r="U291" i="12" a="1"/>
  <c r="U290" i="12" a="1"/>
  <c r="X289" i="12" a="1"/>
  <c r="X288" i="12" a="1"/>
  <c r="W287" i="12" a="1"/>
  <c r="W286" i="12" a="1"/>
  <c r="W285" i="12" a="1"/>
  <c r="W284" i="12" a="1"/>
  <c r="W283" i="12" a="1"/>
  <c r="W282" i="12" a="1"/>
  <c r="V281" i="12" a="1"/>
  <c r="V280" i="12" a="1"/>
  <c r="U279" i="12" a="1"/>
  <c r="X278" i="12" a="1"/>
  <c r="W277" i="12" a="1"/>
  <c r="V276" i="12" a="1"/>
  <c r="V275" i="12" a="1"/>
  <c r="U274" i="12" a="1"/>
  <c r="X273" i="12" a="1"/>
  <c r="U273" i="12" a="1"/>
  <c r="X272" i="12" a="1"/>
  <c r="W271" i="12" a="1"/>
  <c r="W270" i="12" a="1"/>
  <c r="V268" i="12" a="1"/>
  <c r="U267" i="12" a="1"/>
  <c r="U266" i="12" a="1"/>
  <c r="U265" i="12" a="1"/>
  <c r="U264" i="12" a="1"/>
  <c r="V263" i="12" a="1"/>
  <c r="U262" i="12" a="1"/>
  <c r="X261" i="12" a="1"/>
  <c r="U261" i="12" a="1"/>
  <c r="X260" i="12" a="1"/>
  <c r="W259" i="12" a="1"/>
  <c r="W258" i="12" a="1"/>
  <c r="W257" i="12" a="1"/>
  <c r="W256" i="12" a="1"/>
  <c r="W255" i="12" a="1"/>
  <c r="W254" i="12" a="1"/>
  <c r="V252" i="12" a="1"/>
  <c r="V251" i="12" a="1"/>
  <c r="U250" i="12" a="1"/>
  <c r="X249" i="12" a="1"/>
  <c r="U249" i="12" a="1"/>
  <c r="X248" i="12" a="1"/>
  <c r="W247" i="12" a="1"/>
  <c r="W246" i="12" a="1"/>
  <c r="V245" i="12" a="1"/>
  <c r="V244" i="12" a="1"/>
  <c r="U243" i="12" a="1"/>
  <c r="U242" i="12" a="1"/>
  <c r="X241" i="12" a="1"/>
  <c r="X240" i="12" a="1"/>
  <c r="W239" i="12" a="1"/>
  <c r="W238" i="12" a="1"/>
  <c r="V237" i="12" a="1"/>
  <c r="V236" i="12" a="1"/>
  <c r="U235" i="12" a="1"/>
  <c r="U234" i="12" a="1"/>
  <c r="X233" i="12" a="1"/>
  <c r="X232" i="12" a="1"/>
  <c r="W231" i="12" a="1"/>
  <c r="W230" i="12" a="1"/>
  <c r="V229" i="12" a="1"/>
  <c r="V228" i="12" a="1"/>
  <c r="U227" i="12" a="1"/>
  <c r="U226" i="12" a="1"/>
  <c r="U225" i="12" a="1"/>
  <c r="U224" i="12" a="1"/>
  <c r="V223" i="12" a="1"/>
  <c r="U222" i="12" a="1"/>
  <c r="X221" i="12" a="1"/>
  <c r="U221" i="12" a="1"/>
  <c r="X220" i="12" a="1"/>
  <c r="W219" i="12" a="1"/>
  <c r="W218" i="12" a="1"/>
  <c r="W217" i="12" a="1"/>
  <c r="W216" i="12" a="1"/>
  <c r="W215" i="12" a="1"/>
  <c r="W214" i="12" a="1"/>
  <c r="V212" i="12" a="1"/>
  <c r="V211" i="12" a="1"/>
  <c r="U210" i="12" a="1"/>
  <c r="X209" i="12" a="1"/>
  <c r="U209" i="12" a="1"/>
  <c r="X208" i="12" a="1"/>
  <c r="W207" i="12" a="1"/>
  <c r="W206" i="12" a="1"/>
  <c r="V204" i="12" a="1"/>
  <c r="V203" i="12" a="1"/>
  <c r="U202" i="12" a="1"/>
  <c r="X201" i="12" a="1"/>
  <c r="U201" i="12" a="1"/>
  <c r="X200" i="12" a="1"/>
  <c r="W199" i="12" a="1"/>
  <c r="W198" i="12" a="1"/>
  <c r="V196" i="12" a="1"/>
  <c r="U195" i="12" a="1"/>
  <c r="U194" i="12" a="1"/>
  <c r="X193" i="12" a="1"/>
  <c r="X192" i="12" a="1"/>
  <c r="W191" i="12" a="1"/>
  <c r="W190" i="12" a="1"/>
  <c r="V189" i="12" a="1"/>
  <c r="V188" i="12" a="1"/>
  <c r="U187" i="12" a="1"/>
  <c r="U186" i="12" a="1"/>
  <c r="X185" i="12" a="1"/>
  <c r="X184" i="12" a="1"/>
  <c r="W183" i="12" a="1"/>
  <c r="W182" i="12" a="1"/>
  <c r="V181" i="12" a="1"/>
  <c r="V180" i="12" a="1"/>
  <c r="V179" i="12" a="1"/>
  <c r="V178" i="12" a="1"/>
  <c r="V177" i="12" a="1"/>
  <c r="V176" i="12" a="1"/>
  <c r="V175" i="12" a="1"/>
  <c r="V234" i="12" a="1"/>
  <c r="U233" i="12" a="1"/>
  <c r="V199" i="12" a="1"/>
  <c r="U197" i="12" a="1"/>
  <c r="X196" i="12" a="1"/>
  <c r="U193" i="12" a="1"/>
  <c r="X190" i="12" a="1"/>
  <c r="V187" i="12" a="1"/>
  <c r="W186" i="12" a="1"/>
  <c r="U184" i="12" a="1"/>
  <c r="X183" i="12" a="1"/>
  <c r="W181" i="12" a="1"/>
  <c r="X180" i="12" a="1"/>
  <c r="W177" i="12" a="1"/>
  <c r="X175" i="12" a="1"/>
  <c r="W174" i="12" a="1"/>
  <c r="W173" i="12" a="1"/>
  <c r="W172" i="12" a="1"/>
  <c r="W171" i="12" a="1"/>
  <c r="W170" i="12" a="1"/>
  <c r="W169" i="12" a="1"/>
  <c r="W168" i="12" a="1"/>
  <c r="W167" i="12" a="1"/>
  <c r="W166" i="12" a="1"/>
  <c r="W165" i="12" a="1"/>
  <c r="W164" i="12" a="1"/>
  <c r="W163" i="12" a="1"/>
  <c r="W162" i="12" a="1"/>
  <c r="W161" i="12" a="1"/>
  <c r="W160" i="12" a="1"/>
  <c r="W159" i="12" a="1"/>
  <c r="W158" i="12" a="1"/>
  <c r="W157" i="12" a="1"/>
  <c r="W156" i="12" a="1"/>
  <c r="W155" i="12" a="1"/>
  <c r="W154" i="12" a="1"/>
  <c r="W153" i="12" a="1"/>
  <c r="W152" i="12" a="1"/>
  <c r="W151" i="12" a="1"/>
  <c r="W150" i="12" a="1"/>
  <c r="W149" i="12" a="1"/>
  <c r="W148" i="12" a="1"/>
  <c r="W147" i="12" a="1"/>
  <c r="W146" i="12" a="1"/>
  <c r="W145" i="12" a="1"/>
  <c r="W144" i="12" a="1"/>
  <c r="W143" i="12" a="1"/>
  <c r="W142" i="12" a="1"/>
  <c r="W141" i="12" a="1"/>
  <c r="W140" i="12" a="1"/>
  <c r="W139" i="12" a="1"/>
  <c r="W138" i="12" a="1"/>
  <c r="W137" i="12" a="1"/>
  <c r="W136" i="12" a="1"/>
  <c r="W135" i="12" a="1"/>
  <c r="W134" i="12" a="1"/>
  <c r="W133" i="12" a="1"/>
  <c r="W132" i="12" a="1"/>
  <c r="W131" i="12" a="1"/>
  <c r="W130" i="12" a="1"/>
  <c r="W129" i="12" a="1"/>
  <c r="W128" i="12" a="1"/>
  <c r="W127" i="12" a="1"/>
  <c r="W126" i="12" a="1"/>
  <c r="W125" i="12" a="1"/>
  <c r="W124" i="12" a="1"/>
  <c r="W123" i="12" a="1"/>
  <c r="W122" i="12" a="1"/>
  <c r="W121" i="12" a="1"/>
  <c r="W120" i="12" a="1"/>
  <c r="W119" i="12" a="1"/>
  <c r="W118" i="12" a="1"/>
  <c r="W117" i="12" a="1"/>
  <c r="W116" i="12" a="1"/>
  <c r="W115" i="12" a="1"/>
  <c r="W114" i="12" a="1"/>
  <c r="W113" i="12" a="1"/>
  <c r="W112" i="12" a="1"/>
  <c r="W111" i="12" a="1"/>
  <c r="W110" i="12" a="1"/>
  <c r="W109" i="12" a="1"/>
  <c r="W108" i="12" a="1"/>
  <c r="W107" i="12" a="1"/>
  <c r="W106" i="12" a="1"/>
  <c r="W105" i="12" a="1"/>
  <c r="W104" i="12" a="1"/>
  <c r="W103" i="12" a="1"/>
  <c r="W102" i="12" a="1"/>
  <c r="W101" i="12" a="1"/>
  <c r="W100" i="12" a="1"/>
  <c r="W99" i="12" a="1"/>
  <c r="W98" i="12" a="1"/>
  <c r="W97" i="12" a="1"/>
  <c r="W96" i="12" a="1"/>
  <c r="W95" i="12" a="1"/>
  <c r="W94" i="12" a="1"/>
  <c r="W93" i="12" a="1"/>
  <c r="W92" i="12" a="1"/>
  <c r="W91" i="12" a="1"/>
  <c r="W90" i="12" a="1"/>
  <c r="W89" i="12" a="1"/>
  <c r="W88" i="12" a="1"/>
  <c r="W87" i="12" a="1"/>
  <c r="W86" i="12" a="1"/>
  <c r="W85" i="12" a="1"/>
  <c r="W84" i="12" a="1"/>
  <c r="W83" i="12" a="1"/>
  <c r="W82" i="12" a="1"/>
  <c r="W81" i="12" a="1"/>
  <c r="W80" i="12" a="1"/>
  <c r="W79" i="12" a="1"/>
  <c r="W78" i="12" a="1"/>
  <c r="W77" i="12" a="1"/>
  <c r="W76" i="12" a="1"/>
  <c r="W75" i="12" a="1"/>
  <c r="W74" i="12" a="1"/>
  <c r="W73" i="12" a="1"/>
  <c r="W72" i="12" a="1"/>
  <c r="W71" i="12" a="1"/>
  <c r="W70" i="12" a="1"/>
  <c r="W69" i="12" a="1"/>
  <c r="W68" i="12" a="1"/>
  <c r="W67" i="12" a="1"/>
  <c r="W66" i="12" a="1"/>
  <c r="W65" i="12" a="1"/>
  <c r="W64" i="12" a="1"/>
  <c r="W63" i="12" a="1"/>
  <c r="W62" i="12" a="1"/>
  <c r="W61" i="12" a="1"/>
  <c r="W60" i="12" a="1"/>
  <c r="W59" i="12" a="1"/>
  <c r="W58" i="12" a="1"/>
  <c r="W57" i="12" a="1"/>
  <c r="W56" i="12" a="1"/>
  <c r="W55" i="12" a="1"/>
  <c r="W54" i="12" a="1"/>
  <c r="W53" i="12" a="1"/>
  <c r="W52" i="12" a="1"/>
  <c r="W51" i="12" a="1"/>
  <c r="W50" i="12" a="1"/>
  <c r="W49" i="12" a="1"/>
  <c r="W48" i="12" a="1"/>
  <c r="W47" i="12" a="1"/>
  <c r="W46" i="12" a="1"/>
  <c r="W45" i="12" a="1"/>
  <c r="W44" i="12" a="1"/>
  <c r="W43" i="12" a="1"/>
  <c r="W42" i="12" a="1"/>
  <c r="W41" i="12" a="1"/>
  <c r="W40" i="12" a="1"/>
  <c r="W39" i="12" a="1"/>
  <c r="W38" i="12" a="1"/>
  <c r="W37" i="12" a="1"/>
  <c r="W36" i="12" a="1"/>
  <c r="W35" i="12" a="1"/>
  <c r="W34" i="12" a="1"/>
  <c r="W33" i="12" a="1"/>
  <c r="W32" i="12" a="1"/>
  <c r="W31" i="12" a="1"/>
  <c r="W30" i="12" a="1"/>
  <c r="W29" i="12" a="1"/>
  <c r="W28" i="12" a="1"/>
  <c r="W27" i="12" a="1"/>
  <c r="W26" i="12" a="1"/>
  <c r="W25" i="12" a="1"/>
  <c r="W24" i="12" a="1"/>
  <c r="W23" i="12" a="1"/>
  <c r="W22" i="12" a="1"/>
  <c r="W21" i="12" a="1"/>
  <c r="W20" i="12" a="1"/>
  <c r="W19" i="12" a="1"/>
  <c r="W18" i="12" a="1"/>
  <c r="W17" i="12" a="1"/>
  <c r="W16" i="12" a="1"/>
  <c r="W15" i="12" a="1"/>
  <c r="W14" i="12" a="1"/>
  <c r="W13" i="12" a="1"/>
  <c r="W12" i="12" a="1"/>
  <c r="W11" i="12" a="1"/>
  <c r="W10" i="12" a="1"/>
  <c r="W9" i="12" a="1"/>
  <c r="W8" i="12" a="1"/>
  <c r="W7" i="12" a="1"/>
  <c r="W6" i="12" a="1"/>
  <c r="W5" i="12" a="1"/>
  <c r="W4" i="12" a="1"/>
  <c r="W3" i="12" a="1"/>
  <c r="W2" i="12" a="1"/>
  <c r="B110" i="3" a="1"/>
  <c r="B109" i="3" a="1"/>
  <c r="B108" i="3" a="1"/>
  <c r="G101" i="3" a="1"/>
  <c r="AF99" i="3" a="1"/>
  <c r="G99" i="3" a="1"/>
  <c r="AF98" i="3" a="1"/>
  <c r="G98" i="3" a="1"/>
  <c r="AF97" i="3" a="1"/>
  <c r="AF96" i="3" a="1"/>
  <c r="G96" i="3" a="1"/>
  <c r="B94" i="3" a="1"/>
  <c r="AF92" i="3" a="1"/>
  <c r="G92" i="3" a="1"/>
  <c r="B90" i="3" a="1"/>
  <c r="B87" i="3" a="1"/>
  <c r="AF85" i="3" a="1"/>
  <c r="G85" i="3" a="1"/>
  <c r="B84" i="3" a="1"/>
  <c r="B83" i="3" a="1"/>
  <c r="B81" i="3" a="1"/>
  <c r="B80" i="3" a="1"/>
  <c r="AF78" i="3" a="1"/>
  <c r="G78" i="3" a="1"/>
  <c r="AF73" i="3" a="1"/>
  <c r="G73" i="3" a="1"/>
  <c r="AF71" i="3" a="1"/>
  <c r="G71" i="3" a="1"/>
  <c r="B69" i="3" a="1"/>
  <c r="AF67" i="3" a="1"/>
  <c r="G67" i="3" a="1"/>
  <c r="AF66" i="3" a="1"/>
  <c r="G66" i="3" a="1"/>
  <c r="AF64" i="3" a="1"/>
  <c r="G64" i="3" a="1"/>
  <c r="B62" i="3" a="1"/>
  <c r="AF60" i="3" a="1"/>
  <c r="G60" i="3" a="1"/>
  <c r="B58" i="3" a="1"/>
  <c r="B55" i="3" a="1"/>
  <c r="AF53" i="3" a="1"/>
  <c r="G53" i="3" a="1"/>
  <c r="B52" i="3" a="1"/>
  <c r="B51" i="3" a="1"/>
  <c r="B49" i="3" a="1"/>
  <c r="B48" i="3" a="1"/>
  <c r="AF46" i="3" a="1"/>
  <c r="G46" i="3" a="1"/>
  <c r="B44" i="3" a="1"/>
  <c r="AF42" i="3" a="1"/>
  <c r="G42" i="3" a="1"/>
  <c r="AF41" i="3" a="1"/>
  <c r="G41" i="3" a="1"/>
  <c r="B40" i="3" a="1"/>
  <c r="B39" i="3" a="1"/>
  <c r="B37" i="3" a="1"/>
  <c r="B36" i="3" a="1"/>
  <c r="AF34" i="3" a="1"/>
  <c r="G34" i="3" a="1"/>
  <c r="B31" i="3" a="1"/>
  <c r="AF28" i="3" a="1"/>
  <c r="G28" i="3" a="1"/>
  <c r="B27" i="3" a="1"/>
  <c r="AF25" i="3" a="1"/>
  <c r="G25" i="3" a="1"/>
  <c r="B24" i="3" a="1"/>
  <c r="AF22" i="3" a="1"/>
  <c r="G22" i="3" a="1"/>
  <c r="AF19" i="3" a="1"/>
  <c r="G19" i="3" a="1"/>
  <c r="B18" i="3" a="1"/>
  <c r="B17" i="3" a="1"/>
  <c r="AF14" i="3" a="1"/>
  <c r="G14" i="3" a="1"/>
  <c r="B13" i="3" a="1"/>
  <c r="AF10" i="3" a="1"/>
  <c r="G10" i="3" a="1"/>
  <c r="B9" i="3" a="1"/>
  <c r="AF6" i="3" a="1"/>
  <c r="G6" i="3" a="1"/>
  <c r="V78" i="12" a="1"/>
  <c r="V76" i="12" a="1"/>
  <c r="V64" i="12" a="1"/>
  <c r="V61" i="12" a="1"/>
  <c r="V58" i="12" a="1"/>
  <c r="V55" i="12" a="1"/>
  <c r="V52" i="12" a="1"/>
  <c r="V50" i="12" a="1"/>
  <c r="V47" i="12" a="1"/>
  <c r="V44" i="12" a="1"/>
  <c r="V42" i="12" a="1"/>
  <c r="V40" i="12" a="1"/>
  <c r="V36" i="12" a="1"/>
  <c r="V34" i="12" a="1"/>
  <c r="V32" i="12" a="1"/>
  <c r="V29" i="12" a="1"/>
  <c r="V25" i="12" a="1"/>
  <c r="V23" i="12" a="1"/>
  <c r="V20" i="12" a="1"/>
  <c r="V17" i="12" a="1"/>
  <c r="V14" i="12" a="1"/>
  <c r="V12" i="12" a="1"/>
  <c r="V9" i="12" a="1"/>
  <c r="V6" i="12" a="1"/>
  <c r="V4" i="12" a="1"/>
  <c r="G110" i="3" a="1"/>
  <c r="G108" i="3" a="1"/>
  <c r="B106" i="3" a="1"/>
  <c r="G95" i="3" a="1"/>
  <c r="AF93" i="3" a="1"/>
  <c r="B91" i="3" a="1"/>
  <c r="B88" i="3" a="1"/>
  <c r="G81" i="3" a="1"/>
  <c r="B77" i="3" a="1"/>
  <c r="AF74" i="3" a="1"/>
  <c r="G72" i="3" a="1"/>
  <c r="AF68" i="3" a="1"/>
  <c r="B66" i="3" a="1"/>
  <c r="B63" i="3" a="1"/>
  <c r="B60" i="3" a="1"/>
  <c r="B57" i="3" a="1"/>
  <c r="G49" i="3" a="1"/>
  <c r="B45" i="3" a="1"/>
  <c r="G37" i="3" a="1"/>
  <c r="B33" i="3" a="1"/>
  <c r="G29" i="3" a="1"/>
  <c r="AF26" i="3" a="1"/>
  <c r="B22" i="3" a="1"/>
  <c r="G16" i="3" a="1"/>
  <c r="B8" i="3" a="1"/>
  <c r="U27" i="12" a="1"/>
  <c r="U24" i="12" a="1"/>
  <c r="U20" i="12" a="1"/>
  <c r="U17" i="12" a="1"/>
  <c r="U13" i="12" a="1"/>
  <c r="U9" i="12" a="1"/>
  <c r="U6" i="12" a="1"/>
  <c r="G107" i="3" a="1"/>
  <c r="AF104" i="3" a="1"/>
  <c r="B103" i="3" a="1"/>
  <c r="B100" i="3" a="1"/>
  <c r="AF89" i="3" a="1"/>
  <c r="AF87" i="3" a="1"/>
  <c r="B85" i="3" a="1"/>
  <c r="AF82" i="3" a="1"/>
  <c r="AF76" i="3" a="1"/>
  <c r="B71" i="3" a="1"/>
  <c r="B68" i="3" a="1"/>
  <c r="B64" i="3" a="1"/>
  <c r="G57" i="3" a="1"/>
  <c r="G51" i="3" a="1"/>
  <c r="AF44" i="3" a="1"/>
  <c r="AF43" i="3" a="1"/>
  <c r="B41" i="3" a="1"/>
  <c r="G38" i="3" a="1"/>
  <c r="AF32" i="3" a="1"/>
  <c r="B26" i="3" a="1"/>
  <c r="B19" i="3" a="1"/>
  <c r="B14" i="3" a="1"/>
  <c r="AF11" i="3" a="1"/>
  <c r="AF8" i="3" a="1"/>
  <c r="AF7" i="3" a="1"/>
  <c r="B6" i="3" a="1"/>
  <c r="U232" i="12" a="1"/>
  <c r="X231" i="12" a="1"/>
  <c r="X230" i="12" a="1"/>
  <c r="W229" i="12" a="1"/>
  <c r="W228" i="12" a="1"/>
  <c r="V227" i="12" a="1"/>
  <c r="V226" i="12" a="1"/>
  <c r="V225" i="12" a="1"/>
  <c r="V224" i="12" a="1"/>
  <c r="V222" i="12" a="1"/>
  <c r="V221" i="12" a="1"/>
  <c r="U220" i="12" a="1"/>
  <c r="X219" i="12" a="1"/>
  <c r="X218" i="12" a="1"/>
  <c r="X217" i="12" a="1"/>
  <c r="X216" i="12" a="1"/>
  <c r="X215" i="12" a="1"/>
  <c r="U199" i="12" a="1"/>
  <c r="X198" i="12" a="1"/>
  <c r="W196" i="12" a="1"/>
  <c r="W195" i="12" a="1"/>
  <c r="V192" i="12" a="1"/>
  <c r="U190" i="12" a="1"/>
  <c r="X189" i="12" a="1"/>
  <c r="V186" i="12" a="1"/>
  <c r="V185" i="12" a="1"/>
  <c r="U183" i="12" a="1"/>
  <c r="W180" i="12" a="1"/>
  <c r="X179" i="12" a="1"/>
  <c r="X176" i="12" a="1"/>
  <c r="W175" i="12" a="1"/>
  <c r="V174" i="12" a="1"/>
  <c r="V173" i="12" a="1"/>
  <c r="V172" i="12" a="1"/>
  <c r="V171" i="12" a="1"/>
  <c r="V170" i="12" a="1"/>
  <c r="V169" i="12" a="1"/>
  <c r="V168" i="12" a="1"/>
  <c r="V167" i="12" a="1"/>
  <c r="V166" i="12" a="1"/>
  <c r="V165" i="12" a="1"/>
  <c r="V164" i="12" a="1"/>
  <c r="V163" i="12" a="1"/>
  <c r="V162" i="12" a="1"/>
  <c r="V161" i="12" a="1"/>
  <c r="V160" i="12" a="1"/>
  <c r="V159" i="12" a="1"/>
  <c r="V158" i="12" a="1"/>
  <c r="V157" i="12" a="1"/>
  <c r="V156" i="12" a="1"/>
  <c r="V155" i="12" a="1"/>
  <c r="V154" i="12" a="1"/>
  <c r="V153" i="12" a="1"/>
  <c r="V152" i="12" a="1"/>
  <c r="V151" i="12" a="1"/>
  <c r="V150" i="12" a="1"/>
  <c r="V149" i="12" a="1"/>
  <c r="V148" i="12" a="1"/>
  <c r="V147" i="12" a="1"/>
  <c r="V146" i="12" a="1"/>
  <c r="V145" i="12" a="1"/>
  <c r="V144" i="12" a="1"/>
  <c r="V143" i="12" a="1"/>
  <c r="V142" i="12" a="1"/>
  <c r="V141" i="12" a="1"/>
  <c r="V140" i="12" a="1"/>
  <c r="V139" i="12" a="1"/>
  <c r="V138" i="12" a="1"/>
  <c r="V137" i="12" a="1"/>
  <c r="V136" i="12" a="1"/>
  <c r="V135" i="12" a="1"/>
  <c r="V134" i="12" a="1"/>
  <c r="V133" i="12" a="1"/>
  <c r="V132" i="12" a="1"/>
  <c r="V131" i="12" a="1"/>
  <c r="V130" i="12" a="1"/>
  <c r="V129" i="12" a="1"/>
  <c r="V128" i="12" a="1"/>
  <c r="V127" i="12" a="1"/>
  <c r="V126" i="12" a="1"/>
  <c r="V125" i="12" a="1"/>
  <c r="V124" i="12" a="1"/>
  <c r="V123" i="12" a="1"/>
  <c r="V122" i="12" a="1"/>
  <c r="V121" i="12" a="1"/>
  <c r="V120" i="12" a="1"/>
  <c r="V119" i="12" a="1"/>
  <c r="V118" i="12" a="1"/>
  <c r="V117" i="12" a="1"/>
  <c r="V116" i="12" a="1"/>
  <c r="V115" i="12" a="1"/>
  <c r="V114" i="12" a="1"/>
  <c r="V113" i="12" a="1"/>
  <c r="V112" i="12" a="1"/>
  <c r="V111" i="12" a="1"/>
  <c r="V110" i="12" a="1"/>
  <c r="V109" i="12" a="1"/>
  <c r="V108" i="12" a="1"/>
  <c r="V107" i="12" a="1"/>
  <c r="V106" i="12" a="1"/>
  <c r="V105" i="12" a="1"/>
  <c r="V104" i="12" a="1"/>
  <c r="V103" i="12" a="1"/>
  <c r="V102" i="12" a="1"/>
  <c r="V101" i="12" a="1"/>
  <c r="V100" i="12" a="1"/>
  <c r="V99" i="12" a="1"/>
  <c r="V98" i="12" a="1"/>
  <c r="V97" i="12" a="1"/>
  <c r="V96" i="12" a="1"/>
  <c r="V95" i="12" a="1"/>
  <c r="V94" i="12" a="1"/>
  <c r="V93" i="12" a="1"/>
  <c r="V92" i="12" a="1"/>
  <c r="V91" i="12" a="1"/>
  <c r="V90" i="12" a="1"/>
  <c r="V89" i="12" a="1"/>
  <c r="V88" i="12" a="1"/>
  <c r="V87" i="12" a="1"/>
  <c r="V86" i="12" a="1"/>
  <c r="V85" i="12" a="1"/>
  <c r="V84" i="12" a="1"/>
  <c r="V83" i="12" a="1"/>
  <c r="V82" i="12" a="1"/>
  <c r="V81" i="12" a="1"/>
  <c r="V80" i="12" a="1"/>
  <c r="V79" i="12" a="1"/>
  <c r="V77" i="12" a="1"/>
  <c r="V74" i="12" a="1"/>
  <c r="V72" i="12" a="1"/>
  <c r="V69" i="12" a="1"/>
  <c r="V67" i="12" a="1"/>
  <c r="V63" i="12" a="1"/>
  <c r="V60" i="12" a="1"/>
  <c r="V57" i="12" a="1"/>
  <c r="V53" i="12" a="1"/>
  <c r="V49" i="12" a="1"/>
  <c r="V45" i="12" a="1"/>
  <c r="V41" i="12" a="1"/>
  <c r="V38" i="12" a="1"/>
  <c r="V33" i="12" a="1"/>
  <c r="V30" i="12" a="1"/>
  <c r="V27" i="12" a="1"/>
  <c r="V22" i="12" a="1"/>
  <c r="V19" i="12" a="1"/>
  <c r="V15" i="12" a="1"/>
  <c r="V11" i="12" a="1"/>
  <c r="V8" i="12" a="1"/>
  <c r="V3" i="12" a="1"/>
  <c r="AF110" i="3" a="1"/>
  <c r="B105" i="3" a="1"/>
  <c r="G97" i="3" a="1"/>
  <c r="G93" i="3" a="1"/>
  <c r="G86" i="3" a="1"/>
  <c r="G79" i="3" a="1"/>
  <c r="G74" i="3" a="1"/>
  <c r="G68" i="3" a="1"/>
  <c r="G61" i="3" a="1"/>
  <c r="B56" i="3" a="1"/>
  <c r="AF49" i="3" a="1"/>
  <c r="G35" i="3" a="1"/>
  <c r="G31" i="3" a="1"/>
  <c r="G26" i="3" a="1"/>
  <c r="B21" i="3" a="1"/>
  <c r="U26" i="12" a="1"/>
  <c r="U21" i="12" a="1"/>
  <c r="U16" i="12" a="1"/>
  <c r="U11" i="12" a="1"/>
  <c r="U7" i="12" a="1"/>
  <c r="U4" i="12" a="1"/>
  <c r="AF107" i="3" a="1"/>
  <c r="G106" i="3" a="1"/>
  <c r="B102" i="3" a="1"/>
  <c r="G87" i="3" a="1"/>
  <c r="AF80" i="3" a="1"/>
  <c r="B78" i="3" a="1"/>
  <c r="B67" i="3" a="1"/>
  <c r="G62" i="3" a="1"/>
  <c r="B53" i="3" a="1"/>
  <c r="G50" i="3" a="1"/>
  <c r="G44" i="3" a="1"/>
  <c r="AF39" i="3" a="1"/>
  <c r="AF38" i="3" a="1"/>
  <c r="B34" i="3" a="1"/>
  <c r="G27" i="3" a="1"/>
  <c r="G20" i="3" a="1"/>
  <c r="G17" i="3" a="1"/>
  <c r="G12" i="3" a="1"/>
  <c r="G8" i="3" a="1"/>
  <c r="U215" i="12" a="1"/>
  <c r="X214" i="12" a="1"/>
  <c r="W213" i="12" a="1"/>
  <c r="W212" i="12" a="1"/>
  <c r="V210" i="12" a="1"/>
  <c r="V209" i="12" a="1"/>
  <c r="U208" i="12" a="1"/>
  <c r="X207" i="12" a="1"/>
  <c r="U198" i="12" a="1"/>
  <c r="X197" i="12" a="1"/>
  <c r="V195" i="12" a="1"/>
  <c r="W194" i="12" a="1"/>
  <c r="U192" i="12" a="1"/>
  <c r="X191" i="12" a="1"/>
  <c r="W189" i="12" a="1"/>
  <c r="X188" i="12" a="1"/>
  <c r="U185" i="12" a="1"/>
  <c r="X182" i="12" a="1"/>
  <c r="W179" i="12" a="1"/>
  <c r="X178" i="12" a="1"/>
  <c r="W176" i="12" a="1"/>
  <c r="U175" i="12" a="1"/>
  <c r="U174" i="12" a="1"/>
  <c r="U173" i="12" a="1"/>
  <c r="U172" i="12" a="1"/>
  <c r="U171" i="12" a="1"/>
  <c r="U170" i="12" a="1"/>
  <c r="U169" i="12" a="1"/>
  <c r="U168" i="12" a="1"/>
  <c r="U167" i="12" a="1"/>
  <c r="U166" i="12" a="1"/>
  <c r="U165" i="12" a="1"/>
  <c r="U164" i="12" a="1"/>
  <c r="U163" i="12" a="1"/>
  <c r="U162" i="12" a="1"/>
  <c r="U161" i="12" a="1"/>
  <c r="U160" i="12" a="1"/>
  <c r="U159" i="12" a="1"/>
  <c r="U158" i="12" a="1"/>
  <c r="U157" i="12" a="1"/>
  <c r="U156" i="12" a="1"/>
  <c r="U155" i="12" a="1"/>
  <c r="U154" i="12" a="1"/>
  <c r="U153" i="12" a="1"/>
  <c r="U152" i="12" a="1"/>
  <c r="U151" i="12" a="1"/>
  <c r="U150" i="12" a="1"/>
  <c r="U149" i="12" a="1"/>
  <c r="U148" i="12" a="1"/>
  <c r="U147" i="12" a="1"/>
  <c r="U146" i="12" a="1"/>
  <c r="U145" i="12" a="1"/>
  <c r="U144" i="12" a="1"/>
  <c r="U143" i="12" a="1"/>
  <c r="U142" i="12" a="1"/>
  <c r="U141" i="12" a="1"/>
  <c r="U140" i="12" a="1"/>
  <c r="U139" i="12" a="1"/>
  <c r="U138" i="12" a="1"/>
  <c r="U137" i="12" a="1"/>
  <c r="U136" i="12" a="1"/>
  <c r="U135" i="12" a="1"/>
  <c r="U134" i="12" a="1"/>
  <c r="U133" i="12" a="1"/>
  <c r="U132" i="12" a="1"/>
  <c r="U131" i="12" a="1"/>
  <c r="U130" i="12" a="1"/>
  <c r="U129" i="12" a="1"/>
  <c r="U128" i="12" a="1"/>
  <c r="U127" i="12" a="1"/>
  <c r="U126" i="12" a="1"/>
  <c r="U125" i="12" a="1"/>
  <c r="U124" i="12" a="1"/>
  <c r="U123" i="12" a="1"/>
  <c r="U122" i="12" a="1"/>
  <c r="U121" i="12" a="1"/>
  <c r="U120" i="12" a="1"/>
  <c r="U119" i="12" a="1"/>
  <c r="U118" i="12" a="1"/>
  <c r="U117" i="12" a="1"/>
  <c r="U116" i="12" a="1"/>
  <c r="U115" i="12" a="1"/>
  <c r="U114" i="12" a="1"/>
  <c r="U113" i="12" a="1"/>
  <c r="U112" i="12" a="1"/>
  <c r="U111" i="12" a="1"/>
  <c r="U110" i="12" a="1"/>
  <c r="U109" i="12" a="1"/>
  <c r="U108" i="12" a="1"/>
  <c r="U107" i="12" a="1"/>
  <c r="U106" i="12" a="1"/>
  <c r="U105" i="12" a="1"/>
  <c r="U104" i="12" a="1"/>
  <c r="U103" i="12" a="1"/>
  <c r="U102" i="12" a="1"/>
  <c r="U101" i="12" a="1"/>
  <c r="U100" i="12" a="1"/>
  <c r="U99" i="12" a="1"/>
  <c r="U98" i="12" a="1"/>
  <c r="U97" i="12" a="1"/>
  <c r="U96" i="12" a="1"/>
  <c r="U95" i="12" a="1"/>
  <c r="U94" i="12" a="1"/>
  <c r="U93" i="12" a="1"/>
  <c r="U92" i="12" a="1"/>
  <c r="U91" i="12" a="1"/>
  <c r="U90" i="12" a="1"/>
  <c r="U89" i="12" a="1"/>
  <c r="U88" i="12" a="1"/>
  <c r="U87" i="12" a="1"/>
  <c r="U86" i="12" a="1"/>
  <c r="U85" i="12" a="1"/>
  <c r="U84" i="12" a="1"/>
  <c r="U83" i="12" a="1"/>
  <c r="U82" i="12" a="1"/>
  <c r="U81" i="12" a="1"/>
  <c r="U80" i="12" a="1"/>
  <c r="U79" i="12" a="1"/>
  <c r="U78" i="12" a="1"/>
  <c r="U77" i="12" a="1"/>
  <c r="U76" i="12" a="1"/>
  <c r="U75" i="12" a="1"/>
  <c r="U74" i="12" a="1"/>
  <c r="U73" i="12" a="1"/>
  <c r="U72" i="12" a="1"/>
  <c r="U71" i="12" a="1"/>
  <c r="U70" i="12" a="1"/>
  <c r="U69" i="12" a="1"/>
  <c r="U68" i="12" a="1"/>
  <c r="U67" i="12" a="1"/>
  <c r="U66" i="12" a="1"/>
  <c r="U65" i="12" a="1"/>
  <c r="U64" i="12" a="1"/>
  <c r="U63" i="12" a="1"/>
  <c r="U62" i="12" a="1"/>
  <c r="U61" i="12" a="1"/>
  <c r="U60" i="12" a="1"/>
  <c r="U59" i="12" a="1"/>
  <c r="U58" i="12" a="1"/>
  <c r="U57" i="12" a="1"/>
  <c r="U56" i="12" a="1"/>
  <c r="U55" i="12" a="1"/>
  <c r="U54" i="12" a="1"/>
  <c r="U53" i="12" a="1"/>
  <c r="U52" i="12" a="1"/>
  <c r="U51" i="12" a="1"/>
  <c r="U50" i="12" a="1"/>
  <c r="U49" i="12" a="1"/>
  <c r="U48" i="12" a="1"/>
  <c r="U47" i="12" a="1"/>
  <c r="U46" i="12" a="1"/>
  <c r="U45" i="12" a="1"/>
  <c r="U44" i="12" a="1"/>
  <c r="U43" i="12" a="1"/>
  <c r="U42" i="12" a="1"/>
  <c r="U41" i="12" a="1"/>
  <c r="U40" i="12" a="1"/>
  <c r="U39" i="12" a="1"/>
  <c r="U38" i="12" a="1"/>
  <c r="U37" i="12" a="1"/>
  <c r="U36" i="12" a="1"/>
  <c r="U35" i="12" a="1"/>
  <c r="U34" i="12" a="1"/>
  <c r="U33" i="12" a="1"/>
  <c r="U32" i="12" a="1"/>
  <c r="U30" i="12" a="1"/>
  <c r="U29" i="12" a="1"/>
  <c r="U28" i="12" a="1"/>
  <c r="U25" i="12" a="1"/>
  <c r="U22" i="12" a="1"/>
  <c r="U18" i="12" a="1"/>
  <c r="U12" i="12" a="1"/>
  <c r="U8" i="12" a="1"/>
  <c r="V2" i="12" a="1"/>
  <c r="AF105" i="3" a="1"/>
  <c r="AF83" i="3" a="1"/>
  <c r="G80" i="3" a="1"/>
  <c r="AF69" i="3" a="1"/>
  <c r="AF62" i="3" a="1"/>
  <c r="G55" i="3" a="1"/>
  <c r="G48" i="3" a="1"/>
  <c r="G43" i="3" a="1"/>
  <c r="G36" i="3" a="1"/>
  <c r="AF30" i="3" a="1"/>
  <c r="B25" i="3" a="1"/>
  <c r="G11" i="3" a="1"/>
  <c r="U207" i="12" a="1"/>
  <c r="X206" i="12" a="1"/>
  <c r="W205" i="12" a="1"/>
  <c r="W204" i="12" a="1"/>
  <c r="V202" i="12" a="1"/>
  <c r="V201" i="12" a="1"/>
  <c r="U200" i="12" a="1"/>
  <c r="X199" i="12" a="1"/>
  <c r="W197" i="12" a="1"/>
  <c r="V194" i="12" a="1"/>
  <c r="V193" i="12" a="1"/>
  <c r="U191" i="12" a="1"/>
  <c r="W188" i="12" a="1"/>
  <c r="W187" i="12" a="1"/>
  <c r="V184" i="12" a="1"/>
  <c r="U182" i="12" a="1"/>
  <c r="X181" i="12" a="1"/>
  <c r="W178" i="12" a="1"/>
  <c r="X177" i="12" a="1"/>
  <c r="U176" i="12" a="1"/>
  <c r="X174" i="12" a="1"/>
  <c r="X173" i="12" a="1"/>
  <c r="X172" i="12" a="1"/>
  <c r="X171" i="12" a="1"/>
  <c r="X170" i="12" a="1"/>
  <c r="X169" i="12" a="1"/>
  <c r="X168" i="12" a="1"/>
  <c r="X167" i="12" a="1"/>
  <c r="X166" i="12" a="1"/>
  <c r="X165" i="12" a="1"/>
  <c r="X164" i="12" a="1"/>
  <c r="X163" i="12" a="1"/>
  <c r="X162" i="12" a="1"/>
  <c r="X161" i="12" a="1"/>
  <c r="X160" i="12" a="1"/>
  <c r="X159" i="12" a="1"/>
  <c r="X158" i="12" a="1"/>
  <c r="X157" i="12" a="1"/>
  <c r="X156" i="12" a="1"/>
  <c r="X155" i="12" a="1"/>
  <c r="X154" i="12" a="1"/>
  <c r="X153" i="12" a="1"/>
  <c r="X152" i="12" a="1"/>
  <c r="X151" i="12" a="1"/>
  <c r="X150" i="12" a="1"/>
  <c r="X149" i="12" a="1"/>
  <c r="X148" i="12" a="1"/>
  <c r="X147" i="12" a="1"/>
  <c r="X146" i="12" a="1"/>
  <c r="X145" i="12" a="1"/>
  <c r="X144" i="12" a="1"/>
  <c r="X143" i="12" a="1"/>
  <c r="X142" i="12" a="1"/>
  <c r="X141" i="12" a="1"/>
  <c r="X140" i="12" a="1"/>
  <c r="X139" i="12" a="1"/>
  <c r="X138" i="12" a="1"/>
  <c r="X137" i="12" a="1"/>
  <c r="X136" i="12" a="1"/>
  <c r="X135" i="12" a="1"/>
  <c r="X134" i="12" a="1"/>
  <c r="X133" i="12" a="1"/>
  <c r="X132" i="12" a="1"/>
  <c r="X131" i="12" a="1"/>
  <c r="X130" i="12" a="1"/>
  <c r="X129" i="12" a="1"/>
  <c r="X128" i="12" a="1"/>
  <c r="X127" i="12" a="1"/>
  <c r="X126" i="12" a="1"/>
  <c r="X125" i="12" a="1"/>
  <c r="X124" i="12" a="1"/>
  <c r="X123" i="12" a="1"/>
  <c r="X122" i="12" a="1"/>
  <c r="X121" i="12" a="1"/>
  <c r="X120" i="12" a="1"/>
  <c r="X119" i="12" a="1"/>
  <c r="X118" i="12" a="1"/>
  <c r="X117" i="12" a="1"/>
  <c r="X116" i="12" a="1"/>
  <c r="X115" i="12" a="1"/>
  <c r="X114" i="12" a="1"/>
  <c r="X113" i="12" a="1"/>
  <c r="X112" i="12" a="1"/>
  <c r="X111" i="12" a="1"/>
  <c r="X110" i="12" a="1"/>
  <c r="X109" i="12" a="1"/>
  <c r="X108" i="12" a="1"/>
  <c r="X107" i="12" a="1"/>
  <c r="X106" i="12" a="1"/>
  <c r="X105" i="12" a="1"/>
  <c r="X104" i="12" a="1"/>
  <c r="X103" i="12" a="1"/>
  <c r="X102" i="12" a="1"/>
  <c r="X101" i="12" a="1"/>
  <c r="X100" i="12" a="1"/>
  <c r="X99" i="12" a="1"/>
  <c r="X98" i="12" a="1"/>
  <c r="X97" i="12" a="1"/>
  <c r="X96" i="12" a="1"/>
  <c r="X95" i="12" a="1"/>
  <c r="X94" i="12" a="1"/>
  <c r="X93" i="12" a="1"/>
  <c r="X92" i="12" a="1"/>
  <c r="X91" i="12" a="1"/>
  <c r="X90" i="12" a="1"/>
  <c r="X89" i="12" a="1"/>
  <c r="X88" i="12" a="1"/>
  <c r="X87" i="12" a="1"/>
  <c r="X86" i="12" a="1"/>
  <c r="X85" i="12" a="1"/>
  <c r="X84" i="12" a="1"/>
  <c r="X83" i="12" a="1"/>
  <c r="X82" i="12" a="1"/>
  <c r="X81" i="12" a="1"/>
  <c r="X80" i="12" a="1"/>
  <c r="X79" i="12" a="1"/>
  <c r="X78" i="12" a="1"/>
  <c r="X77" i="12" a="1"/>
  <c r="X76" i="12" a="1"/>
  <c r="X75" i="12" a="1"/>
  <c r="X74" i="12" a="1"/>
  <c r="X73" i="12" a="1"/>
  <c r="X72" i="12" a="1"/>
  <c r="X71" i="12" a="1"/>
  <c r="X70" i="12" a="1"/>
  <c r="X69" i="12" a="1"/>
  <c r="X68" i="12" a="1"/>
  <c r="X67" i="12" a="1"/>
  <c r="X66" i="12" a="1"/>
  <c r="X65" i="12" a="1"/>
  <c r="X64" i="12" a="1"/>
  <c r="X63" i="12" a="1"/>
  <c r="X62" i="12" a="1"/>
  <c r="X61" i="12" a="1"/>
  <c r="X60" i="12" a="1"/>
  <c r="X59" i="12" a="1"/>
  <c r="X58" i="12" a="1"/>
  <c r="X57" i="12" a="1"/>
  <c r="X56" i="12" a="1"/>
  <c r="X55" i="12" a="1"/>
  <c r="X54" i="12" a="1"/>
  <c r="X53" i="12" a="1"/>
  <c r="X52" i="12" a="1"/>
  <c r="X51" i="12" a="1"/>
  <c r="X50" i="12" a="1"/>
  <c r="X49" i="12" a="1"/>
  <c r="X48" i="12" a="1"/>
  <c r="X47" i="12" a="1"/>
  <c r="X46" i="12" a="1"/>
  <c r="X45" i="12" a="1"/>
  <c r="X44" i="12" a="1"/>
  <c r="X43" i="12" a="1"/>
  <c r="X42" i="12" a="1"/>
  <c r="X41" i="12" a="1"/>
  <c r="X40" i="12" a="1"/>
  <c r="X39" i="12" a="1"/>
  <c r="X38" i="12" a="1"/>
  <c r="X37" i="12" a="1"/>
  <c r="X36" i="12" a="1"/>
  <c r="X35" i="12" a="1"/>
  <c r="X34" i="12" a="1"/>
  <c r="X33" i="12" a="1"/>
  <c r="X32" i="12" a="1"/>
  <c r="X31" i="12" a="1"/>
  <c r="X30" i="12" a="1"/>
  <c r="X29" i="12" a="1"/>
  <c r="X28" i="12" a="1"/>
  <c r="X27" i="12" a="1"/>
  <c r="X26" i="12" a="1"/>
  <c r="X25" i="12" a="1"/>
  <c r="X24" i="12" a="1"/>
  <c r="X23" i="12" a="1"/>
  <c r="X22" i="12" a="1"/>
  <c r="X21" i="12" a="1"/>
  <c r="X20" i="12" a="1"/>
  <c r="X19" i="12" a="1"/>
  <c r="X18" i="12" a="1"/>
  <c r="X17" i="12" a="1"/>
  <c r="X16" i="12" a="1"/>
  <c r="X15" i="12" a="1"/>
  <c r="X14" i="12" a="1"/>
  <c r="X13" i="12" a="1"/>
  <c r="X12" i="12" a="1"/>
  <c r="X11" i="12" a="1"/>
  <c r="X10" i="12" a="1"/>
  <c r="X9" i="12" a="1"/>
  <c r="X8" i="12" a="1"/>
  <c r="X7" i="12" a="1"/>
  <c r="X6" i="12" a="1"/>
  <c r="X5" i="12" a="1"/>
  <c r="X4" i="12" a="1"/>
  <c r="X3" i="12" a="1"/>
  <c r="X2" i="12" a="1"/>
  <c r="U2" i="12" a="1"/>
  <c r="G105" i="3" a="1"/>
  <c r="AF103" i="3" a="1"/>
  <c r="G103" i="3" a="1"/>
  <c r="AF102" i="3" a="1"/>
  <c r="G102" i="3" a="1"/>
  <c r="AF101" i="3" a="1"/>
  <c r="AF100" i="3" a="1"/>
  <c r="G100" i="3" a="1"/>
  <c r="B99" i="3" a="1"/>
  <c r="B98" i="3" a="1"/>
  <c r="B97" i="3" a="1"/>
  <c r="B96" i="3" a="1"/>
  <c r="B93" i="3" a="1"/>
  <c r="AF91" i="3" a="1"/>
  <c r="G91" i="3" a="1"/>
  <c r="AF90" i="3" a="1"/>
  <c r="G90" i="3" a="1"/>
  <c r="AF88" i="3" a="1"/>
  <c r="G88" i="3" a="1"/>
  <c r="B86" i="3" a="1"/>
  <c r="AF84" i="3" a="1"/>
  <c r="G84" i="3" a="1"/>
  <c r="B82" i="3" a="1"/>
  <c r="B79" i="3" a="1"/>
  <c r="AF77" i="3" a="1"/>
  <c r="G77" i="3" a="1"/>
  <c r="B76" i="3" a="1"/>
  <c r="B75" i="3" a="1"/>
  <c r="B73" i="3" a="1"/>
  <c r="B72" i="3" a="1"/>
  <c r="AF70" i="3" a="1"/>
  <c r="G70" i="3" a="1"/>
  <c r="AF65" i="3" a="1"/>
  <c r="G65" i="3" a="1"/>
  <c r="AF63" i="3" a="1"/>
  <c r="G63" i="3" a="1"/>
  <c r="B61" i="3" a="1"/>
  <c r="AF59" i="3" a="1"/>
  <c r="G59" i="3" a="1"/>
  <c r="AF58" i="3" a="1"/>
  <c r="G58" i="3" a="1"/>
  <c r="AF56" i="3" a="1"/>
  <c r="G56" i="3" a="1"/>
  <c r="B54" i="3" a="1"/>
  <c r="AF52" i="3" a="1"/>
  <c r="G52" i="3" a="1"/>
  <c r="B50" i="3" a="1"/>
  <c r="B47" i="3" a="1"/>
  <c r="AF45" i="3" a="1"/>
  <c r="G45" i="3" a="1"/>
  <c r="B42" i="3" a="1"/>
  <c r="AF40" i="3" a="1"/>
  <c r="G40" i="3" a="1"/>
  <c r="B38" i="3" a="1"/>
  <c r="B35" i="3" a="1"/>
  <c r="AF33" i="3" a="1"/>
  <c r="G33" i="3" a="1"/>
  <c r="B32" i="3" a="1"/>
  <c r="B30" i="3" a="1"/>
  <c r="B29" i="3" a="1"/>
  <c r="AF24" i="3" a="1"/>
  <c r="G24" i="3" a="1"/>
  <c r="B23" i="3" a="1"/>
  <c r="AF21" i="3" a="1"/>
  <c r="G21" i="3" a="1"/>
  <c r="B20" i="3" a="1"/>
  <c r="AF18" i="3" a="1"/>
  <c r="G18" i="3" a="1"/>
  <c r="AF15" i="3" a="1"/>
  <c r="B15" i="3" a="1"/>
  <c r="AF13" i="3" a="1"/>
  <c r="G13" i="3" a="1"/>
  <c r="B11" i="3" a="1"/>
  <c r="AF9" i="3" a="1"/>
  <c r="G9" i="3" a="1"/>
  <c r="B7" i="3" a="1"/>
  <c r="V75" i="12" a="1"/>
  <c r="V73" i="12" a="1"/>
  <c r="V71" i="12" a="1"/>
  <c r="V70" i="12" a="1"/>
  <c r="V68" i="12" a="1"/>
  <c r="V66" i="12" a="1"/>
  <c r="V65" i="12" a="1"/>
  <c r="V62" i="12" a="1"/>
  <c r="V59" i="12" a="1"/>
  <c r="V56" i="12" a="1"/>
  <c r="V54" i="12" a="1"/>
  <c r="V51" i="12" a="1"/>
  <c r="V48" i="12" a="1"/>
  <c r="V46" i="12" a="1"/>
  <c r="V43" i="12" a="1"/>
  <c r="V39" i="12" a="1"/>
  <c r="V37" i="12" a="1"/>
  <c r="V35" i="12" a="1"/>
  <c r="V31" i="12" a="1"/>
  <c r="V28" i="12" a="1"/>
  <c r="V26" i="12" a="1"/>
  <c r="V24" i="12" a="1"/>
  <c r="V21" i="12" a="1"/>
  <c r="V18" i="12" a="1"/>
  <c r="V16" i="12" a="1"/>
  <c r="V13" i="12" a="1"/>
  <c r="V10" i="12" a="1"/>
  <c r="V7" i="12" a="1"/>
  <c r="V5" i="12" a="1"/>
  <c r="AF109" i="3" a="1"/>
  <c r="AF108" i="3" a="1"/>
  <c r="B107" i="3" a="1"/>
  <c r="B104" i="3" a="1"/>
  <c r="AF95" i="3" a="1"/>
  <c r="B95" i="3" a="1"/>
  <c r="B92" i="3" a="1"/>
  <c r="B89" i="3" a="1"/>
  <c r="AF86" i="3" a="1"/>
  <c r="AF81" i="3" a="1"/>
  <c r="AF79" i="3" a="1"/>
  <c r="AF75" i="3" a="1"/>
  <c r="G75" i="3" a="1"/>
  <c r="AF72" i="3" a="1"/>
  <c r="B70" i="3" a="1"/>
  <c r="AF61" i="3" a="1"/>
  <c r="B59" i="3" a="1"/>
  <c r="AF54" i="3" a="1"/>
  <c r="G54" i="3" a="1"/>
  <c r="AF47" i="3" a="1"/>
  <c r="G47" i="3" a="1"/>
  <c r="AF37" i="3" a="1"/>
  <c r="AF35" i="3" a="1"/>
  <c r="AF31" i="3" a="1"/>
  <c r="AF29" i="3" a="1"/>
  <c r="B28" i="3" a="1"/>
  <c r="AF23" i="3" a="1"/>
  <c r="G23" i="3" a="1"/>
  <c r="AF16" i="3" a="1"/>
  <c r="B12" i="3" a="1"/>
  <c r="U31" i="12" a="1"/>
  <c r="U23" i="12" a="1"/>
  <c r="U19" i="12" a="1"/>
  <c r="U15" i="12" a="1"/>
  <c r="U14" i="12" a="1"/>
  <c r="U10" i="12" a="1"/>
  <c r="U5" i="12" a="1"/>
  <c r="U3" i="12" a="1"/>
  <c r="G109" i="3" a="1"/>
  <c r="AF106" i="3" a="1"/>
  <c r="G104" i="3" a="1"/>
  <c r="B101" i="3" a="1"/>
  <c r="AF94" i="3" a="1"/>
  <c r="G94" i="3" a="1"/>
  <c r="G89" i="3" a="1"/>
  <c r="G83" i="3" a="1"/>
  <c r="G82" i="3" a="1"/>
  <c r="G76" i="3" a="1"/>
  <c r="B74" i="3" a="1"/>
  <c r="G69" i="3" a="1"/>
  <c r="B65" i="3" a="1"/>
  <c r="AF57" i="3" a="1"/>
  <c r="AF55" i="3" a="1"/>
  <c r="AF51" i="3" a="1"/>
  <c r="AF50" i="3" a="1"/>
  <c r="AF48" i="3" a="1"/>
  <c r="B46" i="3" a="1"/>
  <c r="B43" i="3" a="1"/>
  <c r="G39" i="3" a="1"/>
  <c r="AF36" i="3" a="1"/>
  <c r="G32" i="3" a="1"/>
  <c r="G30" i="3" a="1"/>
  <c r="AF27" i="3" a="1"/>
  <c r="AF20" i="3" a="1"/>
  <c r="AF17" i="3" a="1"/>
  <c r="B16" i="3" a="1"/>
  <c r="AF12" i="3" a="1"/>
  <c r="B10" i="3" a="1"/>
  <c r="B10" i="3" l="1"/>
  <c r="AF12" i="3"/>
  <c r="B16" i="3"/>
  <c r="AF17" i="3"/>
  <c r="AF20" i="3"/>
  <c r="AF27" i="3"/>
  <c r="C27" i="3" s="1"/>
  <c r="G30" i="3"/>
  <c r="G32" i="3"/>
  <c r="AF36" i="3"/>
  <c r="G39" i="3"/>
  <c r="B43" i="3"/>
  <c r="B46" i="3"/>
  <c r="AF48" i="3"/>
  <c r="AF50" i="3"/>
  <c r="C50" i="3" s="1"/>
  <c r="AF51" i="3"/>
  <c r="AF55" i="3"/>
  <c r="AF57" i="3"/>
  <c r="B65" i="3"/>
  <c r="G69" i="3"/>
  <c r="B74" i="3"/>
  <c r="G76" i="3"/>
  <c r="G82" i="3"/>
  <c r="G83" i="3"/>
  <c r="G89" i="3"/>
  <c r="G94" i="3"/>
  <c r="AF94" i="3"/>
  <c r="C94" i="3" s="1"/>
  <c r="B101" i="3"/>
  <c r="G104" i="3"/>
  <c r="AF106" i="3"/>
  <c r="G109" i="3"/>
  <c r="U3" i="12"/>
  <c r="U5" i="12"/>
  <c r="U10" i="12"/>
  <c r="U14" i="12"/>
  <c r="U15" i="12"/>
  <c r="U19" i="12"/>
  <c r="U23" i="12"/>
  <c r="U31" i="12"/>
  <c r="B12" i="3"/>
  <c r="AF16" i="3"/>
  <c r="G23" i="3"/>
  <c r="AF23" i="3"/>
  <c r="B28" i="3"/>
  <c r="AF29" i="3"/>
  <c r="AF31" i="3"/>
  <c r="AF35" i="3"/>
  <c r="C35" i="3" s="1"/>
  <c r="AF37" i="3"/>
  <c r="G47" i="3"/>
  <c r="AF47" i="3"/>
  <c r="G54" i="3"/>
  <c r="AF54" i="3"/>
  <c r="C54" i="3" s="1"/>
  <c r="B59" i="3"/>
  <c r="AF61" i="3"/>
  <c r="B70" i="3"/>
  <c r="AF72" i="3"/>
  <c r="C72" i="3" s="1"/>
  <c r="G75" i="3"/>
  <c r="AF75" i="3"/>
  <c r="AF79" i="3"/>
  <c r="C79" i="3" s="1"/>
  <c r="AF81" i="3"/>
  <c r="AF86" i="3"/>
  <c r="B89" i="3"/>
  <c r="B92" i="3"/>
  <c r="B95" i="3"/>
  <c r="AF95" i="3"/>
  <c r="B104" i="3"/>
  <c r="B107" i="3"/>
  <c r="AF108" i="3"/>
  <c r="AF109" i="3"/>
  <c r="V5" i="12"/>
  <c r="V7" i="12"/>
  <c r="V10" i="12"/>
  <c r="V13" i="12"/>
  <c r="V16" i="12"/>
  <c r="V18" i="12"/>
  <c r="V21" i="12"/>
  <c r="V24" i="12"/>
  <c r="V26" i="12"/>
  <c r="V28" i="12"/>
  <c r="V31" i="12"/>
  <c r="V35" i="12"/>
  <c r="V37" i="12"/>
  <c r="V39" i="12"/>
  <c r="V43" i="12"/>
  <c r="V46" i="12"/>
  <c r="V48" i="12"/>
  <c r="V51" i="12"/>
  <c r="V54" i="12"/>
  <c r="V56" i="12"/>
  <c r="V59" i="12"/>
  <c r="V62" i="12"/>
  <c r="V65" i="12"/>
  <c r="V66" i="12"/>
  <c r="V68" i="12"/>
  <c r="V70" i="12"/>
  <c r="V71" i="12"/>
  <c r="V73" i="12"/>
  <c r="V75" i="12"/>
  <c r="B7" i="3"/>
  <c r="G9" i="3"/>
  <c r="AF9" i="3"/>
  <c r="B11" i="3"/>
  <c r="G13" i="3"/>
  <c r="AF13" i="3"/>
  <c r="C13" i="3" s="1"/>
  <c r="B15" i="3"/>
  <c r="AF15" i="3"/>
  <c r="G18" i="3"/>
  <c r="AF18" i="3"/>
  <c r="B20" i="3"/>
  <c r="G21" i="3"/>
  <c r="AF21" i="3"/>
  <c r="C21" i="3" s="1"/>
  <c r="B23" i="3"/>
  <c r="G24" i="3"/>
  <c r="AF24" i="3"/>
  <c r="B29" i="3"/>
  <c r="B30" i="3"/>
  <c r="B32" i="3"/>
  <c r="G33" i="3"/>
  <c r="AF33" i="3"/>
  <c r="C33" i="3" s="1"/>
  <c r="B35" i="3"/>
  <c r="B38" i="3"/>
  <c r="G40" i="3"/>
  <c r="AF40" i="3"/>
  <c r="C40" i="3" s="1"/>
  <c r="B42" i="3"/>
  <c r="G45" i="3"/>
  <c r="AF45" i="3"/>
  <c r="B47" i="3"/>
  <c r="B50" i="3"/>
  <c r="G52" i="3"/>
  <c r="AF52" i="3"/>
  <c r="B54" i="3"/>
  <c r="G56" i="3"/>
  <c r="AF56" i="3"/>
  <c r="G58" i="3"/>
  <c r="AF58" i="3"/>
  <c r="G59" i="3"/>
  <c r="AF59" i="3"/>
  <c r="B61" i="3"/>
  <c r="G63" i="3"/>
  <c r="AF63" i="3"/>
  <c r="G65" i="3"/>
  <c r="AF65" i="3"/>
  <c r="G70" i="3"/>
  <c r="AF70" i="3"/>
  <c r="B72" i="3"/>
  <c r="B73" i="3"/>
  <c r="B75" i="3"/>
  <c r="B76" i="3"/>
  <c r="G77" i="3"/>
  <c r="AF77" i="3"/>
  <c r="B79" i="3"/>
  <c r="B82" i="3"/>
  <c r="G84" i="3"/>
  <c r="AF84" i="3"/>
  <c r="B86" i="3"/>
  <c r="G88" i="3"/>
  <c r="AF88" i="3"/>
  <c r="G90" i="3"/>
  <c r="AF90" i="3"/>
  <c r="C90" i="3" s="1"/>
  <c r="G91" i="3"/>
  <c r="AF91" i="3"/>
  <c r="B93" i="3"/>
  <c r="B96" i="3"/>
  <c r="B97" i="3"/>
  <c r="B98" i="3"/>
  <c r="B99" i="3"/>
  <c r="G100" i="3"/>
  <c r="AF100" i="3"/>
  <c r="AF101" i="3"/>
  <c r="G102" i="3"/>
  <c r="AF102" i="3"/>
  <c r="G103" i="3"/>
  <c r="AF103" i="3"/>
  <c r="G105" i="3"/>
  <c r="U2" i="12"/>
  <c r="X2" i="12"/>
  <c r="X3" i="12"/>
  <c r="X4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U176" i="12"/>
  <c r="X177" i="12"/>
  <c r="W178" i="12"/>
  <c r="X181" i="12"/>
  <c r="U182" i="12"/>
  <c r="V184" i="12"/>
  <c r="W187" i="12"/>
  <c r="W188" i="12"/>
  <c r="U191" i="12"/>
  <c r="V193" i="12"/>
  <c r="V194" i="12"/>
  <c r="W197" i="12"/>
  <c r="X199" i="12"/>
  <c r="U200" i="12"/>
  <c r="V201" i="12"/>
  <c r="V202" i="12"/>
  <c r="W204" i="12"/>
  <c r="W205" i="12"/>
  <c r="X206" i="12"/>
  <c r="U207" i="12"/>
  <c r="G11" i="3"/>
  <c r="B25" i="3"/>
  <c r="AF30" i="3"/>
  <c r="C30" i="3" s="1"/>
  <c r="G36" i="3"/>
  <c r="G43" i="3"/>
  <c r="G48" i="3"/>
  <c r="G55" i="3"/>
  <c r="AF62" i="3"/>
  <c r="C62" i="3" s="1"/>
  <c r="AF69" i="3"/>
  <c r="G80" i="3"/>
  <c r="AF83" i="3"/>
  <c r="C83" i="3" s="1"/>
  <c r="AF105" i="3"/>
  <c r="C105" i="3" s="1"/>
  <c r="V2" i="12"/>
  <c r="U8" i="12"/>
  <c r="U12" i="12"/>
  <c r="U18" i="12"/>
  <c r="U22" i="12"/>
  <c r="U25" i="12"/>
  <c r="U28" i="12"/>
  <c r="U29" i="12"/>
  <c r="U30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W176" i="12"/>
  <c r="X178" i="12"/>
  <c r="W179" i="12"/>
  <c r="X182" i="12"/>
  <c r="U185" i="12"/>
  <c r="X188" i="12"/>
  <c r="W189" i="12"/>
  <c r="X191" i="12"/>
  <c r="U192" i="12"/>
  <c r="W194" i="12"/>
  <c r="V195" i="12"/>
  <c r="X197" i="12"/>
  <c r="U198" i="12"/>
  <c r="X207" i="12"/>
  <c r="U208" i="12"/>
  <c r="V209" i="12"/>
  <c r="V210" i="12"/>
  <c r="W212" i="12"/>
  <c r="W213" i="12"/>
  <c r="X214" i="12"/>
  <c r="U215" i="12"/>
  <c r="G8" i="3"/>
  <c r="G12" i="3"/>
  <c r="G17" i="3"/>
  <c r="G20" i="3"/>
  <c r="G27" i="3"/>
  <c r="B34" i="3"/>
  <c r="AF38" i="3"/>
  <c r="AF39" i="3"/>
  <c r="G44" i="3"/>
  <c r="G50" i="3"/>
  <c r="B53" i="3"/>
  <c r="G62" i="3"/>
  <c r="B67" i="3"/>
  <c r="B78" i="3"/>
  <c r="AF80" i="3"/>
  <c r="G87" i="3"/>
  <c r="B102" i="3"/>
  <c r="G106" i="3"/>
  <c r="AF107" i="3"/>
  <c r="U4" i="12"/>
  <c r="U7" i="12"/>
  <c r="U11" i="12"/>
  <c r="U16" i="12"/>
  <c r="U21" i="12"/>
  <c r="U26" i="12"/>
  <c r="B21" i="3"/>
  <c r="G26" i="3"/>
  <c r="G31" i="3"/>
  <c r="G35" i="3"/>
  <c r="AF49" i="3"/>
  <c r="B56" i="3"/>
  <c r="G61" i="3"/>
  <c r="G68" i="3"/>
  <c r="G74" i="3"/>
  <c r="G79" i="3"/>
  <c r="G86" i="3"/>
  <c r="G93" i="3"/>
  <c r="G97" i="3"/>
  <c r="B105" i="3"/>
  <c r="AF110" i="3"/>
  <c r="V3" i="12"/>
  <c r="V8" i="12"/>
  <c r="V11" i="12"/>
  <c r="V15" i="12"/>
  <c r="V19" i="12"/>
  <c r="V22" i="12"/>
  <c r="V27" i="12"/>
  <c r="V30" i="12"/>
  <c r="V33" i="12"/>
  <c r="V38" i="12"/>
  <c r="V41" i="12"/>
  <c r="V45" i="12"/>
  <c r="V49" i="12"/>
  <c r="V53" i="12"/>
  <c r="V57" i="12"/>
  <c r="V60" i="12"/>
  <c r="V63" i="12"/>
  <c r="V67" i="12"/>
  <c r="V69" i="12"/>
  <c r="V72" i="12"/>
  <c r="V74" i="12"/>
  <c r="V77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W175" i="12"/>
  <c r="X176" i="12"/>
  <c r="X179" i="12"/>
  <c r="W180" i="12"/>
  <c r="U183" i="12"/>
  <c r="V185" i="12"/>
  <c r="V186" i="12"/>
  <c r="X189" i="12"/>
  <c r="U190" i="12"/>
  <c r="V192" i="12"/>
  <c r="W195" i="12"/>
  <c r="W196" i="12"/>
  <c r="X198" i="12"/>
  <c r="U199" i="12"/>
  <c r="X215" i="12"/>
  <c r="X216" i="12"/>
  <c r="X217" i="12"/>
  <c r="X218" i="12"/>
  <c r="X219" i="12"/>
  <c r="U220" i="12"/>
  <c r="V221" i="12"/>
  <c r="V222" i="12"/>
  <c r="V224" i="12"/>
  <c r="V225" i="12"/>
  <c r="V226" i="12"/>
  <c r="V227" i="12"/>
  <c r="W228" i="12"/>
  <c r="W229" i="12"/>
  <c r="X230" i="12"/>
  <c r="X231" i="12"/>
  <c r="U232" i="12"/>
  <c r="B6" i="3"/>
  <c r="AF7" i="3"/>
  <c r="AF8" i="3"/>
  <c r="AF11" i="3"/>
  <c r="B14" i="3"/>
  <c r="B19" i="3"/>
  <c r="B26" i="3"/>
  <c r="AF32" i="3"/>
  <c r="G38" i="3"/>
  <c r="B41" i="3"/>
  <c r="AF43" i="3"/>
  <c r="AF44" i="3"/>
  <c r="G51" i="3"/>
  <c r="G57" i="3"/>
  <c r="B64" i="3"/>
  <c r="B68" i="3"/>
  <c r="B71" i="3"/>
  <c r="AF76" i="3"/>
  <c r="C76" i="3" s="1"/>
  <c r="AF82" i="3"/>
  <c r="B85" i="3"/>
  <c r="AF87" i="3"/>
  <c r="AF89" i="3"/>
  <c r="B100" i="3"/>
  <c r="B103" i="3"/>
  <c r="AF104" i="3"/>
  <c r="G107" i="3"/>
  <c r="U6" i="12"/>
  <c r="U9" i="12"/>
  <c r="U13" i="12"/>
  <c r="U17" i="12"/>
  <c r="U20" i="12"/>
  <c r="U24" i="12"/>
  <c r="U27" i="12"/>
  <c r="B8" i="3"/>
  <c r="G16" i="3"/>
  <c r="B22" i="3"/>
  <c r="AF26" i="3"/>
  <c r="G29" i="3"/>
  <c r="B33" i="3"/>
  <c r="G37" i="3"/>
  <c r="B45" i="3"/>
  <c r="G49" i="3"/>
  <c r="B57" i="3"/>
  <c r="B60" i="3"/>
  <c r="B63" i="3"/>
  <c r="B66" i="3"/>
  <c r="AF68" i="3"/>
  <c r="G72" i="3"/>
  <c r="AF74" i="3"/>
  <c r="C74" i="3" s="1"/>
  <c r="B77" i="3"/>
  <c r="G81" i="3"/>
  <c r="B88" i="3"/>
  <c r="B91" i="3"/>
  <c r="AF93" i="3"/>
  <c r="G95" i="3"/>
  <c r="B106" i="3"/>
  <c r="G108" i="3"/>
  <c r="G110" i="3"/>
  <c r="V4" i="12"/>
  <c r="V6" i="12"/>
  <c r="V9" i="12"/>
  <c r="V12" i="12"/>
  <c r="V14" i="12"/>
  <c r="V17" i="12"/>
  <c r="V20" i="12"/>
  <c r="V23" i="12"/>
  <c r="V25" i="12"/>
  <c r="V29" i="12"/>
  <c r="V32" i="12"/>
  <c r="V34" i="12"/>
  <c r="V36" i="12"/>
  <c r="V40" i="12"/>
  <c r="V42" i="12"/>
  <c r="V44" i="12"/>
  <c r="V47" i="12"/>
  <c r="V50" i="12"/>
  <c r="V52" i="12"/>
  <c r="V55" i="12"/>
  <c r="V58" i="12"/>
  <c r="V61" i="12"/>
  <c r="V64" i="12"/>
  <c r="V76" i="12"/>
  <c r="V78" i="12"/>
  <c r="G6" i="3"/>
  <c r="AF6" i="3"/>
  <c r="B9" i="3"/>
  <c r="G10" i="3"/>
  <c r="AF10" i="3"/>
  <c r="C10" i="3" s="1"/>
  <c r="B13" i="3"/>
  <c r="G14" i="3"/>
  <c r="AF14" i="3"/>
  <c r="B17" i="3"/>
  <c r="B18" i="3"/>
  <c r="G19" i="3"/>
  <c r="AF19" i="3"/>
  <c r="G22" i="3"/>
  <c r="AF22" i="3"/>
  <c r="B24" i="3"/>
  <c r="G25" i="3"/>
  <c r="AF25" i="3"/>
  <c r="C25" i="3" s="1"/>
  <c r="B27" i="3"/>
  <c r="G28" i="3"/>
  <c r="AF28" i="3"/>
  <c r="B31" i="3"/>
  <c r="G34" i="3"/>
  <c r="AF34" i="3"/>
  <c r="C34" i="3" s="1"/>
  <c r="B36" i="3"/>
  <c r="B37" i="3"/>
  <c r="B39" i="3"/>
  <c r="B40" i="3"/>
  <c r="G41" i="3"/>
  <c r="AF41" i="3"/>
  <c r="G42" i="3"/>
  <c r="AF42" i="3"/>
  <c r="B44" i="3"/>
  <c r="G46" i="3"/>
  <c r="AF46" i="3"/>
  <c r="B48" i="3"/>
  <c r="B49" i="3"/>
  <c r="B51" i="3"/>
  <c r="B52" i="3"/>
  <c r="G53" i="3"/>
  <c r="AF53" i="3"/>
  <c r="B55" i="3"/>
  <c r="B58" i="3"/>
  <c r="G60" i="3"/>
  <c r="AF60" i="3"/>
  <c r="B62" i="3"/>
  <c r="G64" i="3"/>
  <c r="AF64" i="3"/>
  <c r="C64" i="3" s="1"/>
  <c r="G66" i="3"/>
  <c r="AF66" i="3"/>
  <c r="C66" i="3" s="1"/>
  <c r="G67" i="3"/>
  <c r="AF67" i="3"/>
  <c r="B69" i="3"/>
  <c r="G71" i="3"/>
  <c r="AF71" i="3"/>
  <c r="C71" i="3" s="1"/>
  <c r="G73" i="3"/>
  <c r="AF73" i="3"/>
  <c r="G78" i="3"/>
  <c r="AF78" i="3"/>
  <c r="C78" i="3" s="1"/>
  <c r="B80" i="3"/>
  <c r="B81" i="3"/>
  <c r="B83" i="3"/>
  <c r="B84" i="3"/>
  <c r="G85" i="3"/>
  <c r="AF85" i="3"/>
  <c r="B87" i="3"/>
  <c r="B90" i="3"/>
  <c r="G92" i="3"/>
  <c r="AF92" i="3"/>
  <c r="B94" i="3"/>
  <c r="G96" i="3"/>
  <c r="AF96" i="3"/>
  <c r="AF97" i="3"/>
  <c r="G98" i="3"/>
  <c r="AF98" i="3"/>
  <c r="G99" i="3"/>
  <c r="AF99" i="3"/>
  <c r="G101" i="3"/>
  <c r="B108" i="3"/>
  <c r="B109" i="3"/>
  <c r="B110" i="3"/>
  <c r="W2" i="12"/>
  <c r="W3" i="12"/>
  <c r="W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W102" i="12"/>
  <c r="W103" i="12"/>
  <c r="W104" i="12"/>
  <c r="W105" i="12"/>
  <c r="W106" i="12"/>
  <c r="W107" i="12"/>
  <c r="W108" i="12"/>
  <c r="W109" i="12"/>
  <c r="W110" i="12"/>
  <c r="W111" i="12"/>
  <c r="W112" i="12"/>
  <c r="W113" i="12"/>
  <c r="W114" i="12"/>
  <c r="W115" i="12"/>
  <c r="Y115" i="12" s="1"/>
  <c r="W116" i="12"/>
  <c r="W117" i="12"/>
  <c r="W118" i="12"/>
  <c r="W119" i="12"/>
  <c r="W120" i="12"/>
  <c r="W121" i="12"/>
  <c r="W122" i="12"/>
  <c r="W123" i="12"/>
  <c r="W124" i="12"/>
  <c r="W125" i="12"/>
  <c r="W126" i="12"/>
  <c r="W127" i="12"/>
  <c r="W128" i="12"/>
  <c r="W129" i="12"/>
  <c r="W130" i="12"/>
  <c r="W131" i="12"/>
  <c r="W132" i="12"/>
  <c r="W133" i="12"/>
  <c r="W134" i="12"/>
  <c r="W135" i="12"/>
  <c r="W136" i="12"/>
  <c r="W137" i="12"/>
  <c r="W138" i="12"/>
  <c r="W139" i="12"/>
  <c r="W140" i="12"/>
  <c r="W141" i="12"/>
  <c r="W142" i="12"/>
  <c r="W143" i="12"/>
  <c r="W144" i="12"/>
  <c r="W145" i="12"/>
  <c r="W146" i="12"/>
  <c r="W147" i="12"/>
  <c r="W148" i="12"/>
  <c r="W149" i="12"/>
  <c r="W150" i="12"/>
  <c r="W151" i="12"/>
  <c r="W152" i="12"/>
  <c r="W153" i="12"/>
  <c r="W154" i="12"/>
  <c r="W155" i="12"/>
  <c r="W156" i="12"/>
  <c r="W157" i="12"/>
  <c r="W158" i="12"/>
  <c r="W159" i="12"/>
  <c r="W160" i="12"/>
  <c r="W161" i="12"/>
  <c r="W162" i="12"/>
  <c r="W163" i="12"/>
  <c r="W164" i="12"/>
  <c r="W165" i="12"/>
  <c r="W166" i="12"/>
  <c r="W167" i="12"/>
  <c r="W168" i="12"/>
  <c r="W169" i="12"/>
  <c r="W170" i="12"/>
  <c r="W171" i="12"/>
  <c r="W172" i="12"/>
  <c r="W173" i="12"/>
  <c r="W174" i="12"/>
  <c r="X175" i="12"/>
  <c r="W177" i="12"/>
  <c r="X180" i="12"/>
  <c r="W181" i="12"/>
  <c r="X183" i="12"/>
  <c r="U184" i="12"/>
  <c r="W186" i="12"/>
  <c r="V187" i="12"/>
  <c r="X190" i="12"/>
  <c r="U193" i="12"/>
  <c r="X196" i="12"/>
  <c r="U197" i="12"/>
  <c r="V199" i="12"/>
  <c r="U233" i="12"/>
  <c r="V234" i="12"/>
  <c r="V175" i="12"/>
  <c r="V176" i="12"/>
  <c r="V177" i="12"/>
  <c r="V178" i="12"/>
  <c r="V179" i="12"/>
  <c r="V180" i="12"/>
  <c r="V181" i="12"/>
  <c r="W182" i="12"/>
  <c r="W183" i="12"/>
  <c r="X184" i="12"/>
  <c r="X185" i="12"/>
  <c r="U186" i="12"/>
  <c r="U187" i="12"/>
  <c r="V188" i="12"/>
  <c r="V189" i="12"/>
  <c r="W190" i="12"/>
  <c r="W191" i="12"/>
  <c r="X192" i="12"/>
  <c r="X193" i="12"/>
  <c r="U194" i="12"/>
  <c r="U195" i="12"/>
  <c r="V196" i="12"/>
  <c r="W198" i="12"/>
  <c r="W199" i="12"/>
  <c r="X200" i="12"/>
  <c r="U201" i="12"/>
  <c r="X201" i="12"/>
  <c r="U202" i="12"/>
  <c r="V203" i="12"/>
  <c r="V204" i="12"/>
  <c r="W206" i="12"/>
  <c r="W207" i="12"/>
  <c r="X208" i="12"/>
  <c r="U209" i="12"/>
  <c r="X209" i="12"/>
  <c r="U210" i="12"/>
  <c r="V211" i="12"/>
  <c r="V212" i="12"/>
  <c r="W214" i="12"/>
  <c r="W215" i="12"/>
  <c r="W216" i="12"/>
  <c r="W217" i="12"/>
  <c r="W218" i="12"/>
  <c r="W219" i="12"/>
  <c r="X220" i="12"/>
  <c r="U221" i="12"/>
  <c r="X221" i="12"/>
  <c r="U222" i="12"/>
  <c r="V223" i="12"/>
  <c r="U224" i="12"/>
  <c r="U225" i="12"/>
  <c r="U226" i="12"/>
  <c r="U227" i="12"/>
  <c r="V228" i="12"/>
  <c r="V229" i="12"/>
  <c r="W230" i="12"/>
  <c r="W231" i="12"/>
  <c r="X232" i="12"/>
  <c r="X233" i="12"/>
  <c r="U234" i="12"/>
  <c r="U235" i="12"/>
  <c r="V236" i="12"/>
  <c r="V237" i="12"/>
  <c r="W238" i="12"/>
  <c r="W239" i="12"/>
  <c r="X240" i="12"/>
  <c r="X241" i="12"/>
  <c r="U242" i="12"/>
  <c r="U243" i="12"/>
  <c r="V244" i="12"/>
  <c r="V245" i="12"/>
  <c r="W246" i="12"/>
  <c r="W247" i="12"/>
  <c r="X248" i="12"/>
  <c r="U249" i="12"/>
  <c r="X249" i="12"/>
  <c r="U250" i="12"/>
  <c r="V251" i="12"/>
  <c r="V252" i="12"/>
  <c r="W254" i="12"/>
  <c r="W255" i="12"/>
  <c r="W256" i="12"/>
  <c r="W257" i="12"/>
  <c r="W258" i="12"/>
  <c r="W259" i="12"/>
  <c r="X260" i="12"/>
  <c r="U261" i="12"/>
  <c r="X261" i="12"/>
  <c r="U262" i="12"/>
  <c r="V263" i="12"/>
  <c r="U264" i="12"/>
  <c r="U265" i="12"/>
  <c r="U266" i="12"/>
  <c r="U267" i="12"/>
  <c r="V268" i="12"/>
  <c r="W270" i="12"/>
  <c r="W271" i="12"/>
  <c r="X272" i="12"/>
  <c r="U273" i="12"/>
  <c r="X273" i="12"/>
  <c r="U274" i="12"/>
  <c r="V275" i="12"/>
  <c r="V276" i="12"/>
  <c r="W277" i="12"/>
  <c r="X278" i="12"/>
  <c r="U279" i="12"/>
  <c r="V280" i="12"/>
  <c r="V281" i="12"/>
  <c r="W282" i="12"/>
  <c r="W283" i="12"/>
  <c r="W284" i="12"/>
  <c r="W285" i="12"/>
  <c r="W286" i="12"/>
  <c r="W287" i="12"/>
  <c r="X288" i="12"/>
  <c r="X289" i="12"/>
  <c r="U290" i="12"/>
  <c r="U291" i="12"/>
  <c r="V292" i="12"/>
  <c r="V293" i="12"/>
  <c r="W294" i="12"/>
  <c r="W295" i="12"/>
  <c r="X296" i="12"/>
  <c r="X297" i="12"/>
  <c r="U298" i="12"/>
  <c r="U299" i="12"/>
  <c r="V300" i="12"/>
  <c r="V301" i="12"/>
  <c r="W302" i="12"/>
  <c r="W303" i="12"/>
  <c r="X304" i="12"/>
  <c r="X305" i="12"/>
  <c r="U306" i="12"/>
  <c r="U307" i="12"/>
  <c r="V308" i="12"/>
  <c r="V309" i="12"/>
  <c r="W310" i="12"/>
  <c r="W311" i="12"/>
  <c r="X312" i="12"/>
  <c r="X313" i="12"/>
  <c r="U314" i="12"/>
  <c r="U315" i="12"/>
  <c r="V316" i="12"/>
  <c r="V317" i="12"/>
  <c r="W318" i="12"/>
  <c r="W319" i="12"/>
  <c r="X320" i="12"/>
  <c r="X321" i="12"/>
  <c r="U322" i="12"/>
  <c r="V323" i="12"/>
  <c r="V324" i="12"/>
  <c r="W326" i="12"/>
  <c r="W327" i="12"/>
  <c r="X328" i="12"/>
  <c r="U329" i="12"/>
  <c r="X329" i="12"/>
  <c r="U330" i="12"/>
  <c r="V331" i="12"/>
  <c r="V332" i="12"/>
  <c r="W334" i="12"/>
  <c r="W335" i="12"/>
  <c r="X336" i="12"/>
  <c r="U337" i="12"/>
  <c r="X337" i="12"/>
  <c r="U338" i="12"/>
  <c r="V339" i="12"/>
  <c r="V340" i="12"/>
  <c r="W341" i="12"/>
  <c r="X342" i="12"/>
  <c r="U343" i="12"/>
  <c r="X343" i="12"/>
  <c r="U344" i="12"/>
  <c r="V345" i="12"/>
  <c r="V346" i="12"/>
  <c r="W348" i="12"/>
  <c r="W349" i="12"/>
  <c r="X350" i="12"/>
  <c r="U351" i="12"/>
  <c r="X351" i="12"/>
  <c r="U352" i="12"/>
  <c r="V353" i="12"/>
  <c r="V354" i="12"/>
  <c r="W356" i="12"/>
  <c r="X357" i="12"/>
  <c r="U358" i="12"/>
  <c r="U359" i="12"/>
  <c r="V360" i="12"/>
  <c r="V361" i="12"/>
  <c r="W362" i="12"/>
  <c r="W363" i="12"/>
  <c r="X364" i="12"/>
  <c r="X365" i="12"/>
  <c r="U366" i="12"/>
  <c r="U367" i="12"/>
  <c r="V368" i="12"/>
  <c r="V369" i="12"/>
  <c r="W370" i="12"/>
  <c r="W371" i="12"/>
  <c r="X372" i="12"/>
  <c r="X373" i="12"/>
  <c r="U374" i="12"/>
  <c r="U375" i="12"/>
  <c r="V376" i="12"/>
  <c r="V377" i="12"/>
  <c r="W378" i="12"/>
  <c r="W379" i="12"/>
  <c r="X380" i="12"/>
  <c r="X381" i="12"/>
  <c r="U382" i="12"/>
  <c r="U383" i="12"/>
  <c r="V384" i="12"/>
  <c r="V385" i="12"/>
  <c r="W386" i="12"/>
  <c r="W387" i="12"/>
  <c r="X388" i="12"/>
  <c r="X389" i="12"/>
  <c r="U390" i="12"/>
  <c r="U391" i="12"/>
  <c r="V392" i="12"/>
  <c r="V393" i="12"/>
  <c r="W394" i="12"/>
  <c r="W395" i="12"/>
  <c r="X396" i="12"/>
  <c r="X397" i="12"/>
  <c r="U398" i="12"/>
  <c r="U399" i="12"/>
  <c r="V400" i="12"/>
  <c r="V401" i="12"/>
  <c r="W402" i="12"/>
  <c r="W403" i="12"/>
  <c r="X404" i="12"/>
  <c r="X405" i="12"/>
  <c r="U406" i="12"/>
  <c r="V407" i="12"/>
  <c r="W408" i="12"/>
  <c r="X409" i="12"/>
  <c r="U410" i="12"/>
  <c r="V411" i="12"/>
  <c r="W412" i="12"/>
  <c r="X413" i="12"/>
  <c r="U414" i="12"/>
  <c r="V415" i="12"/>
  <c r="W416" i="12"/>
  <c r="X417" i="12"/>
  <c r="U418" i="12"/>
  <c r="V419" i="12"/>
  <c r="W420" i="12"/>
  <c r="X421" i="12"/>
  <c r="U422" i="12"/>
  <c r="V423" i="12"/>
  <c r="W425" i="12"/>
  <c r="W426" i="12"/>
  <c r="X427" i="12"/>
  <c r="U428" i="12"/>
  <c r="X428" i="12"/>
  <c r="U429" i="12"/>
  <c r="U430" i="12"/>
  <c r="V431" i="12"/>
  <c r="W433" i="12"/>
  <c r="W434" i="12"/>
  <c r="X435" i="12"/>
  <c r="U436" i="12"/>
  <c r="X436" i="12"/>
  <c r="U437" i="12"/>
  <c r="U438" i="12"/>
  <c r="V439" i="12"/>
  <c r="W441" i="12"/>
  <c r="W442" i="12"/>
  <c r="X443" i="12"/>
  <c r="U444" i="12"/>
  <c r="X444" i="12"/>
  <c r="U445" i="12"/>
  <c r="U446" i="12"/>
  <c r="V447" i="12"/>
  <c r="W449" i="12"/>
  <c r="W450" i="12"/>
  <c r="X451" i="12"/>
  <c r="U452" i="12"/>
  <c r="X452" i="12"/>
  <c r="U453" i="12"/>
  <c r="U454" i="12"/>
  <c r="V455" i="12"/>
  <c r="W457" i="12"/>
  <c r="W458" i="12"/>
  <c r="X459" i="12"/>
  <c r="U460" i="12"/>
  <c r="X460" i="12"/>
  <c r="U461" i="12"/>
  <c r="U462" i="12"/>
  <c r="V463" i="12"/>
  <c r="W465" i="12"/>
  <c r="W466" i="12"/>
  <c r="X467" i="12"/>
  <c r="U468" i="12"/>
  <c r="X468" i="12"/>
  <c r="U469" i="12"/>
  <c r="U470" i="12"/>
  <c r="V471" i="12"/>
  <c r="W472" i="12"/>
  <c r="W473" i="12"/>
  <c r="W474" i="12"/>
  <c r="W475" i="12"/>
  <c r="W476" i="12"/>
  <c r="W478" i="12"/>
  <c r="W479" i="12"/>
  <c r="X480" i="12"/>
  <c r="U481" i="12"/>
  <c r="X481" i="12"/>
  <c r="U482" i="12"/>
  <c r="X482" i="12"/>
  <c r="X483" i="12"/>
  <c r="X484" i="12"/>
  <c r="W485" i="12"/>
  <c r="X486" i="12"/>
  <c r="X487" i="12"/>
  <c r="U488" i="12"/>
  <c r="V489" i="12"/>
  <c r="V490" i="12"/>
  <c r="U491" i="12"/>
  <c r="U492" i="12"/>
  <c r="U493" i="12"/>
  <c r="X493" i="12"/>
  <c r="U494" i="12"/>
  <c r="U495" i="12"/>
  <c r="V496" i="12"/>
  <c r="V499" i="12"/>
  <c r="V500" i="12"/>
  <c r="V501" i="12"/>
  <c r="V502" i="12"/>
  <c r="V503" i="12"/>
  <c r="W504" i="12"/>
  <c r="W505" i="12"/>
  <c r="W506" i="12"/>
  <c r="W507" i="12"/>
  <c r="W508" i="12"/>
  <c r="W510" i="12"/>
  <c r="W511" i="12"/>
  <c r="X512" i="12"/>
  <c r="U513" i="12"/>
  <c r="X513" i="12"/>
  <c r="U514" i="12"/>
  <c r="X514" i="12"/>
  <c r="X515" i="12"/>
  <c r="X516" i="12"/>
  <c r="W517" i="12"/>
  <c r="X518" i="12"/>
  <c r="X519" i="12"/>
  <c r="U520" i="12"/>
  <c r="V521" i="12"/>
  <c r="V522" i="12"/>
  <c r="U523" i="12"/>
  <c r="U524" i="12"/>
  <c r="U525" i="12"/>
  <c r="X525" i="12"/>
  <c r="U526" i="12"/>
  <c r="U527" i="12"/>
  <c r="V528" i="12"/>
  <c r="V531" i="12"/>
  <c r="V532" i="12"/>
  <c r="V533" i="12"/>
  <c r="V534" i="12"/>
  <c r="V535" i="12"/>
  <c r="W536" i="12"/>
  <c r="W537" i="12"/>
  <c r="W538" i="12"/>
  <c r="W539" i="12"/>
  <c r="W540" i="12"/>
  <c r="W542" i="12"/>
  <c r="W543" i="12"/>
  <c r="X544" i="12"/>
  <c r="U545" i="12"/>
  <c r="X545" i="12"/>
  <c r="U546" i="12"/>
  <c r="X546" i="12"/>
  <c r="U548" i="12"/>
  <c r="X550" i="12"/>
  <c r="V552" i="12"/>
  <c r="X553" i="12"/>
  <c r="U554" i="12"/>
  <c r="U555" i="12"/>
  <c r="V556" i="12"/>
  <c r="W557" i="12"/>
  <c r="U559" i="12"/>
  <c r="W560" i="12"/>
  <c r="V561" i="12"/>
  <c r="W562" i="12"/>
  <c r="X564" i="12"/>
  <c r="U565" i="12"/>
  <c r="X566" i="12"/>
  <c r="W568" i="12"/>
  <c r="V571" i="12"/>
  <c r="U574" i="12"/>
  <c r="W575" i="12"/>
  <c r="X577" i="12"/>
  <c r="X580" i="12"/>
  <c r="U581" i="12"/>
  <c r="X582" i="12"/>
  <c r="W584" i="12"/>
  <c r="V587" i="12"/>
  <c r="U590" i="12"/>
  <c r="W591" i="12"/>
  <c r="X593" i="12"/>
  <c r="X596" i="12"/>
  <c r="U597" i="12"/>
  <c r="X598" i="12"/>
  <c r="W600" i="12"/>
  <c r="W603" i="12"/>
  <c r="V604" i="12"/>
  <c r="U607" i="12"/>
  <c r="V609" i="12"/>
  <c r="U611" i="12"/>
  <c r="X612" i="12"/>
  <c r="U613" i="12"/>
  <c r="X614" i="12"/>
  <c r="W615" i="12"/>
  <c r="X617" i="12"/>
  <c r="W621" i="12"/>
  <c r="V622" i="12"/>
  <c r="V624" i="12"/>
  <c r="X627" i="12"/>
  <c r="U628" i="12"/>
  <c r="V235" i="12"/>
  <c r="W236" i="12"/>
  <c r="W237" i="12"/>
  <c r="X238" i="12"/>
  <c r="X239" i="12"/>
  <c r="U240" i="12"/>
  <c r="U241" i="12"/>
  <c r="V242" i="12"/>
  <c r="V243" i="12"/>
  <c r="W244" i="12"/>
  <c r="W245" i="12"/>
  <c r="X246" i="12"/>
  <c r="X247" i="12"/>
  <c r="U248" i="12"/>
  <c r="V249" i="12"/>
  <c r="V250" i="12"/>
  <c r="W252" i="12"/>
  <c r="W253" i="12"/>
  <c r="X254" i="12"/>
  <c r="U255" i="12"/>
  <c r="X255" i="12"/>
  <c r="X256" i="12"/>
  <c r="X257" i="12"/>
  <c r="X258" i="12"/>
  <c r="X259" i="12"/>
  <c r="U260" i="12"/>
  <c r="V261" i="12"/>
  <c r="V262" i="12"/>
  <c r="V264" i="12"/>
  <c r="V265" i="12"/>
  <c r="V266" i="12"/>
  <c r="V267" i="12"/>
  <c r="W268" i="12"/>
  <c r="W269" i="12"/>
  <c r="X270" i="12"/>
  <c r="U271" i="12"/>
  <c r="X271" i="12"/>
  <c r="U272" i="12"/>
  <c r="V273" i="12"/>
  <c r="V274" i="12"/>
  <c r="W276" i="12"/>
  <c r="X277" i="12"/>
  <c r="U278" i="12"/>
  <c r="V279" i="12"/>
  <c r="W280" i="12"/>
  <c r="W281" i="12"/>
  <c r="X282" i="12"/>
  <c r="X283" i="12"/>
  <c r="X284" i="12"/>
  <c r="X285" i="12"/>
  <c r="X286" i="12"/>
  <c r="X287" i="12"/>
  <c r="U288" i="12"/>
  <c r="U289" i="12"/>
  <c r="V290" i="12"/>
  <c r="V291" i="12"/>
  <c r="W292" i="12"/>
  <c r="W293" i="12"/>
  <c r="X294" i="12"/>
  <c r="X295" i="12"/>
  <c r="U296" i="12"/>
  <c r="U297" i="12"/>
  <c r="V298" i="12"/>
  <c r="V299" i="12"/>
  <c r="W300" i="12"/>
  <c r="W301" i="12"/>
  <c r="X302" i="12"/>
  <c r="X303" i="12"/>
  <c r="U304" i="12"/>
  <c r="U305" i="12"/>
  <c r="V306" i="12"/>
  <c r="V307" i="12"/>
  <c r="W308" i="12"/>
  <c r="W309" i="12"/>
  <c r="X310" i="12"/>
  <c r="X311" i="12"/>
  <c r="U312" i="12"/>
  <c r="U313" i="12"/>
  <c r="V314" i="12"/>
  <c r="V315" i="12"/>
  <c r="W316" i="12"/>
  <c r="W317" i="12"/>
  <c r="X318" i="12"/>
  <c r="X319" i="12"/>
  <c r="U320" i="12"/>
  <c r="U321" i="12"/>
  <c r="V322" i="12"/>
  <c r="W324" i="12"/>
  <c r="W325" i="12"/>
  <c r="X326" i="12"/>
  <c r="U327" i="12"/>
  <c r="X327" i="12"/>
  <c r="U328" i="12"/>
  <c r="V329" i="12"/>
  <c r="V330" i="12"/>
  <c r="W332" i="12"/>
  <c r="W333" i="12"/>
  <c r="X334" i="12"/>
  <c r="U335" i="12"/>
  <c r="X335" i="12"/>
  <c r="U336" i="12"/>
  <c r="V337" i="12"/>
  <c r="V338" i="12"/>
  <c r="W340" i="12"/>
  <c r="X341" i="12"/>
  <c r="U342" i="12"/>
  <c r="V343" i="12"/>
  <c r="V344" i="12"/>
  <c r="W346" i="12"/>
  <c r="W347" i="12"/>
  <c r="X348" i="12"/>
  <c r="U349" i="12"/>
  <c r="X349" i="12"/>
  <c r="U350" i="12"/>
  <c r="V351" i="12"/>
  <c r="V352" i="12"/>
  <c r="W354" i="12"/>
  <c r="W355" i="12"/>
  <c r="X356" i="12"/>
  <c r="U357" i="12"/>
  <c r="V358" i="12"/>
  <c r="V359" i="12"/>
  <c r="W360" i="12"/>
  <c r="W361" i="12"/>
  <c r="X362" i="12"/>
  <c r="X363" i="12"/>
  <c r="U364" i="12"/>
  <c r="U365" i="12"/>
  <c r="V366" i="12"/>
  <c r="V367" i="12"/>
  <c r="W368" i="12"/>
  <c r="W369" i="12"/>
  <c r="X370" i="12"/>
  <c r="X371" i="12"/>
  <c r="U372" i="12"/>
  <c r="U373" i="12"/>
  <c r="V374" i="12"/>
  <c r="V375" i="12"/>
  <c r="W376" i="12"/>
  <c r="W377" i="12"/>
  <c r="X378" i="12"/>
  <c r="X379" i="12"/>
  <c r="U380" i="12"/>
  <c r="U381" i="12"/>
  <c r="V382" i="12"/>
  <c r="V383" i="12"/>
  <c r="W384" i="12"/>
  <c r="W385" i="12"/>
  <c r="X386" i="12"/>
  <c r="X387" i="12"/>
  <c r="U388" i="12"/>
  <c r="U389" i="12"/>
  <c r="V390" i="12"/>
  <c r="V391" i="12"/>
  <c r="W392" i="12"/>
  <c r="W393" i="12"/>
  <c r="X394" i="12"/>
  <c r="X395" i="12"/>
  <c r="U396" i="12"/>
  <c r="U397" i="12"/>
  <c r="V398" i="12"/>
  <c r="V399" i="12"/>
  <c r="W400" i="12"/>
  <c r="W401" i="12"/>
  <c r="X402" i="12"/>
  <c r="X403" i="12"/>
  <c r="U404" i="12"/>
  <c r="U405" i="12"/>
  <c r="V406" i="12"/>
  <c r="W407" i="12"/>
  <c r="X408" i="12"/>
  <c r="U409" i="12"/>
  <c r="V410" i="12"/>
  <c r="W411" i="12"/>
  <c r="X412" i="12"/>
  <c r="U413" i="12"/>
  <c r="V414" i="12"/>
  <c r="W415" i="12"/>
  <c r="X416" i="12"/>
  <c r="U417" i="12"/>
  <c r="V418" i="12"/>
  <c r="W419" i="12"/>
  <c r="X420" i="12"/>
  <c r="U421" i="12"/>
  <c r="V422" i="12"/>
  <c r="W423" i="12"/>
  <c r="W424" i="12"/>
  <c r="X425" i="12"/>
  <c r="X426" i="12"/>
  <c r="U427" i="12"/>
  <c r="V428" i="12"/>
  <c r="V429" i="12"/>
  <c r="V430" i="12"/>
  <c r="W431" i="12"/>
  <c r="W432" i="12"/>
  <c r="X433" i="12"/>
  <c r="X434" i="12"/>
  <c r="U435" i="12"/>
  <c r="V436" i="12"/>
  <c r="V437" i="12"/>
  <c r="V438" i="12"/>
  <c r="W439" i="12"/>
  <c r="W440" i="12"/>
  <c r="X441" i="12"/>
  <c r="X442" i="12"/>
  <c r="U443" i="12"/>
  <c r="V444" i="12"/>
  <c r="V445" i="12"/>
  <c r="V446" i="12"/>
  <c r="W447" i="12"/>
  <c r="W448" i="12"/>
  <c r="X449" i="12"/>
  <c r="X450" i="12"/>
  <c r="U451" i="12"/>
  <c r="V452" i="12"/>
  <c r="V453" i="12"/>
  <c r="V454" i="12"/>
  <c r="W455" i="12"/>
  <c r="W456" i="12"/>
  <c r="X457" i="12"/>
  <c r="X458" i="12"/>
  <c r="U459" i="12"/>
  <c r="V460" i="12"/>
  <c r="V461" i="12"/>
  <c r="V462" i="12"/>
  <c r="W463" i="12"/>
  <c r="W464" i="12"/>
  <c r="X465" i="12"/>
  <c r="X466" i="12"/>
  <c r="U467" i="12"/>
  <c r="V468" i="12"/>
  <c r="V469" i="12"/>
  <c r="V470" i="12"/>
  <c r="W471" i="12"/>
  <c r="X472" i="12"/>
  <c r="U473" i="12"/>
  <c r="X473" i="12"/>
  <c r="U474" i="12"/>
  <c r="X474" i="12"/>
  <c r="X475" i="12"/>
  <c r="X476" i="12"/>
  <c r="W477" i="12"/>
  <c r="X478" i="12"/>
  <c r="X479" i="12"/>
  <c r="U480" i="12"/>
  <c r="V481" i="12"/>
  <c r="V482" i="12"/>
  <c r="U483" i="12"/>
  <c r="U484" i="12"/>
  <c r="U485" i="12"/>
  <c r="X485" i="12"/>
  <c r="U486" i="12"/>
  <c r="U487" i="12"/>
  <c r="V488" i="12"/>
  <c r="V491" i="12"/>
  <c r="V492" i="12"/>
  <c r="V493" i="12"/>
  <c r="V494" i="12"/>
  <c r="V495" i="12"/>
  <c r="W496" i="12"/>
  <c r="W497" i="12"/>
  <c r="W498" i="12"/>
  <c r="W499" i="12"/>
  <c r="W500" i="12"/>
  <c r="W502" i="12"/>
  <c r="W503" i="12"/>
  <c r="X504" i="12"/>
  <c r="U505" i="12"/>
  <c r="X505" i="12"/>
  <c r="U506" i="12"/>
  <c r="X506" i="12"/>
  <c r="X507" i="12"/>
  <c r="X508" i="12"/>
  <c r="W509" i="12"/>
  <c r="X510" i="12"/>
  <c r="X511" i="12"/>
  <c r="U512" i="12"/>
  <c r="V513" i="12"/>
  <c r="V514" i="12"/>
  <c r="U515" i="12"/>
  <c r="U516" i="12"/>
  <c r="U517" i="12"/>
  <c r="X517" i="12"/>
  <c r="U518" i="12"/>
  <c r="U519" i="12"/>
  <c r="V520" i="12"/>
  <c r="V523" i="12"/>
  <c r="V524" i="12"/>
  <c r="V525" i="12"/>
  <c r="V526" i="12"/>
  <c r="V527" i="12"/>
  <c r="W528" i="12"/>
  <c r="W529" i="12"/>
  <c r="W530" i="12"/>
  <c r="W531" i="12"/>
  <c r="W532" i="12"/>
  <c r="W534" i="12"/>
  <c r="W535" i="12"/>
  <c r="X536" i="12"/>
  <c r="U537" i="12"/>
  <c r="X537" i="12"/>
  <c r="U538" i="12"/>
  <c r="X538" i="12"/>
  <c r="X539" i="12"/>
  <c r="X540" i="12"/>
  <c r="W541" i="12"/>
  <c r="X542" i="12"/>
  <c r="X543" i="12"/>
  <c r="U544" i="12"/>
  <c r="V545" i="12"/>
  <c r="V546" i="12"/>
  <c r="U547" i="12"/>
  <c r="W548" i="12"/>
  <c r="W549" i="12"/>
  <c r="U551" i="12"/>
  <c r="X552" i="12"/>
  <c r="U553" i="12"/>
  <c r="V554" i="12"/>
  <c r="V555" i="12"/>
  <c r="X556" i="12"/>
  <c r="X557" i="12"/>
  <c r="U558" i="12"/>
  <c r="V559" i="12"/>
  <c r="V565" i="12"/>
  <c r="U567" i="12"/>
  <c r="W569" i="12"/>
  <c r="V572" i="12"/>
  <c r="V574" i="12"/>
  <c r="X575" i="12"/>
  <c r="U576" i="12"/>
  <c r="W578" i="12"/>
  <c r="V581" i="12"/>
  <c r="U583" i="12"/>
  <c r="W585" i="12"/>
  <c r="V588" i="12"/>
  <c r="V590" i="12"/>
  <c r="X591" i="12"/>
  <c r="U592" i="12"/>
  <c r="W594" i="12"/>
  <c r="V597" i="12"/>
  <c r="U599" i="12"/>
  <c r="W601" i="12"/>
  <c r="W604" i="12"/>
  <c r="V605" i="12"/>
  <c r="V607" i="12"/>
  <c r="U610" i="12"/>
  <c r="X611" i="12"/>
  <c r="U612" i="12"/>
  <c r="X613" i="12"/>
  <c r="X615" i="12"/>
  <c r="U616" i="12"/>
  <c r="W618" i="12"/>
  <c r="V619" i="12"/>
  <c r="X624" i="12"/>
  <c r="U625" i="12"/>
  <c r="X628" i="12"/>
  <c r="U629" i="12"/>
  <c r="V630" i="12"/>
  <c r="W631" i="12"/>
  <c r="X632" i="12"/>
  <c r="U633" i="12"/>
  <c r="V634" i="12"/>
  <c r="W635" i="12"/>
  <c r="X636" i="12"/>
  <c r="U637" i="12"/>
  <c r="V638" i="12"/>
  <c r="W639" i="12"/>
  <c r="X640" i="12"/>
  <c r="U641" i="12"/>
  <c r="V642" i="12"/>
  <c r="W643" i="12"/>
  <c r="X644" i="12"/>
  <c r="U645" i="12"/>
  <c r="V646" i="12"/>
  <c r="W647" i="12"/>
  <c r="X648" i="12"/>
  <c r="U649" i="12"/>
  <c r="V650" i="12"/>
  <c r="W651" i="12"/>
  <c r="X652" i="12"/>
  <c r="U653" i="12"/>
  <c r="V654" i="12"/>
  <c r="W655" i="12"/>
  <c r="X656" i="12"/>
  <c r="U657" i="12"/>
  <c r="V658" i="12"/>
  <c r="W659" i="12"/>
  <c r="X660" i="12"/>
  <c r="U661" i="12"/>
  <c r="V662" i="12"/>
  <c r="W663" i="12"/>
  <c r="X664" i="12"/>
  <c r="U665" i="12"/>
  <c r="V666" i="12"/>
  <c r="W667" i="12"/>
  <c r="X668" i="12"/>
  <c r="V200" i="12"/>
  <c r="W202" i="12"/>
  <c r="W203" i="12"/>
  <c r="X204" i="12"/>
  <c r="U205" i="12"/>
  <c r="X205" i="12"/>
  <c r="U206" i="12"/>
  <c r="V207" i="12"/>
  <c r="V208" i="12"/>
  <c r="W210" i="12"/>
  <c r="W211" i="12"/>
  <c r="X212" i="12"/>
  <c r="U213" i="12"/>
  <c r="X213" i="12"/>
  <c r="U214" i="12"/>
  <c r="V215" i="12"/>
  <c r="Y215" i="12" s="1"/>
  <c r="U216" i="12"/>
  <c r="U217" i="12"/>
  <c r="U218" i="12"/>
  <c r="U219" i="12"/>
  <c r="V220" i="12"/>
  <c r="W222" i="12"/>
  <c r="W223" i="12"/>
  <c r="W224" i="12"/>
  <c r="W225" i="12"/>
  <c r="W226" i="12"/>
  <c r="W227" i="12"/>
  <c r="X228" i="12"/>
  <c r="X229" i="12"/>
  <c r="U230" i="12"/>
  <c r="U231" i="12"/>
  <c r="V232" i="12"/>
  <c r="V233" i="12"/>
  <c r="W234" i="12"/>
  <c r="W235" i="12"/>
  <c r="X236" i="12"/>
  <c r="X237" i="12"/>
  <c r="U238" i="12"/>
  <c r="U239" i="12"/>
  <c r="V240" i="12"/>
  <c r="V241" i="12"/>
  <c r="W242" i="12"/>
  <c r="W243" i="12"/>
  <c r="X244" i="12"/>
  <c r="X245" i="12"/>
  <c r="U246" i="12"/>
  <c r="U247" i="12"/>
  <c r="V248" i="12"/>
  <c r="W250" i="12"/>
  <c r="W251" i="12"/>
  <c r="X252" i="12"/>
  <c r="U253" i="12"/>
  <c r="X253" i="12"/>
  <c r="U254" i="12"/>
  <c r="V255" i="12"/>
  <c r="U256" i="12"/>
  <c r="U257" i="12"/>
  <c r="U258" i="12"/>
  <c r="U259" i="12"/>
  <c r="V260" i="12"/>
  <c r="W262" i="12"/>
  <c r="W263" i="12"/>
  <c r="W264" i="12"/>
  <c r="W265" i="12"/>
  <c r="W266" i="12"/>
  <c r="W267" i="12"/>
  <c r="X268" i="12"/>
  <c r="U269" i="12"/>
  <c r="X269" i="12"/>
  <c r="U270" i="12"/>
  <c r="V271" i="12"/>
  <c r="V272" i="12"/>
  <c r="W274" i="12"/>
  <c r="W275" i="12"/>
  <c r="X276" i="12"/>
  <c r="U277" i="12"/>
  <c r="V278" i="12"/>
  <c r="W279" i="12"/>
  <c r="X280" i="12"/>
  <c r="X281" i="12"/>
  <c r="U282" i="12"/>
  <c r="U283" i="12"/>
  <c r="U284" i="12"/>
  <c r="U285" i="12"/>
  <c r="U286" i="12"/>
  <c r="U287" i="12"/>
  <c r="V288" i="12"/>
  <c r="V289" i="12"/>
  <c r="W290" i="12"/>
  <c r="W291" i="12"/>
  <c r="X292" i="12"/>
  <c r="X293" i="12"/>
  <c r="U294" i="12"/>
  <c r="U295" i="12"/>
  <c r="V296" i="12"/>
  <c r="V297" i="12"/>
  <c r="W298" i="12"/>
  <c r="W299" i="12"/>
  <c r="X300" i="12"/>
  <c r="X301" i="12"/>
  <c r="U302" i="12"/>
  <c r="U303" i="12"/>
  <c r="V304" i="12"/>
  <c r="V305" i="12"/>
  <c r="W306" i="12"/>
  <c r="W307" i="12"/>
  <c r="X308" i="12"/>
  <c r="X309" i="12"/>
  <c r="U310" i="12"/>
  <c r="U311" i="12"/>
  <c r="V312" i="12"/>
  <c r="V313" i="12"/>
  <c r="W314" i="12"/>
  <c r="W315" i="12"/>
  <c r="X316" i="12"/>
  <c r="X317" i="12"/>
  <c r="U318" i="12"/>
  <c r="U319" i="12"/>
  <c r="V320" i="12"/>
  <c r="V321" i="12"/>
  <c r="W322" i="12"/>
  <c r="W323" i="12"/>
  <c r="X324" i="12"/>
  <c r="U325" i="12"/>
  <c r="X325" i="12"/>
  <c r="U326" i="12"/>
  <c r="V327" i="12"/>
  <c r="V328" i="12"/>
  <c r="W330" i="12"/>
  <c r="W331" i="12"/>
  <c r="X332" i="12"/>
  <c r="U333" i="12"/>
  <c r="X333" i="12"/>
  <c r="U334" i="12"/>
  <c r="V335" i="12"/>
  <c r="V336" i="12"/>
  <c r="W338" i="12"/>
  <c r="W339" i="12"/>
  <c r="X340" i="12"/>
  <c r="U341" i="12"/>
  <c r="V342" i="12"/>
  <c r="W344" i="12"/>
  <c r="W345" i="12"/>
  <c r="X346" i="12"/>
  <c r="U347" i="12"/>
  <c r="X347" i="12"/>
  <c r="U348" i="12"/>
  <c r="V349" i="12"/>
  <c r="V350" i="12"/>
  <c r="W352" i="12"/>
  <c r="W353" i="12"/>
  <c r="X354" i="12"/>
  <c r="U355" i="12"/>
  <c r="X355" i="12"/>
  <c r="U356" i="12"/>
  <c r="V357" i="12"/>
  <c r="W358" i="12"/>
  <c r="W359" i="12"/>
  <c r="X360" i="12"/>
  <c r="X361" i="12"/>
  <c r="U362" i="12"/>
  <c r="U363" i="12"/>
  <c r="V364" i="12"/>
  <c r="V365" i="12"/>
  <c r="W366" i="12"/>
  <c r="W367" i="12"/>
  <c r="X368" i="12"/>
  <c r="X369" i="12"/>
  <c r="U370" i="12"/>
  <c r="U371" i="12"/>
  <c r="V372" i="12"/>
  <c r="V373" i="12"/>
  <c r="W374" i="12"/>
  <c r="W375" i="12"/>
  <c r="X376" i="12"/>
  <c r="X377" i="12"/>
  <c r="U378" i="12"/>
  <c r="U379" i="12"/>
  <c r="V380" i="12"/>
  <c r="V381" i="12"/>
  <c r="W382" i="12"/>
  <c r="W383" i="12"/>
  <c r="X384" i="12"/>
  <c r="X385" i="12"/>
  <c r="U386" i="12"/>
  <c r="U387" i="12"/>
  <c r="V388" i="12"/>
  <c r="V389" i="12"/>
  <c r="W390" i="12"/>
  <c r="W391" i="12"/>
  <c r="X392" i="12"/>
  <c r="X393" i="12"/>
  <c r="U394" i="12"/>
  <c r="U395" i="12"/>
  <c r="V396" i="12"/>
  <c r="V397" i="12"/>
  <c r="W398" i="12"/>
  <c r="W399" i="12"/>
  <c r="X400" i="12"/>
  <c r="X401" i="12"/>
  <c r="U402" i="12"/>
  <c r="U403" i="12"/>
  <c r="V404" i="12"/>
  <c r="V405" i="12"/>
  <c r="W406" i="12"/>
  <c r="X407" i="12"/>
  <c r="U408" i="12"/>
  <c r="V409" i="12"/>
  <c r="W410" i="12"/>
  <c r="X411" i="12"/>
  <c r="U412" i="12"/>
  <c r="V413" i="12"/>
  <c r="W414" i="12"/>
  <c r="X415" i="12"/>
  <c r="U416" i="12"/>
  <c r="V417" i="12"/>
  <c r="W418" i="12"/>
  <c r="X419" i="12"/>
  <c r="U420" i="12"/>
  <c r="V421" i="12"/>
  <c r="W422" i="12"/>
  <c r="X423" i="12"/>
  <c r="U424" i="12"/>
  <c r="X424" i="12"/>
  <c r="U425" i="12"/>
  <c r="U426" i="12"/>
  <c r="V427" i="12"/>
  <c r="W429" i="12"/>
  <c r="W430" i="12"/>
  <c r="X431" i="12"/>
  <c r="U432" i="12"/>
  <c r="X432" i="12"/>
  <c r="U433" i="12"/>
  <c r="U434" i="12"/>
  <c r="V435" i="12"/>
  <c r="W437" i="12"/>
  <c r="W438" i="12"/>
  <c r="X439" i="12"/>
  <c r="U440" i="12"/>
  <c r="X440" i="12"/>
  <c r="U441" i="12"/>
  <c r="U442" i="12"/>
  <c r="V443" i="12"/>
  <c r="W445" i="12"/>
  <c r="W446" i="12"/>
  <c r="X447" i="12"/>
  <c r="U448" i="12"/>
  <c r="X448" i="12"/>
  <c r="U449" i="12"/>
  <c r="U450" i="12"/>
  <c r="V451" i="12"/>
  <c r="W453" i="12"/>
  <c r="W454" i="12"/>
  <c r="X455" i="12"/>
  <c r="U456" i="12"/>
  <c r="X456" i="12"/>
  <c r="U457" i="12"/>
  <c r="U458" i="12"/>
  <c r="V459" i="12"/>
  <c r="W461" i="12"/>
  <c r="W462" i="12"/>
  <c r="X463" i="12"/>
  <c r="U464" i="12"/>
  <c r="X464" i="12"/>
  <c r="U465" i="12"/>
  <c r="U466" i="12"/>
  <c r="V467" i="12"/>
  <c r="W469" i="12"/>
  <c r="W470" i="12"/>
  <c r="X471" i="12"/>
  <c r="U472" i="12"/>
  <c r="V473" i="12"/>
  <c r="V474" i="12"/>
  <c r="U475" i="12"/>
  <c r="U476" i="12"/>
  <c r="U477" i="12"/>
  <c r="X477" i="12"/>
  <c r="U478" i="12"/>
  <c r="U479" i="12"/>
  <c r="V480" i="12"/>
  <c r="V483" i="12"/>
  <c r="V484" i="12"/>
  <c r="V485" i="12"/>
  <c r="V486" i="12"/>
  <c r="V487" i="12"/>
  <c r="W488" i="12"/>
  <c r="W489" i="12"/>
  <c r="W490" i="12"/>
  <c r="W491" i="12"/>
  <c r="W492" i="12"/>
  <c r="W494" i="12"/>
  <c r="W495" i="12"/>
  <c r="X496" i="12"/>
  <c r="U497" i="12"/>
  <c r="X497" i="12"/>
  <c r="U498" i="12"/>
  <c r="X498" i="12"/>
  <c r="X499" i="12"/>
  <c r="X500" i="12"/>
  <c r="W501" i="12"/>
  <c r="X502" i="12"/>
  <c r="X503" i="12"/>
  <c r="U504" i="12"/>
  <c r="V505" i="12"/>
  <c r="V506" i="12"/>
  <c r="U507" i="12"/>
  <c r="U508" i="12"/>
  <c r="U509" i="12"/>
  <c r="X509" i="12"/>
  <c r="U510" i="12"/>
  <c r="U511" i="12"/>
  <c r="V512" i="12"/>
  <c r="V515" i="12"/>
  <c r="V516" i="12"/>
  <c r="V517" i="12"/>
  <c r="V518" i="12"/>
  <c r="V519" i="12"/>
  <c r="W520" i="12"/>
  <c r="W521" i="12"/>
  <c r="W522" i="12"/>
  <c r="W523" i="12"/>
  <c r="W524" i="12"/>
  <c r="W526" i="12"/>
  <c r="W527" i="12"/>
  <c r="X528" i="12"/>
  <c r="U529" i="12"/>
  <c r="X529" i="12"/>
  <c r="U530" i="12"/>
  <c r="X530" i="12"/>
  <c r="X531" i="12"/>
  <c r="X532" i="12"/>
  <c r="W533" i="12"/>
  <c r="X534" i="12"/>
  <c r="X535" i="12"/>
  <c r="U536" i="12"/>
  <c r="V537" i="12"/>
  <c r="V538" i="12"/>
  <c r="U539" i="12"/>
  <c r="U540" i="12"/>
  <c r="U541" i="12"/>
  <c r="X541" i="12"/>
  <c r="U542" i="12"/>
  <c r="U543" i="12"/>
  <c r="V544" i="12"/>
  <c r="W547" i="12"/>
  <c r="X548" i="12"/>
  <c r="X549" i="12"/>
  <c r="U550" i="12"/>
  <c r="W551" i="12"/>
  <c r="V553" i="12"/>
  <c r="X555" i="12"/>
  <c r="U557" i="12"/>
  <c r="V558" i="12"/>
  <c r="X559" i="12"/>
  <c r="U560" i="12"/>
  <c r="W561" i="12"/>
  <c r="V562" i="12"/>
  <c r="V563" i="12"/>
  <c r="U566" i="12"/>
  <c r="W567" i="12"/>
  <c r="X569" i="12"/>
  <c r="X572" i="12"/>
  <c r="U573" i="12"/>
  <c r="X574" i="12"/>
  <c r="W576" i="12"/>
  <c r="V579" i="12"/>
  <c r="U582" i="12"/>
  <c r="W583" i="12"/>
  <c r="X585" i="12"/>
  <c r="X588" i="12"/>
  <c r="U589" i="12"/>
  <c r="X590" i="12"/>
  <c r="W592" i="12"/>
  <c r="V595" i="12"/>
  <c r="U598" i="12"/>
  <c r="W599" i="12"/>
  <c r="X601" i="12"/>
  <c r="W605" i="12"/>
  <c r="V606" i="12"/>
  <c r="V608" i="12"/>
  <c r="V610" i="12"/>
  <c r="U614" i="12"/>
  <c r="W616" i="12"/>
  <c r="W619" i="12"/>
  <c r="V620" i="12"/>
  <c r="U623" i="12"/>
  <c r="V625" i="12"/>
  <c r="V626" i="12"/>
  <c r="U177" i="12"/>
  <c r="U178" i="12"/>
  <c r="U179" i="12"/>
  <c r="U180" i="12"/>
  <c r="U181" i="12"/>
  <c r="V182" i="12"/>
  <c r="V183" i="12"/>
  <c r="W184" i="12"/>
  <c r="W185" i="12"/>
  <c r="X186" i="12"/>
  <c r="X187" i="12"/>
  <c r="U188" i="12"/>
  <c r="U189" i="12"/>
  <c r="V190" i="12"/>
  <c r="V191" i="12"/>
  <c r="W192" i="12"/>
  <c r="W193" i="12"/>
  <c r="X194" i="12"/>
  <c r="X195" i="12"/>
  <c r="U196" i="12"/>
  <c r="V197" i="12"/>
  <c r="V198" i="12"/>
  <c r="W200" i="12"/>
  <c r="W201" i="12"/>
  <c r="X202" i="12"/>
  <c r="U203" i="12"/>
  <c r="X203" i="12"/>
  <c r="U204" i="12"/>
  <c r="V205" i="12"/>
  <c r="V206" i="12"/>
  <c r="W208" i="12"/>
  <c r="W209" i="12"/>
  <c r="X210" i="12"/>
  <c r="U211" i="12"/>
  <c r="X211" i="12"/>
  <c r="U212" i="12"/>
  <c r="V213" i="12"/>
  <c r="V214" i="12"/>
  <c r="V216" i="12"/>
  <c r="V217" i="12"/>
  <c r="V218" i="12"/>
  <c r="V219" i="12"/>
  <c r="W220" i="12"/>
  <c r="W221" i="12"/>
  <c r="X222" i="12"/>
  <c r="U223" i="12"/>
  <c r="X223" i="12"/>
  <c r="X224" i="12"/>
  <c r="X225" i="12"/>
  <c r="X226" i="12"/>
  <c r="X227" i="12"/>
  <c r="U228" i="12"/>
  <c r="U229" i="12"/>
  <c r="V230" i="12"/>
  <c r="V231" i="12"/>
  <c r="W232" i="12"/>
  <c r="W233" i="12"/>
  <c r="X234" i="12"/>
  <c r="X235" i="12"/>
  <c r="U236" i="12"/>
  <c r="U237" i="12"/>
  <c r="V238" i="12"/>
  <c r="V239" i="12"/>
  <c r="W240" i="12"/>
  <c r="W241" i="12"/>
  <c r="X242" i="12"/>
  <c r="X243" i="12"/>
  <c r="U244" i="12"/>
  <c r="U245" i="12"/>
  <c r="V246" i="12"/>
  <c r="V247" i="12"/>
  <c r="W248" i="12"/>
  <c r="W249" i="12"/>
  <c r="X250" i="12"/>
  <c r="U251" i="12"/>
  <c r="X251" i="12"/>
  <c r="U252" i="12"/>
  <c r="V253" i="12"/>
  <c r="V254" i="12"/>
  <c r="V256" i="12"/>
  <c r="V257" i="12"/>
  <c r="V258" i="12"/>
  <c r="V259" i="12"/>
  <c r="W260" i="12"/>
  <c r="W261" i="12"/>
  <c r="X262" i="12"/>
  <c r="U263" i="12"/>
  <c r="X263" i="12"/>
  <c r="X264" i="12"/>
  <c r="X265" i="12"/>
  <c r="X266" i="12"/>
  <c r="X267" i="12"/>
  <c r="U268" i="12"/>
  <c r="V269" i="12"/>
  <c r="V270" i="12"/>
  <c r="W272" i="12"/>
  <c r="W273" i="12"/>
  <c r="X274" i="12"/>
  <c r="U275" i="12"/>
  <c r="X275" i="12"/>
  <c r="U276" i="12"/>
  <c r="V277" i="12"/>
  <c r="W278" i="12"/>
  <c r="X279" i="12"/>
  <c r="U280" i="12"/>
  <c r="U281" i="12"/>
  <c r="V282" i="12"/>
  <c r="V283" i="12"/>
  <c r="V284" i="12"/>
  <c r="V285" i="12"/>
  <c r="V286" i="12"/>
  <c r="V287" i="12"/>
  <c r="W288" i="12"/>
  <c r="W289" i="12"/>
  <c r="X290" i="12"/>
  <c r="X291" i="12"/>
  <c r="U292" i="12"/>
  <c r="U293" i="12"/>
  <c r="V294" i="12"/>
  <c r="V295" i="12"/>
  <c r="W296" i="12"/>
  <c r="W297" i="12"/>
  <c r="X298" i="12"/>
  <c r="X299" i="12"/>
  <c r="U300" i="12"/>
  <c r="U301" i="12"/>
  <c r="V302" i="12"/>
  <c r="V303" i="12"/>
  <c r="W304" i="12"/>
  <c r="W305" i="12"/>
  <c r="X306" i="12"/>
  <c r="X307" i="12"/>
  <c r="U308" i="12"/>
  <c r="U309" i="12"/>
  <c r="V310" i="12"/>
  <c r="V311" i="12"/>
  <c r="W312" i="12"/>
  <c r="W313" i="12"/>
  <c r="X314" i="12"/>
  <c r="X315" i="12"/>
  <c r="U316" i="12"/>
  <c r="U317" i="12"/>
  <c r="V318" i="12"/>
  <c r="V319" i="12"/>
  <c r="W320" i="12"/>
  <c r="W321" i="12"/>
  <c r="X322" i="12"/>
  <c r="U323" i="12"/>
  <c r="X323" i="12"/>
  <c r="U324" i="12"/>
  <c r="V325" i="12"/>
  <c r="V326" i="12"/>
  <c r="W328" i="12"/>
  <c r="W329" i="12"/>
  <c r="X330" i="12"/>
  <c r="U331" i="12"/>
  <c r="X331" i="12"/>
  <c r="U332" i="12"/>
  <c r="V333" i="12"/>
  <c r="V334" i="12"/>
  <c r="W336" i="12"/>
  <c r="W337" i="12"/>
  <c r="X338" i="12"/>
  <c r="U339" i="12"/>
  <c r="X339" i="12"/>
  <c r="U340" i="12"/>
  <c r="V341" i="12"/>
  <c r="W342" i="12"/>
  <c r="W343" i="12"/>
  <c r="X344" i="12"/>
  <c r="U345" i="12"/>
  <c r="X345" i="12"/>
  <c r="U346" i="12"/>
  <c r="V347" i="12"/>
  <c r="V348" i="12"/>
  <c r="W350" i="12"/>
  <c r="W351" i="12"/>
  <c r="X352" i="12"/>
  <c r="U353" i="12"/>
  <c r="X353" i="12"/>
  <c r="Y353" i="12" s="1"/>
  <c r="U354" i="12"/>
  <c r="V355" i="12"/>
  <c r="V356" i="12"/>
  <c r="W357" i="12"/>
  <c r="Y357" i="12" s="1"/>
  <c r="X358" i="12"/>
  <c r="X359" i="12"/>
  <c r="U360" i="12"/>
  <c r="U361" i="12"/>
  <c r="Y361" i="12" s="1"/>
  <c r="V362" i="12"/>
  <c r="V363" i="12"/>
  <c r="W364" i="12"/>
  <c r="W365" i="12"/>
  <c r="X366" i="12"/>
  <c r="X367" i="12"/>
  <c r="U368" i="12"/>
  <c r="U369" i="12"/>
  <c r="V370" i="12"/>
  <c r="V371" i="12"/>
  <c r="W372" i="12"/>
  <c r="W373" i="12"/>
  <c r="X374" i="12"/>
  <c r="X375" i="12"/>
  <c r="U376" i="12"/>
  <c r="U377" i="12"/>
  <c r="Y377" i="12" s="1"/>
  <c r="V378" i="12"/>
  <c r="V379" i="12"/>
  <c r="W380" i="12"/>
  <c r="W381" i="12"/>
  <c r="Y381" i="12" s="1"/>
  <c r="X382" i="12"/>
  <c r="X383" i="12"/>
  <c r="U384" i="12"/>
  <c r="U385" i="12"/>
  <c r="Y385" i="12" s="1"/>
  <c r="V386" i="12"/>
  <c r="V387" i="12"/>
  <c r="W388" i="12"/>
  <c r="W389" i="12"/>
  <c r="X390" i="12"/>
  <c r="X391" i="12"/>
  <c r="U392" i="12"/>
  <c r="U393" i="12"/>
  <c r="Y393" i="12" s="1"/>
  <c r="V394" i="12"/>
  <c r="V395" i="12"/>
  <c r="W396" i="12"/>
  <c r="W397" i="12"/>
  <c r="X398" i="12"/>
  <c r="X399" i="12"/>
  <c r="U400" i="12"/>
  <c r="U401" i="12"/>
  <c r="Y401" i="12" s="1"/>
  <c r="V402" i="12"/>
  <c r="V403" i="12"/>
  <c r="W404" i="12"/>
  <c r="W405" i="12"/>
  <c r="X406" i="12"/>
  <c r="U407" i="12"/>
  <c r="V408" i="12"/>
  <c r="W409" i="12"/>
  <c r="X410" i="12"/>
  <c r="U411" i="12"/>
  <c r="V412" i="12"/>
  <c r="W413" i="12"/>
  <c r="Y413" i="12" s="1"/>
  <c r="X414" i="12"/>
  <c r="U415" i="12"/>
  <c r="V416" i="12"/>
  <c r="W417" i="12"/>
  <c r="Y417" i="12" s="1"/>
  <c r="X418" i="12"/>
  <c r="U419" i="12"/>
  <c r="V420" i="12"/>
  <c r="W421" i="12"/>
  <c r="X422" i="12"/>
  <c r="U423" i="12"/>
  <c r="V424" i="12"/>
  <c r="V425" i="12"/>
  <c r="V426" i="12"/>
  <c r="W427" i="12"/>
  <c r="W428" i="12"/>
  <c r="X429" i="12"/>
  <c r="X430" i="12"/>
  <c r="U431" i="12"/>
  <c r="V432" i="12"/>
  <c r="V433" i="12"/>
  <c r="V434" i="12"/>
  <c r="W435" i="12"/>
  <c r="W436" i="12"/>
  <c r="X437" i="12"/>
  <c r="X438" i="12"/>
  <c r="U439" i="12"/>
  <c r="V440" i="12"/>
  <c r="V441" i="12"/>
  <c r="V442" i="12"/>
  <c r="W443" i="12"/>
  <c r="W444" i="12"/>
  <c r="X445" i="12"/>
  <c r="Y445" i="12" s="1"/>
  <c r="X446" i="12"/>
  <c r="U447" i="12"/>
  <c r="V448" i="12"/>
  <c r="V449" i="12"/>
  <c r="V450" i="12"/>
  <c r="W451" i="12"/>
  <c r="W452" i="12"/>
  <c r="X453" i="12"/>
  <c r="X454" i="12"/>
  <c r="U455" i="12"/>
  <c r="V456" i="12"/>
  <c r="V457" i="12"/>
  <c r="V458" i="12"/>
  <c r="W459" i="12"/>
  <c r="W460" i="12"/>
  <c r="X461" i="12"/>
  <c r="X462" i="12"/>
  <c r="U463" i="12"/>
  <c r="V464" i="12"/>
  <c r="V465" i="12"/>
  <c r="V466" i="12"/>
  <c r="W467" i="12"/>
  <c r="W468" i="12"/>
  <c r="X469" i="12"/>
  <c r="X470" i="12"/>
  <c r="U471" i="12"/>
  <c r="V472" i="12"/>
  <c r="V475" i="12"/>
  <c r="V476" i="12"/>
  <c r="V477" i="12"/>
  <c r="V478" i="12"/>
  <c r="V479" i="12"/>
  <c r="Y479" i="12" s="1"/>
  <c r="W480" i="12"/>
  <c r="W481" i="12"/>
  <c r="W482" i="12"/>
  <c r="W483" i="12"/>
  <c r="W484" i="12"/>
  <c r="W486" i="12"/>
  <c r="W487" i="12"/>
  <c r="X488" i="12"/>
  <c r="U489" i="12"/>
  <c r="X489" i="12"/>
  <c r="U490" i="12"/>
  <c r="X490" i="12"/>
  <c r="X491" i="12"/>
  <c r="X492" i="12"/>
  <c r="W493" i="12"/>
  <c r="X494" i="12"/>
  <c r="X495" i="12"/>
  <c r="U496" i="12"/>
  <c r="V497" i="12"/>
  <c r="V498" i="12"/>
  <c r="U499" i="12"/>
  <c r="U500" i="12"/>
  <c r="U501" i="12"/>
  <c r="X501" i="12"/>
  <c r="U502" i="12"/>
  <c r="U503" i="12"/>
  <c r="V504" i="12"/>
  <c r="V507" i="12"/>
  <c r="V508" i="12"/>
  <c r="V509" i="12"/>
  <c r="V510" i="12"/>
  <c r="V511" i="12"/>
  <c r="Y511" i="12" s="1"/>
  <c r="W512" i="12"/>
  <c r="W513" i="12"/>
  <c r="W514" i="12"/>
  <c r="W515" i="12"/>
  <c r="W516" i="12"/>
  <c r="W518" i="12"/>
  <c r="W519" i="12"/>
  <c r="X520" i="12"/>
  <c r="U521" i="12"/>
  <c r="X521" i="12"/>
  <c r="U522" i="12"/>
  <c r="X522" i="12"/>
  <c r="X523" i="12"/>
  <c r="X524" i="12"/>
  <c r="W525" i="12"/>
  <c r="X526" i="12"/>
  <c r="X527" i="12"/>
  <c r="U528" i="12"/>
  <c r="V529" i="12"/>
  <c r="V530" i="12"/>
  <c r="U531" i="12"/>
  <c r="U532" i="12"/>
  <c r="U533" i="12"/>
  <c r="X533" i="12"/>
  <c r="U534" i="12"/>
  <c r="U535" i="12"/>
  <c r="V536" i="12"/>
  <c r="V539" i="12"/>
  <c r="V540" i="12"/>
  <c r="V541" i="12"/>
  <c r="V542" i="12"/>
  <c r="V543" i="12"/>
  <c r="Y543" i="12" s="1"/>
  <c r="W544" i="12"/>
  <c r="W545" i="12"/>
  <c r="W546" i="12"/>
  <c r="X547" i="12"/>
  <c r="U549" i="12"/>
  <c r="W550" i="12"/>
  <c r="X551" i="12"/>
  <c r="U552" i="12"/>
  <c r="X554" i="12"/>
  <c r="U556" i="12"/>
  <c r="V557" i="12"/>
  <c r="X558" i="12"/>
  <c r="V560" i="12"/>
  <c r="V564" i="12"/>
  <c r="V566" i="12"/>
  <c r="X567" i="12"/>
  <c r="U568" i="12"/>
  <c r="W570" i="12"/>
  <c r="V573" i="12"/>
  <c r="U575" i="12"/>
  <c r="W577" i="12"/>
  <c r="V580" i="12"/>
  <c r="V582" i="12"/>
  <c r="X583" i="12"/>
  <c r="U584" i="12"/>
  <c r="W586" i="12"/>
  <c r="V589" i="12"/>
  <c r="U591" i="12"/>
  <c r="W593" i="12"/>
  <c r="V596" i="12"/>
  <c r="V598" i="12"/>
  <c r="X599" i="12"/>
  <c r="U600" i="12"/>
  <c r="W602" i="12"/>
  <c r="V603" i="12"/>
  <c r="X608" i="12"/>
  <c r="U609" i="12"/>
  <c r="X610" i="12"/>
  <c r="W614" i="12"/>
  <c r="W617" i="12"/>
  <c r="W620" i="12"/>
  <c r="V621" i="12"/>
  <c r="V623" i="12"/>
  <c r="W626" i="12"/>
  <c r="W627" i="12"/>
  <c r="U563" i="12"/>
  <c r="X563" i="12"/>
  <c r="U564" i="12"/>
  <c r="X565" i="12"/>
  <c r="W566" i="12"/>
  <c r="V567" i="12"/>
  <c r="V568" i="12"/>
  <c r="V569" i="12"/>
  <c r="V570" i="12"/>
  <c r="U571" i="12"/>
  <c r="X571" i="12"/>
  <c r="U572" i="12"/>
  <c r="X573" i="12"/>
  <c r="W574" i="12"/>
  <c r="V575" i="12"/>
  <c r="V576" i="12"/>
  <c r="V577" i="12"/>
  <c r="V578" i="12"/>
  <c r="U579" i="12"/>
  <c r="X579" i="12"/>
  <c r="U580" i="12"/>
  <c r="X581" i="12"/>
  <c r="W582" i="12"/>
  <c r="V583" i="12"/>
  <c r="V584" i="12"/>
  <c r="V585" i="12"/>
  <c r="V586" i="12"/>
  <c r="U587" i="12"/>
  <c r="X587" i="12"/>
  <c r="U588" i="12"/>
  <c r="X589" i="12"/>
  <c r="W590" i="12"/>
  <c r="V591" i="12"/>
  <c r="V592" i="12"/>
  <c r="V593" i="12"/>
  <c r="V594" i="12"/>
  <c r="U595" i="12"/>
  <c r="X595" i="12"/>
  <c r="U596" i="12"/>
  <c r="X597" i="12"/>
  <c r="W598" i="12"/>
  <c r="V599" i="12"/>
  <c r="V600" i="12"/>
  <c r="V601" i="12"/>
  <c r="V602" i="12"/>
  <c r="U603" i="12"/>
  <c r="X604" i="12"/>
  <c r="U605" i="12"/>
  <c r="U606" i="12"/>
  <c r="X606" i="12"/>
  <c r="X607" i="12"/>
  <c r="U608" i="12"/>
  <c r="X609" i="12"/>
  <c r="W610" i="12"/>
  <c r="W611" i="12"/>
  <c r="W612" i="12"/>
  <c r="W613" i="12"/>
  <c r="V615" i="12"/>
  <c r="V616" i="12"/>
  <c r="V617" i="12"/>
  <c r="V618" i="12"/>
  <c r="U619" i="12"/>
  <c r="X620" i="12"/>
  <c r="U621" i="12"/>
  <c r="U622" i="12"/>
  <c r="X622" i="12"/>
  <c r="X623" i="12"/>
  <c r="U624" i="12"/>
  <c r="X625" i="12"/>
  <c r="U626" i="12"/>
  <c r="V627" i="12"/>
  <c r="W628" i="12"/>
  <c r="X629" i="12"/>
  <c r="U630" i="12"/>
  <c r="V631" i="12"/>
  <c r="W632" i="12"/>
  <c r="X633" i="12"/>
  <c r="U634" i="12"/>
  <c r="V635" i="12"/>
  <c r="W636" i="12"/>
  <c r="X637" i="12"/>
  <c r="U638" i="12"/>
  <c r="V639" i="12"/>
  <c r="W640" i="12"/>
  <c r="X641" i="12"/>
  <c r="U642" i="12"/>
  <c r="V643" i="12"/>
  <c r="W644" i="12"/>
  <c r="X645" i="12"/>
  <c r="U646" i="12"/>
  <c r="V647" i="12"/>
  <c r="W648" i="12"/>
  <c r="X649" i="12"/>
  <c r="U650" i="12"/>
  <c r="V651" i="12"/>
  <c r="W652" i="12"/>
  <c r="X653" i="12"/>
  <c r="U654" i="12"/>
  <c r="V655" i="12"/>
  <c r="W656" i="12"/>
  <c r="X657" i="12"/>
  <c r="U658" i="12"/>
  <c r="V659" i="12"/>
  <c r="W660" i="12"/>
  <c r="X661" i="12"/>
  <c r="U662" i="12"/>
  <c r="V663" i="12"/>
  <c r="W664" i="12"/>
  <c r="X665" i="12"/>
  <c r="U666" i="12"/>
  <c r="V667" i="12"/>
  <c r="W668" i="12"/>
  <c r="X669" i="12"/>
  <c r="U670" i="12"/>
  <c r="V671" i="12"/>
  <c r="W672" i="12"/>
  <c r="X673" i="12"/>
  <c r="U674" i="12"/>
  <c r="V675" i="12"/>
  <c r="W676" i="12"/>
  <c r="X677" i="12"/>
  <c r="U678" i="12"/>
  <c r="V679" i="12"/>
  <c r="W680" i="12"/>
  <c r="X681" i="12"/>
  <c r="U682" i="12"/>
  <c r="V683" i="12"/>
  <c r="W684" i="12"/>
  <c r="X685" i="12"/>
  <c r="U686" i="12"/>
  <c r="V687" i="12"/>
  <c r="W688" i="12"/>
  <c r="X689" i="12"/>
  <c r="U690" i="12"/>
  <c r="V691" i="12"/>
  <c r="W692" i="12"/>
  <c r="X693" i="12"/>
  <c r="U694" i="12"/>
  <c r="V695" i="12"/>
  <c r="W696" i="12"/>
  <c r="X697" i="12"/>
  <c r="U698" i="12"/>
  <c r="V699" i="12"/>
  <c r="W700" i="12"/>
  <c r="X701" i="12"/>
  <c r="U702" i="12"/>
  <c r="V703" i="12"/>
  <c r="W704" i="12"/>
  <c r="X705" i="12"/>
  <c r="U706" i="12"/>
  <c r="V707" i="12"/>
  <c r="W708" i="12"/>
  <c r="X709" i="12"/>
  <c r="U710" i="12"/>
  <c r="V711" i="12"/>
  <c r="W712" i="12"/>
  <c r="X713" i="12"/>
  <c r="U714" i="12"/>
  <c r="V715" i="12"/>
  <c r="W716" i="12"/>
  <c r="X717" i="12"/>
  <c r="U718" i="12"/>
  <c r="V719" i="12"/>
  <c r="W720" i="12"/>
  <c r="X721" i="12"/>
  <c r="U722" i="12"/>
  <c r="V723" i="12"/>
  <c r="W724" i="12"/>
  <c r="X725" i="12"/>
  <c r="U726" i="12"/>
  <c r="V727" i="12"/>
  <c r="W728" i="12"/>
  <c r="X729" i="12"/>
  <c r="U730" i="12"/>
  <c r="V731" i="12"/>
  <c r="W732" i="12"/>
  <c r="X733" i="12"/>
  <c r="U734" i="12"/>
  <c r="V735" i="12"/>
  <c r="W736" i="12"/>
  <c r="X737" i="12"/>
  <c r="U738" i="12"/>
  <c r="V739" i="12"/>
  <c r="W740" i="12"/>
  <c r="X741" i="12"/>
  <c r="U742" i="12"/>
  <c r="V743" i="12"/>
  <c r="W744" i="12"/>
  <c r="X745" i="12"/>
  <c r="U746" i="12"/>
  <c r="V747" i="12"/>
  <c r="W748" i="12"/>
  <c r="X749" i="12"/>
  <c r="U750" i="12"/>
  <c r="V751" i="12"/>
  <c r="W752" i="12"/>
  <c r="X753" i="12"/>
  <c r="U754" i="12"/>
  <c r="V755" i="12"/>
  <c r="W756" i="12"/>
  <c r="X757" i="12"/>
  <c r="U758" i="12"/>
  <c r="V759" i="12"/>
  <c r="W760" i="12"/>
  <c r="X761" i="12"/>
  <c r="U762" i="12"/>
  <c r="V763" i="12"/>
  <c r="W764" i="12"/>
  <c r="X765" i="12"/>
  <c r="U766" i="12"/>
  <c r="V767" i="12"/>
  <c r="W768" i="12"/>
  <c r="X769" i="12"/>
  <c r="U770" i="12"/>
  <c r="V771" i="12"/>
  <c r="W772" i="12"/>
  <c r="X773" i="12"/>
  <c r="U774" i="12"/>
  <c r="V775" i="12"/>
  <c r="W776" i="12"/>
  <c r="X777" i="12"/>
  <c r="U778" i="12"/>
  <c r="V779" i="12"/>
  <c r="W780" i="12"/>
  <c r="X781" i="12"/>
  <c r="U782" i="12"/>
  <c r="V783" i="12"/>
  <c r="W784" i="12"/>
  <c r="X785" i="12"/>
  <c r="U786" i="12"/>
  <c r="V787" i="12"/>
  <c r="W788" i="12"/>
  <c r="X789" i="12"/>
  <c r="U790" i="12"/>
  <c r="V791" i="12"/>
  <c r="W792" i="12"/>
  <c r="X793" i="12"/>
  <c r="U794" i="12"/>
  <c r="V795" i="12"/>
  <c r="W796" i="12"/>
  <c r="X797" i="12"/>
  <c r="U798" i="12"/>
  <c r="V799" i="12"/>
  <c r="W800" i="12"/>
  <c r="X801" i="12"/>
  <c r="U802" i="12"/>
  <c r="V803" i="12"/>
  <c r="W804" i="12"/>
  <c r="X805" i="12"/>
  <c r="U806" i="12"/>
  <c r="V807" i="12"/>
  <c r="W808" i="12"/>
  <c r="X809" i="12"/>
  <c r="U810" i="12"/>
  <c r="V811" i="12"/>
  <c r="W812" i="12"/>
  <c r="X813" i="12"/>
  <c r="U814" i="12"/>
  <c r="V815" i="12"/>
  <c r="W816" i="12"/>
  <c r="X817" i="12"/>
  <c r="U818" i="12"/>
  <c r="V819" i="12"/>
  <c r="W820" i="12"/>
  <c r="X821" i="12"/>
  <c r="U822" i="12"/>
  <c r="V823" i="12"/>
  <c r="W824" i="12"/>
  <c r="X825" i="12"/>
  <c r="U826" i="12"/>
  <c r="V827" i="12"/>
  <c r="W828" i="12"/>
  <c r="X829" i="12"/>
  <c r="U830" i="12"/>
  <c r="V831" i="12"/>
  <c r="W832" i="12"/>
  <c r="X833" i="12"/>
  <c r="U834" i="12"/>
  <c r="V835" i="12"/>
  <c r="W836" i="12"/>
  <c r="X837" i="12"/>
  <c r="U838" i="12"/>
  <c r="V839" i="12"/>
  <c r="W840" i="12"/>
  <c r="X841" i="12"/>
  <c r="U842" i="12"/>
  <c r="V843" i="12"/>
  <c r="W844" i="12"/>
  <c r="X845" i="12"/>
  <c r="U846" i="12"/>
  <c r="V847" i="12"/>
  <c r="W848" i="12"/>
  <c r="X849" i="12"/>
  <c r="U850" i="12"/>
  <c r="V851" i="12"/>
  <c r="W852" i="12"/>
  <c r="X853" i="12"/>
  <c r="U854" i="12"/>
  <c r="V855" i="12"/>
  <c r="W856" i="12"/>
  <c r="X883" i="12"/>
  <c r="U884" i="12"/>
  <c r="X884" i="12"/>
  <c r="U885" i="12"/>
  <c r="V886" i="12"/>
  <c r="W887" i="12"/>
  <c r="X888" i="12"/>
  <c r="U889" i="12"/>
  <c r="V890" i="12"/>
  <c r="V891" i="12"/>
  <c r="W892" i="12"/>
  <c r="W893" i="12"/>
  <c r="X894" i="12"/>
  <c r="U895" i="12"/>
  <c r="V896" i="12"/>
  <c r="W897" i="12"/>
  <c r="X899" i="12"/>
  <c r="U900" i="12"/>
  <c r="X900" i="12"/>
  <c r="U901" i="12"/>
  <c r="V902" i="12"/>
  <c r="W903" i="12"/>
  <c r="X904" i="12"/>
  <c r="U905" i="12"/>
  <c r="V906" i="12"/>
  <c r="V907" i="12"/>
  <c r="W908" i="12"/>
  <c r="W909" i="12"/>
  <c r="X910" i="12"/>
  <c r="U911" i="12"/>
  <c r="V912" i="12"/>
  <c r="W913" i="12"/>
  <c r="X915" i="12"/>
  <c r="U916" i="12"/>
  <c r="X916" i="12"/>
  <c r="U917" i="12"/>
  <c r="V918" i="12"/>
  <c r="W919" i="12"/>
  <c r="X920" i="12"/>
  <c r="U921" i="12"/>
  <c r="V922" i="12"/>
  <c r="V923" i="12"/>
  <c r="W924" i="12"/>
  <c r="W925" i="12"/>
  <c r="X926" i="12"/>
  <c r="U927" i="12"/>
  <c r="V928" i="12"/>
  <c r="W929" i="12"/>
  <c r="X931" i="12"/>
  <c r="U932" i="12"/>
  <c r="X932" i="12"/>
  <c r="U933" i="12"/>
  <c r="V934" i="12"/>
  <c r="W935" i="12"/>
  <c r="X936" i="12"/>
  <c r="U937" i="12"/>
  <c r="V938" i="12"/>
  <c r="V939" i="12"/>
  <c r="W940" i="12"/>
  <c r="W941" i="12"/>
  <c r="X942" i="12"/>
  <c r="U943" i="12"/>
  <c r="V944" i="12"/>
  <c r="W945" i="12"/>
  <c r="X947" i="12"/>
  <c r="U948" i="12"/>
  <c r="X948" i="12"/>
  <c r="U949" i="12"/>
  <c r="X950" i="12"/>
  <c r="U951" i="12"/>
  <c r="X952" i="12"/>
  <c r="U953" i="12"/>
  <c r="X953" i="12"/>
  <c r="U954" i="12"/>
  <c r="X954" i="12"/>
  <c r="U955" i="12"/>
  <c r="V956" i="12"/>
  <c r="V957" i="12"/>
  <c r="V958" i="12"/>
  <c r="W959" i="12"/>
  <c r="X960" i="12"/>
  <c r="U961" i="12"/>
  <c r="V963" i="12"/>
  <c r="V964" i="12"/>
  <c r="W965" i="12"/>
  <c r="W966" i="12"/>
  <c r="W967" i="12"/>
  <c r="X968" i="12"/>
  <c r="U969" i="12"/>
  <c r="V970" i="12"/>
  <c r="V971" i="12"/>
  <c r="W977" i="12"/>
  <c r="W978" i="12"/>
  <c r="W979" i="12"/>
  <c r="W980" i="12"/>
  <c r="X981" i="12"/>
  <c r="X982" i="12"/>
  <c r="U983" i="12"/>
  <c r="V984" i="12"/>
  <c r="W985" i="12"/>
  <c r="W986" i="12"/>
  <c r="X987" i="12"/>
  <c r="U988" i="12"/>
  <c r="X988" i="12"/>
  <c r="U989" i="12"/>
  <c r="X989" i="12"/>
  <c r="U990" i="12"/>
  <c r="X990" i="12"/>
  <c r="U991" i="12"/>
  <c r="X991" i="12"/>
  <c r="U992" i="12"/>
  <c r="X992" i="12"/>
  <c r="U993" i="12"/>
  <c r="V994" i="12"/>
  <c r="V995" i="12"/>
  <c r="W996" i="12"/>
  <c r="X999" i="12"/>
  <c r="U1000" i="12"/>
  <c r="X1003" i="12"/>
  <c r="U1004" i="12"/>
  <c r="V1006" i="12"/>
  <c r="V1008" i="12"/>
  <c r="V1010" i="12"/>
  <c r="X1020" i="12"/>
  <c r="U1021" i="12"/>
  <c r="X1024" i="12"/>
  <c r="U1025" i="12"/>
  <c r="U669" i="12"/>
  <c r="V670" i="12"/>
  <c r="W671" i="12"/>
  <c r="X672" i="12"/>
  <c r="U673" i="12"/>
  <c r="V674" i="12"/>
  <c r="W675" i="12"/>
  <c r="X676" i="12"/>
  <c r="U677" i="12"/>
  <c r="V678" i="12"/>
  <c r="W679" i="12"/>
  <c r="X680" i="12"/>
  <c r="U681" i="12"/>
  <c r="V682" i="12"/>
  <c r="W683" i="12"/>
  <c r="X684" i="12"/>
  <c r="U685" i="12"/>
  <c r="V686" i="12"/>
  <c r="W687" i="12"/>
  <c r="X688" i="12"/>
  <c r="U689" i="12"/>
  <c r="V690" i="12"/>
  <c r="W691" i="12"/>
  <c r="X692" i="12"/>
  <c r="U693" i="12"/>
  <c r="V694" i="12"/>
  <c r="W695" i="12"/>
  <c r="X696" i="12"/>
  <c r="U697" i="12"/>
  <c r="V698" i="12"/>
  <c r="W699" i="12"/>
  <c r="X700" i="12"/>
  <c r="U701" i="12"/>
  <c r="V702" i="12"/>
  <c r="W703" i="12"/>
  <c r="X704" i="12"/>
  <c r="U705" i="12"/>
  <c r="V706" i="12"/>
  <c r="W707" i="12"/>
  <c r="X708" i="12"/>
  <c r="U709" i="12"/>
  <c r="V710" i="12"/>
  <c r="W711" i="12"/>
  <c r="X712" i="12"/>
  <c r="U713" i="12"/>
  <c r="V714" i="12"/>
  <c r="W715" i="12"/>
  <c r="X716" i="12"/>
  <c r="U717" i="12"/>
  <c r="V718" i="12"/>
  <c r="W719" i="12"/>
  <c r="X720" i="12"/>
  <c r="U721" i="12"/>
  <c r="V722" i="12"/>
  <c r="W723" i="12"/>
  <c r="X724" i="12"/>
  <c r="U725" i="12"/>
  <c r="V726" i="12"/>
  <c r="W727" i="12"/>
  <c r="X728" i="12"/>
  <c r="U729" i="12"/>
  <c r="V730" i="12"/>
  <c r="W731" i="12"/>
  <c r="X732" i="12"/>
  <c r="U733" i="12"/>
  <c r="V734" i="12"/>
  <c r="W735" i="12"/>
  <c r="X736" i="12"/>
  <c r="U737" i="12"/>
  <c r="V738" i="12"/>
  <c r="W739" i="12"/>
  <c r="X740" i="12"/>
  <c r="U741" i="12"/>
  <c r="V742" i="12"/>
  <c r="W743" i="12"/>
  <c r="X744" i="12"/>
  <c r="U745" i="12"/>
  <c r="V746" i="12"/>
  <c r="W747" i="12"/>
  <c r="X748" i="12"/>
  <c r="U749" i="12"/>
  <c r="V750" i="12"/>
  <c r="W751" i="12"/>
  <c r="X752" i="12"/>
  <c r="U753" i="12"/>
  <c r="V754" i="12"/>
  <c r="W755" i="12"/>
  <c r="X756" i="12"/>
  <c r="U757" i="12"/>
  <c r="V758" i="12"/>
  <c r="W759" i="12"/>
  <c r="X760" i="12"/>
  <c r="U761" i="12"/>
  <c r="V762" i="12"/>
  <c r="W763" i="12"/>
  <c r="X764" i="12"/>
  <c r="U765" i="12"/>
  <c r="V766" i="12"/>
  <c r="W767" i="12"/>
  <c r="X768" i="12"/>
  <c r="U769" i="12"/>
  <c r="V770" i="12"/>
  <c r="W771" i="12"/>
  <c r="X772" i="12"/>
  <c r="U773" i="12"/>
  <c r="V774" i="12"/>
  <c r="W775" i="12"/>
  <c r="X776" i="12"/>
  <c r="U777" i="12"/>
  <c r="V778" i="12"/>
  <c r="W779" i="12"/>
  <c r="X780" i="12"/>
  <c r="U781" i="12"/>
  <c r="V782" i="12"/>
  <c r="W783" i="12"/>
  <c r="X784" i="12"/>
  <c r="U785" i="12"/>
  <c r="V786" i="12"/>
  <c r="W787" i="12"/>
  <c r="X788" i="12"/>
  <c r="U789" i="12"/>
  <c r="V790" i="12"/>
  <c r="W791" i="12"/>
  <c r="X792" i="12"/>
  <c r="U793" i="12"/>
  <c r="V794" i="12"/>
  <c r="W795" i="12"/>
  <c r="X796" i="12"/>
  <c r="U797" i="12"/>
  <c r="V798" i="12"/>
  <c r="W799" i="12"/>
  <c r="X800" i="12"/>
  <c r="U801" i="12"/>
  <c r="V802" i="12"/>
  <c r="W803" i="12"/>
  <c r="X804" i="12"/>
  <c r="U805" i="12"/>
  <c r="V806" i="12"/>
  <c r="W807" i="12"/>
  <c r="X808" i="12"/>
  <c r="U809" i="12"/>
  <c r="V810" i="12"/>
  <c r="W811" i="12"/>
  <c r="X812" i="12"/>
  <c r="U813" i="12"/>
  <c r="V814" i="12"/>
  <c r="W815" i="12"/>
  <c r="X816" i="12"/>
  <c r="U817" i="12"/>
  <c r="V818" i="12"/>
  <c r="W819" i="12"/>
  <c r="X820" i="12"/>
  <c r="U821" i="12"/>
  <c r="V822" i="12"/>
  <c r="W823" i="12"/>
  <c r="X824" i="12"/>
  <c r="U825" i="12"/>
  <c r="V826" i="12"/>
  <c r="W827" i="12"/>
  <c r="X828" i="12"/>
  <c r="U829" i="12"/>
  <c r="V830" i="12"/>
  <c r="W831" i="12"/>
  <c r="X832" i="12"/>
  <c r="U833" i="12"/>
  <c r="V834" i="12"/>
  <c r="W835" i="12"/>
  <c r="X836" i="12"/>
  <c r="U837" i="12"/>
  <c r="V838" i="12"/>
  <c r="W839" i="12"/>
  <c r="X840" i="12"/>
  <c r="U841" i="12"/>
  <c r="V842" i="12"/>
  <c r="W843" i="12"/>
  <c r="X844" i="12"/>
  <c r="U845" i="12"/>
  <c r="V846" i="12"/>
  <c r="W847" i="12"/>
  <c r="X848" i="12"/>
  <c r="U849" i="12"/>
  <c r="V850" i="12"/>
  <c r="W851" i="12"/>
  <c r="X852" i="12"/>
  <c r="U853" i="12"/>
  <c r="V854" i="12"/>
  <c r="W855" i="12"/>
  <c r="X856" i="12"/>
  <c r="U857" i="12"/>
  <c r="X857" i="12"/>
  <c r="U858" i="12"/>
  <c r="X858" i="12"/>
  <c r="U859" i="12"/>
  <c r="X859" i="12"/>
  <c r="U860" i="12"/>
  <c r="X860" i="12"/>
  <c r="U861" i="12"/>
  <c r="X861" i="12"/>
  <c r="U862" i="12"/>
  <c r="X862" i="12"/>
  <c r="U863" i="12"/>
  <c r="X863" i="12"/>
  <c r="U864" i="12"/>
  <c r="X864" i="12"/>
  <c r="U865" i="12"/>
  <c r="X865" i="12"/>
  <c r="U866" i="12"/>
  <c r="X866" i="12"/>
  <c r="U867" i="12"/>
  <c r="X867" i="12"/>
  <c r="U868" i="12"/>
  <c r="X868" i="12"/>
  <c r="U869" i="12"/>
  <c r="X869" i="12"/>
  <c r="U870" i="12"/>
  <c r="X870" i="12"/>
  <c r="U871" i="12"/>
  <c r="X871" i="12"/>
  <c r="U872" i="12"/>
  <c r="X872" i="12"/>
  <c r="U873" i="12"/>
  <c r="X873" i="12"/>
  <c r="U874" i="12"/>
  <c r="X874" i="12"/>
  <c r="U875" i="12"/>
  <c r="X875" i="12"/>
  <c r="U876" i="12"/>
  <c r="X876" i="12"/>
  <c r="U877" i="12"/>
  <c r="X877" i="12"/>
  <c r="U878" i="12"/>
  <c r="X878" i="12"/>
  <c r="U879" i="12"/>
  <c r="X879" i="12"/>
  <c r="U880" i="12"/>
  <c r="X880" i="12"/>
  <c r="U881" i="12"/>
  <c r="X881" i="12"/>
  <c r="U882" i="12"/>
  <c r="X882" i="12"/>
  <c r="U883" i="12"/>
  <c r="V884" i="12"/>
  <c r="V885" i="12"/>
  <c r="W886" i="12"/>
  <c r="X887" i="12"/>
  <c r="U888" i="12"/>
  <c r="V889" i="12"/>
  <c r="W890" i="12"/>
  <c r="W891" i="12"/>
  <c r="X893" i="12"/>
  <c r="U894" i="12"/>
  <c r="V895" i="12"/>
  <c r="W896" i="12"/>
  <c r="X897" i="12"/>
  <c r="U898" i="12"/>
  <c r="X898" i="12"/>
  <c r="U899" i="12"/>
  <c r="V900" i="12"/>
  <c r="V901" i="12"/>
  <c r="W902" i="12"/>
  <c r="X903" i="12"/>
  <c r="U904" i="12"/>
  <c r="V905" i="12"/>
  <c r="W906" i="12"/>
  <c r="W907" i="12"/>
  <c r="X909" i="12"/>
  <c r="U910" i="12"/>
  <c r="V911" i="12"/>
  <c r="W912" i="12"/>
  <c r="X913" i="12"/>
  <c r="U914" i="12"/>
  <c r="X914" i="12"/>
  <c r="U915" i="12"/>
  <c r="V916" i="12"/>
  <c r="V917" i="12"/>
  <c r="W918" i="12"/>
  <c r="X919" i="12"/>
  <c r="U920" i="12"/>
  <c r="V921" i="12"/>
  <c r="W922" i="12"/>
  <c r="W923" i="12"/>
  <c r="X925" i="12"/>
  <c r="U926" i="12"/>
  <c r="V927" i="12"/>
  <c r="W928" i="12"/>
  <c r="X929" i="12"/>
  <c r="U930" i="12"/>
  <c r="X930" i="12"/>
  <c r="U931" i="12"/>
  <c r="V932" i="12"/>
  <c r="V933" i="12"/>
  <c r="W934" i="12"/>
  <c r="X935" i="12"/>
  <c r="U936" i="12"/>
  <c r="V937" i="12"/>
  <c r="W938" i="12"/>
  <c r="W939" i="12"/>
  <c r="X941" i="12"/>
  <c r="U942" i="12"/>
  <c r="V943" i="12"/>
  <c r="W944" i="12"/>
  <c r="X945" i="12"/>
  <c r="U946" i="12"/>
  <c r="X946" i="12"/>
  <c r="U947" i="12"/>
  <c r="V949" i="12"/>
  <c r="V950" i="12"/>
  <c r="V951" i="12"/>
  <c r="V952" i="12"/>
  <c r="V953" i="12"/>
  <c r="V954" i="12"/>
  <c r="V955" i="12"/>
  <c r="W956" i="12"/>
  <c r="W957" i="12"/>
  <c r="W958" i="12"/>
  <c r="X959" i="12"/>
  <c r="U960" i="12"/>
  <c r="V961" i="12"/>
  <c r="V962" i="12"/>
  <c r="W963" i="12"/>
  <c r="W964" i="12"/>
  <c r="X965" i="12"/>
  <c r="U966" i="12"/>
  <c r="X967" i="12"/>
  <c r="U968" i="12"/>
  <c r="V969" i="12"/>
  <c r="W971" i="12"/>
  <c r="W972" i="12"/>
  <c r="W973" i="12"/>
  <c r="W974" i="12"/>
  <c r="W975" i="12"/>
  <c r="W976" i="12"/>
  <c r="X977" i="12"/>
  <c r="U978" i="12"/>
  <c r="X978" i="12"/>
  <c r="U979" i="12"/>
  <c r="X979" i="12"/>
  <c r="X980" i="12"/>
  <c r="U981" i="12"/>
  <c r="U982" i="12"/>
  <c r="V983" i="12"/>
  <c r="W984" i="12"/>
  <c r="X985" i="12"/>
  <c r="U986" i="12"/>
  <c r="X986" i="12"/>
  <c r="U987" i="12"/>
  <c r="V988" i="12"/>
  <c r="V989" i="12"/>
  <c r="V990" i="12"/>
  <c r="V991" i="12"/>
  <c r="V992" i="12"/>
  <c r="V993" i="12"/>
  <c r="W995" i="12"/>
  <c r="X996" i="12"/>
  <c r="U997" i="12"/>
  <c r="X1000" i="12"/>
  <c r="U1001" i="12"/>
  <c r="X1004" i="12"/>
  <c r="U1005" i="12"/>
  <c r="X1006" i="12"/>
  <c r="U1007" i="12"/>
  <c r="X1008" i="12"/>
  <c r="U1009" i="12"/>
  <c r="X1010" i="12"/>
  <c r="U1011" i="12"/>
  <c r="X1021" i="12"/>
  <c r="U1022" i="12"/>
  <c r="X1025" i="12"/>
  <c r="U1026" i="12"/>
  <c r="V629" i="12"/>
  <c r="W630" i="12"/>
  <c r="X631" i="12"/>
  <c r="U632" i="12"/>
  <c r="V633" i="12"/>
  <c r="W634" i="12"/>
  <c r="X635" i="12"/>
  <c r="U636" i="12"/>
  <c r="V637" i="12"/>
  <c r="W638" i="12"/>
  <c r="X639" i="12"/>
  <c r="U640" i="12"/>
  <c r="V641" i="12"/>
  <c r="W642" i="12"/>
  <c r="X643" i="12"/>
  <c r="U644" i="12"/>
  <c r="V645" i="12"/>
  <c r="W646" i="12"/>
  <c r="X647" i="12"/>
  <c r="U648" i="12"/>
  <c r="V649" i="12"/>
  <c r="W650" i="12"/>
  <c r="X651" i="12"/>
  <c r="U652" i="12"/>
  <c r="V653" i="12"/>
  <c r="W654" i="12"/>
  <c r="X655" i="12"/>
  <c r="U656" i="12"/>
  <c r="V657" i="12"/>
  <c r="W658" i="12"/>
  <c r="X659" i="12"/>
  <c r="U660" i="12"/>
  <c r="V661" i="12"/>
  <c r="W662" i="12"/>
  <c r="X663" i="12"/>
  <c r="U664" i="12"/>
  <c r="V665" i="12"/>
  <c r="W666" i="12"/>
  <c r="X667" i="12"/>
  <c r="U668" i="12"/>
  <c r="V669" i="12"/>
  <c r="W670" i="12"/>
  <c r="X671" i="12"/>
  <c r="U672" i="12"/>
  <c r="V673" i="12"/>
  <c r="W674" i="12"/>
  <c r="X675" i="12"/>
  <c r="U676" i="12"/>
  <c r="V677" i="12"/>
  <c r="W678" i="12"/>
  <c r="X679" i="12"/>
  <c r="U680" i="12"/>
  <c r="V681" i="12"/>
  <c r="W682" i="12"/>
  <c r="X683" i="12"/>
  <c r="U684" i="12"/>
  <c r="V685" i="12"/>
  <c r="W686" i="12"/>
  <c r="X687" i="12"/>
  <c r="U688" i="12"/>
  <c r="V689" i="12"/>
  <c r="W690" i="12"/>
  <c r="X691" i="12"/>
  <c r="U692" i="12"/>
  <c r="V693" i="12"/>
  <c r="W694" i="12"/>
  <c r="X695" i="12"/>
  <c r="U696" i="12"/>
  <c r="V697" i="12"/>
  <c r="W698" i="12"/>
  <c r="X699" i="12"/>
  <c r="U700" i="12"/>
  <c r="V701" i="12"/>
  <c r="W702" i="12"/>
  <c r="X703" i="12"/>
  <c r="U704" i="12"/>
  <c r="V705" i="12"/>
  <c r="W706" i="12"/>
  <c r="X707" i="12"/>
  <c r="U708" i="12"/>
  <c r="V709" i="12"/>
  <c r="W710" i="12"/>
  <c r="X711" i="12"/>
  <c r="U712" i="12"/>
  <c r="V713" i="12"/>
  <c r="W714" i="12"/>
  <c r="X715" i="12"/>
  <c r="U716" i="12"/>
  <c r="V717" i="12"/>
  <c r="W718" i="12"/>
  <c r="X719" i="12"/>
  <c r="U720" i="12"/>
  <c r="V721" i="12"/>
  <c r="W722" i="12"/>
  <c r="X723" i="12"/>
  <c r="U724" i="12"/>
  <c r="V725" i="12"/>
  <c r="W726" i="12"/>
  <c r="X727" i="12"/>
  <c r="U728" i="12"/>
  <c r="V729" i="12"/>
  <c r="W730" i="12"/>
  <c r="X731" i="12"/>
  <c r="U732" i="12"/>
  <c r="V733" i="12"/>
  <c r="W734" i="12"/>
  <c r="X735" i="12"/>
  <c r="U736" i="12"/>
  <c r="V737" i="12"/>
  <c r="W738" i="12"/>
  <c r="X739" i="12"/>
  <c r="U740" i="12"/>
  <c r="V741" i="12"/>
  <c r="W742" i="12"/>
  <c r="X743" i="12"/>
  <c r="U744" i="12"/>
  <c r="V745" i="12"/>
  <c r="W746" i="12"/>
  <c r="X747" i="12"/>
  <c r="U748" i="12"/>
  <c r="V749" i="12"/>
  <c r="W750" i="12"/>
  <c r="X751" i="12"/>
  <c r="U752" i="12"/>
  <c r="V753" i="12"/>
  <c r="W754" i="12"/>
  <c r="X755" i="12"/>
  <c r="U756" i="12"/>
  <c r="V757" i="12"/>
  <c r="W758" i="12"/>
  <c r="X759" i="12"/>
  <c r="U760" i="12"/>
  <c r="V761" i="12"/>
  <c r="W762" i="12"/>
  <c r="X763" i="12"/>
  <c r="U764" i="12"/>
  <c r="V765" i="12"/>
  <c r="W766" i="12"/>
  <c r="X767" i="12"/>
  <c r="U768" i="12"/>
  <c r="V769" i="12"/>
  <c r="W770" i="12"/>
  <c r="X771" i="12"/>
  <c r="U772" i="12"/>
  <c r="V773" i="12"/>
  <c r="W774" i="12"/>
  <c r="X775" i="12"/>
  <c r="U776" i="12"/>
  <c r="V777" i="12"/>
  <c r="W778" i="12"/>
  <c r="X779" i="12"/>
  <c r="U780" i="12"/>
  <c r="V781" i="12"/>
  <c r="W782" i="12"/>
  <c r="X783" i="12"/>
  <c r="U784" i="12"/>
  <c r="V785" i="12"/>
  <c r="W786" i="12"/>
  <c r="X787" i="12"/>
  <c r="U788" i="12"/>
  <c r="V789" i="12"/>
  <c r="W790" i="12"/>
  <c r="X791" i="12"/>
  <c r="U792" i="12"/>
  <c r="V793" i="12"/>
  <c r="W794" i="12"/>
  <c r="X795" i="12"/>
  <c r="U796" i="12"/>
  <c r="V797" i="12"/>
  <c r="W798" i="12"/>
  <c r="X799" i="12"/>
  <c r="U800" i="12"/>
  <c r="V801" i="12"/>
  <c r="W802" i="12"/>
  <c r="X803" i="12"/>
  <c r="U804" i="12"/>
  <c r="V805" i="12"/>
  <c r="W806" i="12"/>
  <c r="X807" i="12"/>
  <c r="U808" i="12"/>
  <c r="V809" i="12"/>
  <c r="W810" i="12"/>
  <c r="X811" i="12"/>
  <c r="U812" i="12"/>
  <c r="V813" i="12"/>
  <c r="W814" i="12"/>
  <c r="X815" i="12"/>
  <c r="U816" i="12"/>
  <c r="V817" i="12"/>
  <c r="W818" i="12"/>
  <c r="X819" i="12"/>
  <c r="U820" i="12"/>
  <c r="V821" i="12"/>
  <c r="W822" i="12"/>
  <c r="X823" i="12"/>
  <c r="U824" i="12"/>
  <c r="V825" i="12"/>
  <c r="W826" i="12"/>
  <c r="X827" i="12"/>
  <c r="U828" i="12"/>
  <c r="V829" i="12"/>
  <c r="W830" i="12"/>
  <c r="X831" i="12"/>
  <c r="U832" i="12"/>
  <c r="V833" i="12"/>
  <c r="W834" i="12"/>
  <c r="X835" i="12"/>
  <c r="U836" i="12"/>
  <c r="V837" i="12"/>
  <c r="W838" i="12"/>
  <c r="X839" i="12"/>
  <c r="U840" i="12"/>
  <c r="V841" i="12"/>
  <c r="W842" i="12"/>
  <c r="X843" i="12"/>
  <c r="U844" i="12"/>
  <c r="V845" i="12"/>
  <c r="W846" i="12"/>
  <c r="X847" i="12"/>
  <c r="U848" i="12"/>
  <c r="V849" i="12"/>
  <c r="W850" i="12"/>
  <c r="X851" i="12"/>
  <c r="U852" i="12"/>
  <c r="V853" i="12"/>
  <c r="W854" i="12"/>
  <c r="X855" i="12"/>
  <c r="U856" i="12"/>
  <c r="V857" i="12"/>
  <c r="V858" i="12"/>
  <c r="V859" i="12"/>
  <c r="V860" i="12"/>
  <c r="V861" i="12"/>
  <c r="V862" i="12"/>
  <c r="V863" i="12"/>
  <c r="V864" i="12"/>
  <c r="V865" i="12"/>
  <c r="V866" i="12"/>
  <c r="V867" i="12"/>
  <c r="V868" i="12"/>
  <c r="V869" i="12"/>
  <c r="V870" i="12"/>
  <c r="V871" i="12"/>
  <c r="V872" i="12"/>
  <c r="V873" i="12"/>
  <c r="V874" i="12"/>
  <c r="V875" i="12"/>
  <c r="V876" i="12"/>
  <c r="V877" i="12"/>
  <c r="V878" i="12"/>
  <c r="V879" i="12"/>
  <c r="V880" i="12"/>
  <c r="V881" i="12"/>
  <c r="V882" i="12"/>
  <c r="V883" i="12"/>
  <c r="W884" i="12"/>
  <c r="W885" i="12"/>
  <c r="X886" i="12"/>
  <c r="U887" i="12"/>
  <c r="V888" i="12"/>
  <c r="W889" i="12"/>
  <c r="X891" i="12"/>
  <c r="U892" i="12"/>
  <c r="X892" i="12"/>
  <c r="U893" i="12"/>
  <c r="V894" i="12"/>
  <c r="W895" i="12"/>
  <c r="X896" i="12"/>
  <c r="U897" i="12"/>
  <c r="V898" i="12"/>
  <c r="V899" i="12"/>
  <c r="W900" i="12"/>
  <c r="W901" i="12"/>
  <c r="X902" i="12"/>
  <c r="U903" i="12"/>
  <c r="V904" i="12"/>
  <c r="W905" i="12"/>
  <c r="X907" i="12"/>
  <c r="U908" i="12"/>
  <c r="X908" i="12"/>
  <c r="U909" i="12"/>
  <c r="V910" i="12"/>
  <c r="W911" i="12"/>
  <c r="X912" i="12"/>
  <c r="U913" i="12"/>
  <c r="V914" i="12"/>
  <c r="V915" i="12"/>
  <c r="W916" i="12"/>
  <c r="W917" i="12"/>
  <c r="X918" i="12"/>
  <c r="U919" i="12"/>
  <c r="V920" i="12"/>
  <c r="W921" i="12"/>
  <c r="X923" i="12"/>
  <c r="U924" i="12"/>
  <c r="X924" i="12"/>
  <c r="U925" i="12"/>
  <c r="V926" i="12"/>
  <c r="W927" i="12"/>
  <c r="X928" i="12"/>
  <c r="U929" i="12"/>
  <c r="V930" i="12"/>
  <c r="V931" i="12"/>
  <c r="W932" i="12"/>
  <c r="W933" i="12"/>
  <c r="X934" i="12"/>
  <c r="U935" i="12"/>
  <c r="V936" i="12"/>
  <c r="W937" i="12"/>
  <c r="X939" i="12"/>
  <c r="U940" i="12"/>
  <c r="X940" i="12"/>
  <c r="U941" i="12"/>
  <c r="V942" i="12"/>
  <c r="W943" i="12"/>
  <c r="X944" i="12"/>
  <c r="U945" i="12"/>
  <c r="V946" i="12"/>
  <c r="V947" i="12"/>
  <c r="V948" i="12"/>
  <c r="W949" i="12"/>
  <c r="W950" i="12"/>
  <c r="W951" i="12"/>
  <c r="W952" i="12"/>
  <c r="W953" i="12"/>
  <c r="W954" i="12"/>
  <c r="W955" i="12"/>
  <c r="X958" i="12"/>
  <c r="U959" i="12"/>
  <c r="V960" i="12"/>
  <c r="W961" i="12"/>
  <c r="W962" i="12"/>
  <c r="X963" i="12"/>
  <c r="U964" i="12"/>
  <c r="X964" i="12"/>
  <c r="U965" i="12"/>
  <c r="X966" i="12"/>
  <c r="U967" i="12"/>
  <c r="V968" i="12"/>
  <c r="W969" i="12"/>
  <c r="W970" i="12"/>
  <c r="X971" i="12"/>
  <c r="U972" i="12"/>
  <c r="X972" i="12"/>
  <c r="U973" i="12"/>
  <c r="X973" i="12"/>
  <c r="U974" i="12"/>
  <c r="X974" i="12"/>
  <c r="U975" i="12"/>
  <c r="X975" i="12"/>
  <c r="U976" i="12"/>
  <c r="X976" i="12"/>
  <c r="U977" i="12"/>
  <c r="V978" i="12"/>
  <c r="V979" i="12"/>
  <c r="U980" i="12"/>
  <c r="V981" i="12"/>
  <c r="V982" i="12"/>
  <c r="W983" i="12"/>
  <c r="X984" i="12"/>
  <c r="U985" i="12"/>
  <c r="V986" i="12"/>
  <c r="V987" i="12"/>
  <c r="W993" i="12"/>
  <c r="W994" i="12"/>
  <c r="X995" i="12"/>
  <c r="U996" i="12"/>
  <c r="V997" i="12"/>
  <c r="V998" i="12"/>
  <c r="V1001" i="12"/>
  <c r="V1002" i="12"/>
  <c r="V1005" i="12"/>
  <c r="V1007" i="12"/>
  <c r="V1009" i="12"/>
  <c r="V1011" i="12"/>
  <c r="X1022" i="12"/>
  <c r="U1023" i="12"/>
  <c r="X1026" i="12"/>
  <c r="U1027" i="12"/>
  <c r="V547" i="12"/>
  <c r="V548" i="12"/>
  <c r="V549" i="12"/>
  <c r="V550" i="12"/>
  <c r="V551" i="12"/>
  <c r="W552" i="12"/>
  <c r="W553" i="12"/>
  <c r="W554" i="12"/>
  <c r="W555" i="12"/>
  <c r="Y555" i="12" s="1"/>
  <c r="W556" i="12"/>
  <c r="W558" i="12"/>
  <c r="W559" i="12"/>
  <c r="X560" i="12"/>
  <c r="U561" i="12"/>
  <c r="X561" i="12"/>
  <c r="U562" i="12"/>
  <c r="X562" i="12"/>
  <c r="W563" i="12"/>
  <c r="W564" i="12"/>
  <c r="W565" i="12"/>
  <c r="X568" i="12"/>
  <c r="U569" i="12"/>
  <c r="U570" i="12"/>
  <c r="X570" i="12"/>
  <c r="W571" i="12"/>
  <c r="W572" i="12"/>
  <c r="W573" i="12"/>
  <c r="X576" i="12"/>
  <c r="U577" i="12"/>
  <c r="U578" i="12"/>
  <c r="X578" i="12"/>
  <c r="W579" i="12"/>
  <c r="W580" i="12"/>
  <c r="W581" i="12"/>
  <c r="X584" i="12"/>
  <c r="U585" i="12"/>
  <c r="U586" i="12"/>
  <c r="X586" i="12"/>
  <c r="W587" i="12"/>
  <c r="W588" i="12"/>
  <c r="W589" i="12"/>
  <c r="X592" i="12"/>
  <c r="U593" i="12"/>
  <c r="U594" i="12"/>
  <c r="X594" i="12"/>
  <c r="W595" i="12"/>
  <c r="W596" i="12"/>
  <c r="W597" i="12"/>
  <c r="X600" i="12"/>
  <c r="U601" i="12"/>
  <c r="U602" i="12"/>
  <c r="X602" i="12"/>
  <c r="X603" i="12"/>
  <c r="U604" i="12"/>
  <c r="X605" i="12"/>
  <c r="W606" i="12"/>
  <c r="W607" i="12"/>
  <c r="W608" i="12"/>
  <c r="W609" i="12"/>
  <c r="V611" i="12"/>
  <c r="V612" i="12"/>
  <c r="V613" i="12"/>
  <c r="V614" i="12"/>
  <c r="U615" i="12"/>
  <c r="X616" i="12"/>
  <c r="U617" i="12"/>
  <c r="U618" i="12"/>
  <c r="X618" i="12"/>
  <c r="X619" i="12"/>
  <c r="U620" i="12"/>
  <c r="X621" i="12"/>
  <c r="W622" i="12"/>
  <c r="W623" i="12"/>
  <c r="W624" i="12"/>
  <c r="W625" i="12"/>
  <c r="X626" i="12"/>
  <c r="U627" i="12"/>
  <c r="V628" i="12"/>
  <c r="W629" i="12"/>
  <c r="X630" i="12"/>
  <c r="U631" i="12"/>
  <c r="V632" i="12"/>
  <c r="W633" i="12"/>
  <c r="X634" i="12"/>
  <c r="U635" i="12"/>
  <c r="V636" i="12"/>
  <c r="W637" i="12"/>
  <c r="X638" i="12"/>
  <c r="U639" i="12"/>
  <c r="V640" i="12"/>
  <c r="W641" i="12"/>
  <c r="X642" i="12"/>
  <c r="U643" i="12"/>
  <c r="V644" i="12"/>
  <c r="W645" i="12"/>
  <c r="X646" i="12"/>
  <c r="U647" i="12"/>
  <c r="V648" i="12"/>
  <c r="W649" i="12"/>
  <c r="X650" i="12"/>
  <c r="U651" i="12"/>
  <c r="V652" i="12"/>
  <c r="W653" i="12"/>
  <c r="X654" i="12"/>
  <c r="U655" i="12"/>
  <c r="V656" i="12"/>
  <c r="W657" i="12"/>
  <c r="X658" i="12"/>
  <c r="U659" i="12"/>
  <c r="V660" i="12"/>
  <c r="W661" i="12"/>
  <c r="X662" i="12"/>
  <c r="U663" i="12"/>
  <c r="V664" i="12"/>
  <c r="W665" i="12"/>
  <c r="X666" i="12"/>
  <c r="U667" i="12"/>
  <c r="V668" i="12"/>
  <c r="W669" i="12"/>
  <c r="X670" i="12"/>
  <c r="U671" i="12"/>
  <c r="V672" i="12"/>
  <c r="W673" i="12"/>
  <c r="X674" i="12"/>
  <c r="U675" i="12"/>
  <c r="V676" i="12"/>
  <c r="W677" i="12"/>
  <c r="X678" i="12"/>
  <c r="U679" i="12"/>
  <c r="V680" i="12"/>
  <c r="W681" i="12"/>
  <c r="X682" i="12"/>
  <c r="U683" i="12"/>
  <c r="V684" i="12"/>
  <c r="W685" i="12"/>
  <c r="X686" i="12"/>
  <c r="U687" i="12"/>
  <c r="V688" i="12"/>
  <c r="W689" i="12"/>
  <c r="X690" i="12"/>
  <c r="U691" i="12"/>
  <c r="V692" i="12"/>
  <c r="W693" i="12"/>
  <c r="X694" i="12"/>
  <c r="U695" i="12"/>
  <c r="V696" i="12"/>
  <c r="W697" i="12"/>
  <c r="X698" i="12"/>
  <c r="U699" i="12"/>
  <c r="V700" i="12"/>
  <c r="W701" i="12"/>
  <c r="X702" i="12"/>
  <c r="U703" i="12"/>
  <c r="V704" i="12"/>
  <c r="W705" i="12"/>
  <c r="X706" i="12"/>
  <c r="U707" i="12"/>
  <c r="V708" i="12"/>
  <c r="W709" i="12"/>
  <c r="X710" i="12"/>
  <c r="U711" i="12"/>
  <c r="V712" i="12"/>
  <c r="W713" i="12"/>
  <c r="X714" i="12"/>
  <c r="U715" i="12"/>
  <c r="V716" i="12"/>
  <c r="W717" i="12"/>
  <c r="X718" i="12"/>
  <c r="U719" i="12"/>
  <c r="V720" i="12"/>
  <c r="W721" i="12"/>
  <c r="X722" i="12"/>
  <c r="U723" i="12"/>
  <c r="V724" i="12"/>
  <c r="W725" i="12"/>
  <c r="X726" i="12"/>
  <c r="U727" i="12"/>
  <c r="V728" i="12"/>
  <c r="W729" i="12"/>
  <c r="X730" i="12"/>
  <c r="U731" i="12"/>
  <c r="V732" i="12"/>
  <c r="W733" i="12"/>
  <c r="X734" i="12"/>
  <c r="U735" i="12"/>
  <c r="V736" i="12"/>
  <c r="W737" i="12"/>
  <c r="X738" i="12"/>
  <c r="U739" i="12"/>
  <c r="V740" i="12"/>
  <c r="W741" i="12"/>
  <c r="X742" i="12"/>
  <c r="U743" i="12"/>
  <c r="V744" i="12"/>
  <c r="W745" i="12"/>
  <c r="X746" i="12"/>
  <c r="U747" i="12"/>
  <c r="V748" i="12"/>
  <c r="W749" i="12"/>
  <c r="X750" i="12"/>
  <c r="U751" i="12"/>
  <c r="V752" i="12"/>
  <c r="W753" i="12"/>
  <c r="X754" i="12"/>
  <c r="U755" i="12"/>
  <c r="V756" i="12"/>
  <c r="W757" i="12"/>
  <c r="X758" i="12"/>
  <c r="U759" i="12"/>
  <c r="V760" i="12"/>
  <c r="W761" i="12"/>
  <c r="X762" i="12"/>
  <c r="U763" i="12"/>
  <c r="V764" i="12"/>
  <c r="W765" i="12"/>
  <c r="X766" i="12"/>
  <c r="U767" i="12"/>
  <c r="V768" i="12"/>
  <c r="W769" i="12"/>
  <c r="X770" i="12"/>
  <c r="U771" i="12"/>
  <c r="V772" i="12"/>
  <c r="W773" i="12"/>
  <c r="X774" i="12"/>
  <c r="U775" i="12"/>
  <c r="V776" i="12"/>
  <c r="W777" i="12"/>
  <c r="X778" i="12"/>
  <c r="U779" i="12"/>
  <c r="V780" i="12"/>
  <c r="W781" i="12"/>
  <c r="X782" i="12"/>
  <c r="U783" i="12"/>
  <c r="V784" i="12"/>
  <c r="W785" i="12"/>
  <c r="X786" i="12"/>
  <c r="U787" i="12"/>
  <c r="V788" i="12"/>
  <c r="W789" i="12"/>
  <c r="X790" i="12"/>
  <c r="U791" i="12"/>
  <c r="V792" i="12"/>
  <c r="W793" i="12"/>
  <c r="X794" i="12"/>
  <c r="U795" i="12"/>
  <c r="V796" i="12"/>
  <c r="W797" i="12"/>
  <c r="X798" i="12"/>
  <c r="U799" i="12"/>
  <c r="V800" i="12"/>
  <c r="W801" i="12"/>
  <c r="X802" i="12"/>
  <c r="U803" i="12"/>
  <c r="V804" i="12"/>
  <c r="W805" i="12"/>
  <c r="X806" i="12"/>
  <c r="U807" i="12"/>
  <c r="V808" i="12"/>
  <c r="W809" i="12"/>
  <c r="X810" i="12"/>
  <c r="U811" i="12"/>
  <c r="V812" i="12"/>
  <c r="W813" i="12"/>
  <c r="X814" i="12"/>
  <c r="U815" i="12"/>
  <c r="V816" i="12"/>
  <c r="W817" i="12"/>
  <c r="X818" i="12"/>
  <c r="U819" i="12"/>
  <c r="V820" i="12"/>
  <c r="W821" i="12"/>
  <c r="X822" i="12"/>
  <c r="U823" i="12"/>
  <c r="V824" i="12"/>
  <c r="W825" i="12"/>
  <c r="X826" i="12"/>
  <c r="U827" i="12"/>
  <c r="V828" i="12"/>
  <c r="W829" i="12"/>
  <c r="X830" i="12"/>
  <c r="U831" i="12"/>
  <c r="V832" i="12"/>
  <c r="W833" i="12"/>
  <c r="X834" i="12"/>
  <c r="U835" i="12"/>
  <c r="V836" i="12"/>
  <c r="W837" i="12"/>
  <c r="X838" i="12"/>
  <c r="U839" i="12"/>
  <c r="V840" i="12"/>
  <c r="W841" i="12"/>
  <c r="X842" i="12"/>
  <c r="U843" i="12"/>
  <c r="V844" i="12"/>
  <c r="W845" i="12"/>
  <c r="X846" i="12"/>
  <c r="U847" i="12"/>
  <c r="V848" i="12"/>
  <c r="W849" i="12"/>
  <c r="X850" i="12"/>
  <c r="U851" i="12"/>
  <c r="V852" i="12"/>
  <c r="W853" i="12"/>
  <c r="X854" i="12"/>
  <c r="U855" i="12"/>
  <c r="V856" i="12"/>
  <c r="W857" i="12"/>
  <c r="W858" i="12"/>
  <c r="Y858" i="12" s="1"/>
  <c r="W859" i="12"/>
  <c r="W860" i="12"/>
  <c r="W861" i="12"/>
  <c r="W862" i="12"/>
  <c r="Y862" i="12" s="1"/>
  <c r="W863" i="12"/>
  <c r="W864" i="12"/>
  <c r="W865" i="12"/>
  <c r="W866" i="12"/>
  <c r="Y866" i="12" s="1"/>
  <c r="W867" i="12"/>
  <c r="W868" i="12"/>
  <c r="W869" i="12"/>
  <c r="W870" i="12"/>
  <c r="Y870" i="12" s="1"/>
  <c r="W871" i="12"/>
  <c r="W872" i="12"/>
  <c r="W873" i="12"/>
  <c r="W874" i="12"/>
  <c r="Y874" i="12" s="1"/>
  <c r="W875" i="12"/>
  <c r="W876" i="12"/>
  <c r="W877" i="12"/>
  <c r="W878" i="12"/>
  <c r="Y878" i="12" s="1"/>
  <c r="W879" i="12"/>
  <c r="W880" i="12"/>
  <c r="W881" i="12"/>
  <c r="W882" i="12"/>
  <c r="W883" i="12"/>
  <c r="X885" i="12"/>
  <c r="U886" i="12"/>
  <c r="V887" i="12"/>
  <c r="W888" i="12"/>
  <c r="X889" i="12"/>
  <c r="U890" i="12"/>
  <c r="X890" i="12"/>
  <c r="U891" i="12"/>
  <c r="Y891" i="12" s="1"/>
  <c r="V892" i="12"/>
  <c r="V893" i="12"/>
  <c r="W894" i="12"/>
  <c r="X895" i="12"/>
  <c r="U896" i="12"/>
  <c r="V897" i="12"/>
  <c r="W898" i="12"/>
  <c r="W899" i="12"/>
  <c r="X901" i="12"/>
  <c r="U902" i="12"/>
  <c r="V903" i="12"/>
  <c r="W904" i="12"/>
  <c r="X905" i="12"/>
  <c r="U906" i="12"/>
  <c r="X906" i="12"/>
  <c r="U907" i="12"/>
  <c r="Y907" i="12" s="1"/>
  <c r="V908" i="12"/>
  <c r="V909" i="12"/>
  <c r="W910" i="12"/>
  <c r="X911" i="12"/>
  <c r="U912" i="12"/>
  <c r="V913" i="12"/>
  <c r="W914" i="12"/>
  <c r="W915" i="12"/>
  <c r="X917" i="12"/>
  <c r="U918" i="12"/>
  <c r="V919" i="12"/>
  <c r="W920" i="12"/>
  <c r="X921" i="12"/>
  <c r="U922" i="12"/>
  <c r="X922" i="12"/>
  <c r="U923" i="12"/>
  <c r="Y923" i="12" s="1"/>
  <c r="V924" i="12"/>
  <c r="V925" i="12"/>
  <c r="W926" i="12"/>
  <c r="X927" i="12"/>
  <c r="U928" i="12"/>
  <c r="V929" i="12"/>
  <c r="W930" i="12"/>
  <c r="W931" i="12"/>
  <c r="X933" i="12"/>
  <c r="U934" i="12"/>
  <c r="V935" i="12"/>
  <c r="W936" i="12"/>
  <c r="X937" i="12"/>
  <c r="U938" i="12"/>
  <c r="X938" i="12"/>
  <c r="U939" i="12"/>
  <c r="Y939" i="12" s="1"/>
  <c r="V940" i="12"/>
  <c r="V941" i="12"/>
  <c r="W942" i="12"/>
  <c r="X943" i="12"/>
  <c r="U944" i="12"/>
  <c r="V945" i="12"/>
  <c r="W946" i="12"/>
  <c r="Y946" i="12" s="1"/>
  <c r="W947" i="12"/>
  <c r="W948" i="12"/>
  <c r="X949" i="12"/>
  <c r="U950" i="12"/>
  <c r="X951" i="12"/>
  <c r="U952" i="12"/>
  <c r="X955" i="12"/>
  <c r="U956" i="12"/>
  <c r="X956" i="12"/>
  <c r="U957" i="12"/>
  <c r="X957" i="12"/>
  <c r="U958" i="12"/>
  <c r="V959" i="12"/>
  <c r="W960" i="12"/>
  <c r="X961" i="12"/>
  <c r="U962" i="12"/>
  <c r="X962" i="12"/>
  <c r="U963" i="12"/>
  <c r="V965" i="12"/>
  <c r="V966" i="12"/>
  <c r="V967" i="12"/>
  <c r="W968" i="12"/>
  <c r="X969" i="12"/>
  <c r="U970" i="12"/>
  <c r="X970" i="12"/>
  <c r="U971" i="12"/>
  <c r="V972" i="12"/>
  <c r="V973" i="12"/>
  <c r="V974" i="12"/>
  <c r="V975" i="12"/>
  <c r="V976" i="12"/>
  <c r="V977" i="12"/>
  <c r="V980" i="12"/>
  <c r="W981" i="12"/>
  <c r="W982" i="12"/>
  <c r="X983" i="12"/>
  <c r="U984" i="12"/>
  <c r="V985" i="12"/>
  <c r="W987" i="12"/>
  <c r="W988" i="12"/>
  <c r="W989" i="12"/>
  <c r="W990" i="12"/>
  <c r="W991" i="12"/>
  <c r="W992" i="12"/>
  <c r="X993" i="12"/>
  <c r="U994" i="12"/>
  <c r="X994" i="12"/>
  <c r="U995" i="12"/>
  <c r="V996" i="12"/>
  <c r="W998" i="12"/>
  <c r="W999" i="12"/>
  <c r="W1002" i="12"/>
  <c r="W1003" i="12"/>
  <c r="X1005" i="12"/>
  <c r="U1006" i="12"/>
  <c r="X1007" i="12"/>
  <c r="U1008" i="12"/>
  <c r="X1009" i="12"/>
  <c r="U1010" i="12"/>
  <c r="X1011" i="12"/>
  <c r="V1012" i="12"/>
  <c r="V1013" i="12"/>
  <c r="W1014" i="12"/>
  <c r="X1015" i="12"/>
  <c r="U1016" i="12"/>
  <c r="V1017" i="12"/>
  <c r="W1018" i="12"/>
  <c r="X1019" i="12"/>
  <c r="U1020" i="12"/>
  <c r="X1023" i="12"/>
  <c r="U1024" i="12"/>
  <c r="X1027" i="12"/>
  <c r="U1028" i="12"/>
  <c r="V1029" i="12"/>
  <c r="W1030" i="12"/>
  <c r="X1031" i="12"/>
  <c r="U1032" i="12"/>
  <c r="V1033" i="12"/>
  <c r="W1034" i="12"/>
  <c r="X1035" i="12"/>
  <c r="U1036" i="12"/>
  <c r="V1037" i="12"/>
  <c r="W1038" i="12"/>
  <c r="X1039" i="12"/>
  <c r="U1040" i="12"/>
  <c r="V1041" i="12"/>
  <c r="W1058" i="12"/>
  <c r="X1059" i="12"/>
  <c r="U1060" i="12"/>
  <c r="V1061" i="12"/>
  <c r="W1062" i="12"/>
  <c r="X1063" i="12"/>
  <c r="U1064" i="12"/>
  <c r="V1065" i="12"/>
  <c r="W1066" i="12"/>
  <c r="X1067" i="12"/>
  <c r="U1068" i="12"/>
  <c r="V1069" i="12"/>
  <c r="W1070" i="12"/>
  <c r="X1071" i="12"/>
  <c r="U1072" i="12"/>
  <c r="V1073" i="12"/>
  <c r="W1074" i="12"/>
  <c r="X1075" i="12"/>
  <c r="U1076" i="12"/>
  <c r="V1077" i="12"/>
  <c r="W1078" i="12"/>
  <c r="X1079" i="12"/>
  <c r="U1080" i="12"/>
  <c r="V1081" i="12"/>
  <c r="W1082" i="12"/>
  <c r="X1083" i="12"/>
  <c r="U1084" i="12"/>
  <c r="V1085" i="12"/>
  <c r="W1086" i="12"/>
  <c r="X1087" i="12"/>
  <c r="U1088" i="12"/>
  <c r="V1089" i="12"/>
  <c r="W1090" i="12"/>
  <c r="X1091" i="12"/>
  <c r="U1092" i="12"/>
  <c r="V1093" i="12"/>
  <c r="W1094" i="12"/>
  <c r="X1095" i="12"/>
  <c r="U1096" i="12"/>
  <c r="V1097" i="12"/>
  <c r="W1098" i="12"/>
  <c r="X1099" i="12"/>
  <c r="U1100" i="12"/>
  <c r="V1101" i="12"/>
  <c r="W1102" i="12"/>
  <c r="X1103" i="12"/>
  <c r="U1104" i="12"/>
  <c r="V1105" i="12"/>
  <c r="W1106" i="12"/>
  <c r="X1107" i="12"/>
  <c r="U1108" i="12"/>
  <c r="V1109" i="12"/>
  <c r="W1110" i="12"/>
  <c r="X1111" i="12"/>
  <c r="U1112" i="12"/>
  <c r="V1113" i="12"/>
  <c r="W1114" i="12"/>
  <c r="X1115" i="12"/>
  <c r="U1116" i="12"/>
  <c r="V1117" i="12"/>
  <c r="W1118" i="12"/>
  <c r="X1119" i="12"/>
  <c r="U1120" i="12"/>
  <c r="V1121" i="12"/>
  <c r="W1122" i="12"/>
  <c r="X1123" i="12"/>
  <c r="U1124" i="12"/>
  <c r="V1125" i="12"/>
  <c r="W1126" i="12"/>
  <c r="X1127" i="12"/>
  <c r="U1128" i="12"/>
  <c r="V1129" i="12"/>
  <c r="W1130" i="12"/>
  <c r="X1131" i="12"/>
  <c r="U1132" i="12"/>
  <c r="V1133" i="12"/>
  <c r="W1134" i="12"/>
  <c r="X1135" i="12"/>
  <c r="U1136" i="12"/>
  <c r="V1137" i="12"/>
  <c r="W1138" i="12"/>
  <c r="X1139" i="12"/>
  <c r="U1140" i="12"/>
  <c r="V1141" i="12"/>
  <c r="W1142" i="12"/>
  <c r="X1143" i="12"/>
  <c r="U1144" i="12"/>
  <c r="V1145" i="12"/>
  <c r="W1146" i="12"/>
  <c r="X1147" i="12"/>
  <c r="U1148" i="12"/>
  <c r="V1149" i="12"/>
  <c r="W1150" i="12"/>
  <c r="X1151" i="12"/>
  <c r="U1152" i="12"/>
  <c r="V1153" i="12"/>
  <c r="W1154" i="12"/>
  <c r="X1155" i="12"/>
  <c r="U1156" i="12"/>
  <c r="V1157" i="12"/>
  <c r="W1158" i="12"/>
  <c r="X1159" i="12"/>
  <c r="U1160" i="12"/>
  <c r="V1161" i="12"/>
  <c r="W1162" i="12"/>
  <c r="X1163" i="12"/>
  <c r="U1164" i="12"/>
  <c r="V1165" i="12"/>
  <c r="W1166" i="12"/>
  <c r="X1167" i="12"/>
  <c r="U1168" i="12"/>
  <c r="V1169" i="12"/>
  <c r="W1170" i="12"/>
  <c r="X1171" i="12"/>
  <c r="U1172" i="12"/>
  <c r="V1173" i="12"/>
  <c r="W1174" i="12"/>
  <c r="X1175" i="12"/>
  <c r="U1176" i="12"/>
  <c r="V1177" i="12"/>
  <c r="W1178" i="12"/>
  <c r="X1179" i="12"/>
  <c r="U1180" i="12"/>
  <c r="V1181" i="12"/>
  <c r="W1182" i="12"/>
  <c r="X1183" i="12"/>
  <c r="U1184" i="12"/>
  <c r="V1185" i="12"/>
  <c r="W1186" i="12"/>
  <c r="X1187" i="12"/>
  <c r="U1188" i="12"/>
  <c r="V1189" i="12"/>
  <c r="W1190" i="12"/>
  <c r="X1191" i="12"/>
  <c r="U1192" i="12"/>
  <c r="V1193" i="12"/>
  <c r="W1194" i="12"/>
  <c r="X1195" i="12"/>
  <c r="U1196" i="12"/>
  <c r="V1197" i="12"/>
  <c r="W1198" i="12"/>
  <c r="X1199" i="12"/>
  <c r="U1200" i="12"/>
  <c r="V1201" i="12"/>
  <c r="W1202" i="12"/>
  <c r="X1203" i="12"/>
  <c r="U1204" i="12"/>
  <c r="V1205" i="12"/>
  <c r="W1206" i="12"/>
  <c r="X1207" i="12"/>
  <c r="U1208" i="12"/>
  <c r="V1209" i="12"/>
  <c r="W1210" i="12"/>
  <c r="X1211" i="12"/>
  <c r="U1212" i="12"/>
  <c r="V1213" i="12"/>
  <c r="W1214" i="12"/>
  <c r="X1215" i="12"/>
  <c r="U1216" i="12"/>
  <c r="V1217" i="12"/>
  <c r="W1218" i="12"/>
  <c r="X1219" i="12"/>
  <c r="U1220" i="12"/>
  <c r="V1221" i="12"/>
  <c r="W1222" i="12"/>
  <c r="X1223" i="12"/>
  <c r="U1224" i="12"/>
  <c r="V1225" i="12"/>
  <c r="W1226" i="12"/>
  <c r="X1227" i="12"/>
  <c r="U1228" i="12"/>
  <c r="V1229" i="12"/>
  <c r="V1230" i="12"/>
  <c r="V1231" i="12"/>
  <c r="V1232" i="12"/>
  <c r="V1233" i="12"/>
  <c r="V1234" i="12"/>
  <c r="V1235" i="12"/>
  <c r="V1236" i="12"/>
  <c r="V1237" i="12"/>
  <c r="V1238" i="12"/>
  <c r="V1239" i="12"/>
  <c r="V1240" i="12"/>
  <c r="V1241" i="12"/>
  <c r="V1242" i="12"/>
  <c r="V1243" i="12"/>
  <c r="V1244" i="12"/>
  <c r="V1245" i="12"/>
  <c r="V1246" i="12"/>
  <c r="V1247" i="12"/>
  <c r="V1248" i="12"/>
  <c r="V1249" i="12"/>
  <c r="V1250" i="12"/>
  <c r="V1251" i="12"/>
  <c r="V1252" i="12"/>
  <c r="V1253" i="12"/>
  <c r="V1254" i="12"/>
  <c r="V1255" i="12"/>
  <c r="V1256" i="12"/>
  <c r="V1257" i="12"/>
  <c r="V1258" i="12"/>
  <c r="V1259" i="12"/>
  <c r="V1260" i="12"/>
  <c r="V1261" i="12"/>
  <c r="V1262" i="12"/>
  <c r="V1263" i="12"/>
  <c r="V1264" i="12"/>
  <c r="V1265" i="12"/>
  <c r="V1266" i="12"/>
  <c r="V1267" i="12"/>
  <c r="V1268" i="12"/>
  <c r="V1269" i="12"/>
  <c r="V1270" i="12"/>
  <c r="V1271" i="12"/>
  <c r="V1272" i="12"/>
  <c r="V1273" i="12"/>
  <c r="V1274" i="12"/>
  <c r="V1275" i="12"/>
  <c r="V1276" i="12"/>
  <c r="V1277" i="12"/>
  <c r="V1278" i="12"/>
  <c r="V1279" i="12"/>
  <c r="V1280" i="12"/>
  <c r="V1281" i="12"/>
  <c r="V1282" i="12"/>
  <c r="V1283" i="12"/>
  <c r="V1284" i="12"/>
  <c r="V1285" i="12"/>
  <c r="V1286" i="12"/>
  <c r="V1287" i="12"/>
  <c r="V1288" i="12"/>
  <c r="V1289" i="12"/>
  <c r="V1290" i="12"/>
  <c r="V1291" i="12"/>
  <c r="V1292" i="12"/>
  <c r="V1293" i="12"/>
  <c r="V1294" i="12"/>
  <c r="V1295" i="12"/>
  <c r="V1296" i="12"/>
  <c r="V1297" i="12"/>
  <c r="V1298" i="12"/>
  <c r="W1299" i="12"/>
  <c r="X1300" i="12"/>
  <c r="U1301" i="12"/>
  <c r="V1302" i="12"/>
  <c r="W1303" i="12"/>
  <c r="X1304" i="12"/>
  <c r="U1305" i="12"/>
  <c r="V1306" i="12"/>
  <c r="W1307" i="12"/>
  <c r="X1308" i="12"/>
  <c r="U1309" i="12"/>
  <c r="V1310" i="12"/>
  <c r="W1311" i="12"/>
  <c r="X1312" i="12"/>
  <c r="U1313" i="12"/>
  <c r="V1314" i="12"/>
  <c r="W1315" i="12"/>
  <c r="X1316" i="12"/>
  <c r="U1317" i="12"/>
  <c r="V1318" i="12"/>
  <c r="W1319" i="12"/>
  <c r="X1320" i="12"/>
  <c r="U1321" i="12"/>
  <c r="V1322" i="12"/>
  <c r="W1323" i="12"/>
  <c r="X1324" i="12"/>
  <c r="U1325" i="12"/>
  <c r="V1326" i="12"/>
  <c r="W1327" i="12"/>
  <c r="X1328" i="12"/>
  <c r="U1329" i="12"/>
  <c r="V1330" i="12"/>
  <c r="W1331" i="12"/>
  <c r="X1332" i="12"/>
  <c r="U1333" i="12"/>
  <c r="V1334" i="12"/>
  <c r="W1335" i="12"/>
  <c r="X1336" i="12"/>
  <c r="U1337" i="12"/>
  <c r="V1338" i="12"/>
  <c r="W1339" i="12"/>
  <c r="X1340" i="12"/>
  <c r="U1341" i="12"/>
  <c r="V1342" i="12"/>
  <c r="W1343" i="12"/>
  <c r="X1344" i="12"/>
  <c r="U1345" i="12"/>
  <c r="V1346" i="12"/>
  <c r="W1347" i="12"/>
  <c r="X1348" i="12"/>
  <c r="U1349" i="12"/>
  <c r="V1350" i="12"/>
  <c r="W1351" i="12"/>
  <c r="X1352" i="12"/>
  <c r="U1353" i="12"/>
  <c r="V1354" i="12"/>
  <c r="W1355" i="12"/>
  <c r="X1356" i="12"/>
  <c r="U1357" i="12"/>
  <c r="V1358" i="12"/>
  <c r="W1359" i="12"/>
  <c r="X1360" i="12"/>
  <c r="U1361" i="12"/>
  <c r="V1362" i="12"/>
  <c r="W1363" i="12"/>
  <c r="X1364" i="12"/>
  <c r="U1365" i="12"/>
  <c r="V1366" i="12"/>
  <c r="W1367" i="12"/>
  <c r="X1368" i="12"/>
  <c r="U1369" i="12"/>
  <c r="V1370" i="12"/>
  <c r="W1371" i="12"/>
  <c r="X1372" i="12"/>
  <c r="U1373" i="12"/>
  <c r="V1374" i="12"/>
  <c r="W1375" i="12"/>
  <c r="X1376" i="12"/>
  <c r="U1377" i="12"/>
  <c r="V1378" i="12"/>
  <c r="W1379" i="12"/>
  <c r="X1380" i="12"/>
  <c r="U1381" i="12"/>
  <c r="V1382" i="12"/>
  <c r="W1383" i="12"/>
  <c r="X1384" i="12"/>
  <c r="U1385" i="12"/>
  <c r="V1386" i="12"/>
  <c r="W1387" i="12"/>
  <c r="X1388" i="12"/>
  <c r="U1389" i="12"/>
  <c r="V1390" i="12"/>
  <c r="W1391" i="12"/>
  <c r="X1392" i="12"/>
  <c r="U1393" i="12"/>
  <c r="V1394" i="12"/>
  <c r="W1395" i="12"/>
  <c r="X1396" i="12"/>
  <c r="U1397" i="12"/>
  <c r="V1398" i="12"/>
  <c r="W1399" i="12"/>
  <c r="X1400" i="12"/>
  <c r="U1401" i="12"/>
  <c r="V1402" i="12"/>
  <c r="W1403" i="12"/>
  <c r="X1404" i="12"/>
  <c r="U1405" i="12"/>
  <c r="V1406" i="12"/>
  <c r="W1407" i="12"/>
  <c r="X1408" i="12"/>
  <c r="U1409" i="12"/>
  <c r="V1410" i="12"/>
  <c r="W1411" i="12"/>
  <c r="X1412" i="12"/>
  <c r="U1413" i="12"/>
  <c r="V1414" i="12"/>
  <c r="W1415" i="12"/>
  <c r="X1416" i="12"/>
  <c r="U1417" i="12"/>
  <c r="V1418" i="12"/>
  <c r="W1419" i="12"/>
  <c r="X1420" i="12"/>
  <c r="U1421" i="12"/>
  <c r="V1422" i="12"/>
  <c r="W1423" i="12"/>
  <c r="X1424" i="12"/>
  <c r="U1425" i="12"/>
  <c r="V1426" i="12"/>
  <c r="W1427" i="12"/>
  <c r="X1428" i="12"/>
  <c r="U1429" i="12"/>
  <c r="V1430" i="12"/>
  <c r="W1431" i="12"/>
  <c r="X1432" i="12"/>
  <c r="U1433" i="12"/>
  <c r="V1434" i="12"/>
  <c r="W1435" i="12"/>
  <c r="X1436" i="12"/>
  <c r="U1437" i="12"/>
  <c r="V1438" i="12"/>
  <c r="X1440" i="12"/>
  <c r="U1441" i="12"/>
  <c r="X1444" i="12"/>
  <c r="U1445" i="12"/>
  <c r="X1448" i="12"/>
  <c r="U1449" i="12"/>
  <c r="X1452" i="12"/>
  <c r="U1453" i="12"/>
  <c r="X1456" i="12"/>
  <c r="U1457" i="12"/>
  <c r="X1460" i="12"/>
  <c r="U1461" i="12"/>
  <c r="X1464" i="12"/>
  <c r="U1465" i="12"/>
  <c r="W997" i="12"/>
  <c r="X998" i="12"/>
  <c r="U999" i="12"/>
  <c r="V1000" i="12"/>
  <c r="W1001" i="12"/>
  <c r="X1002" i="12"/>
  <c r="U1003" i="12"/>
  <c r="V1004" i="12"/>
  <c r="W1013" i="12"/>
  <c r="X1014" i="12"/>
  <c r="U1015" i="12"/>
  <c r="V1016" i="12"/>
  <c r="W1017" i="12"/>
  <c r="X1018" i="12"/>
  <c r="U1019" i="12"/>
  <c r="V1020" i="12"/>
  <c r="V1021" i="12"/>
  <c r="V1022" i="12"/>
  <c r="V1023" i="12"/>
  <c r="V1024" i="12"/>
  <c r="V1025" i="12"/>
  <c r="V1026" i="12"/>
  <c r="V1027" i="12"/>
  <c r="V1028" i="12"/>
  <c r="W1029" i="12"/>
  <c r="X1030" i="12"/>
  <c r="U1031" i="12"/>
  <c r="V1032" i="12"/>
  <c r="W1033" i="12"/>
  <c r="X1034" i="12"/>
  <c r="U1035" i="12"/>
  <c r="V1036" i="12"/>
  <c r="W1037" i="12"/>
  <c r="X1038" i="12"/>
  <c r="U1039" i="12"/>
  <c r="V1040" i="12"/>
  <c r="W1041" i="12"/>
  <c r="W1042" i="12"/>
  <c r="W1043" i="12"/>
  <c r="W1044" i="12"/>
  <c r="W1045" i="12"/>
  <c r="W1046" i="12"/>
  <c r="W1047" i="12"/>
  <c r="W1048" i="12"/>
  <c r="W1049" i="12"/>
  <c r="W1050" i="12"/>
  <c r="W1051" i="12"/>
  <c r="W1052" i="12"/>
  <c r="W1053" i="12"/>
  <c r="W1054" i="12"/>
  <c r="W1055" i="12"/>
  <c r="W1056" i="12"/>
  <c r="W1057" i="12"/>
  <c r="X1058" i="12"/>
  <c r="U1059" i="12"/>
  <c r="V1060" i="12"/>
  <c r="W1061" i="12"/>
  <c r="X1062" i="12"/>
  <c r="U1063" i="12"/>
  <c r="V1064" i="12"/>
  <c r="W1065" i="12"/>
  <c r="X1066" i="12"/>
  <c r="U1067" i="12"/>
  <c r="V1068" i="12"/>
  <c r="W1069" i="12"/>
  <c r="X1070" i="12"/>
  <c r="U1071" i="12"/>
  <c r="V1072" i="12"/>
  <c r="W1073" i="12"/>
  <c r="X1074" i="12"/>
  <c r="U1075" i="12"/>
  <c r="V1076" i="12"/>
  <c r="W1077" i="12"/>
  <c r="X1078" i="12"/>
  <c r="U1079" i="12"/>
  <c r="V1080" i="12"/>
  <c r="W1081" i="12"/>
  <c r="X1082" i="12"/>
  <c r="U1083" i="12"/>
  <c r="V1084" i="12"/>
  <c r="W1085" i="12"/>
  <c r="X1086" i="12"/>
  <c r="U1087" i="12"/>
  <c r="V1088" i="12"/>
  <c r="W1089" i="12"/>
  <c r="X1090" i="12"/>
  <c r="U1091" i="12"/>
  <c r="V1092" i="12"/>
  <c r="W1093" i="12"/>
  <c r="X1094" i="12"/>
  <c r="U1095" i="12"/>
  <c r="V1096" i="12"/>
  <c r="W1097" i="12"/>
  <c r="X1098" i="12"/>
  <c r="U1099" i="12"/>
  <c r="V1100" i="12"/>
  <c r="W1101" i="12"/>
  <c r="X1102" i="12"/>
  <c r="U1103" i="12"/>
  <c r="V1104" i="12"/>
  <c r="W1105" i="12"/>
  <c r="X1106" i="12"/>
  <c r="U1107" i="12"/>
  <c r="V1108" i="12"/>
  <c r="W1109" i="12"/>
  <c r="X1110" i="12"/>
  <c r="U1111" i="12"/>
  <c r="V1112" i="12"/>
  <c r="W1113" i="12"/>
  <c r="X1114" i="12"/>
  <c r="U1115" i="12"/>
  <c r="V1116" i="12"/>
  <c r="W1117" i="12"/>
  <c r="X1118" i="12"/>
  <c r="U1119" i="12"/>
  <c r="V1120" i="12"/>
  <c r="W1121" i="12"/>
  <c r="X1122" i="12"/>
  <c r="U1123" i="12"/>
  <c r="V1124" i="12"/>
  <c r="W1125" i="12"/>
  <c r="X1126" i="12"/>
  <c r="U1127" i="12"/>
  <c r="V1128" i="12"/>
  <c r="W1129" i="12"/>
  <c r="X1130" i="12"/>
  <c r="U1131" i="12"/>
  <c r="V1132" i="12"/>
  <c r="W1133" i="12"/>
  <c r="X1134" i="12"/>
  <c r="U1135" i="12"/>
  <c r="V1136" i="12"/>
  <c r="W1137" i="12"/>
  <c r="X1138" i="12"/>
  <c r="U1139" i="12"/>
  <c r="V1140" i="12"/>
  <c r="W1141" i="12"/>
  <c r="X1142" i="12"/>
  <c r="U1143" i="12"/>
  <c r="V1144" i="12"/>
  <c r="W1145" i="12"/>
  <c r="X1146" i="12"/>
  <c r="U1147" i="12"/>
  <c r="V1148" i="12"/>
  <c r="W1149" i="12"/>
  <c r="X1150" i="12"/>
  <c r="U1151" i="12"/>
  <c r="V1152" i="12"/>
  <c r="W1153" i="12"/>
  <c r="X1154" i="12"/>
  <c r="U1155" i="12"/>
  <c r="V1156" i="12"/>
  <c r="W1157" i="12"/>
  <c r="X1158" i="12"/>
  <c r="U1159" i="12"/>
  <c r="V1160" i="12"/>
  <c r="W1161" i="12"/>
  <c r="X1162" i="12"/>
  <c r="U1163" i="12"/>
  <c r="V1164" i="12"/>
  <c r="W1165" i="12"/>
  <c r="X1166" i="12"/>
  <c r="U1167" i="12"/>
  <c r="V1168" i="12"/>
  <c r="W1169" i="12"/>
  <c r="X1170" i="12"/>
  <c r="U1171" i="12"/>
  <c r="V1172" i="12"/>
  <c r="W1173" i="12"/>
  <c r="X1174" i="12"/>
  <c r="U1175" i="12"/>
  <c r="V1176" i="12"/>
  <c r="W1177" i="12"/>
  <c r="X1178" i="12"/>
  <c r="U1179" i="12"/>
  <c r="V1180" i="12"/>
  <c r="W1181" i="12"/>
  <c r="X1182" i="12"/>
  <c r="U1183" i="12"/>
  <c r="V1184" i="12"/>
  <c r="W1185" i="12"/>
  <c r="X1186" i="12"/>
  <c r="U1187" i="12"/>
  <c r="V1188" i="12"/>
  <c r="W1189" i="12"/>
  <c r="X1190" i="12"/>
  <c r="U1191" i="12"/>
  <c r="V1192" i="12"/>
  <c r="W1193" i="12"/>
  <c r="X1194" i="12"/>
  <c r="U1195" i="12"/>
  <c r="V1196" i="12"/>
  <c r="W1197" i="12"/>
  <c r="X1198" i="12"/>
  <c r="U1199" i="12"/>
  <c r="V1200" i="12"/>
  <c r="W1201" i="12"/>
  <c r="X1202" i="12"/>
  <c r="U1203" i="12"/>
  <c r="V1204" i="12"/>
  <c r="W1205" i="12"/>
  <c r="X1206" i="12"/>
  <c r="U1207" i="12"/>
  <c r="V1208" i="12"/>
  <c r="W1209" i="12"/>
  <c r="X1210" i="12"/>
  <c r="U1211" i="12"/>
  <c r="V1212" i="12"/>
  <c r="W1213" i="12"/>
  <c r="X1214" i="12"/>
  <c r="U1215" i="12"/>
  <c r="V1216" i="12"/>
  <c r="W1217" i="12"/>
  <c r="X1218" i="12"/>
  <c r="U1219" i="12"/>
  <c r="V1220" i="12"/>
  <c r="W1221" i="12"/>
  <c r="X1222" i="12"/>
  <c r="U1223" i="12"/>
  <c r="V1224" i="12"/>
  <c r="W1225" i="12"/>
  <c r="X1226" i="12"/>
  <c r="U1227" i="12"/>
  <c r="V1228" i="12"/>
  <c r="W1298" i="12"/>
  <c r="X1299" i="12"/>
  <c r="U1300" i="12"/>
  <c r="V1301" i="12"/>
  <c r="W1302" i="12"/>
  <c r="X1303" i="12"/>
  <c r="U1304" i="12"/>
  <c r="V1305" i="12"/>
  <c r="W1306" i="12"/>
  <c r="X1307" i="12"/>
  <c r="U1308" i="12"/>
  <c r="V1309" i="12"/>
  <c r="W1310" i="12"/>
  <c r="X1311" i="12"/>
  <c r="U1312" i="12"/>
  <c r="V1313" i="12"/>
  <c r="W1314" i="12"/>
  <c r="X1315" i="12"/>
  <c r="U1316" i="12"/>
  <c r="V1317" i="12"/>
  <c r="W1318" i="12"/>
  <c r="X1319" i="12"/>
  <c r="U1320" i="12"/>
  <c r="V1321" i="12"/>
  <c r="W1322" i="12"/>
  <c r="X1323" i="12"/>
  <c r="U1324" i="12"/>
  <c r="V1325" i="12"/>
  <c r="W1326" i="12"/>
  <c r="X1327" i="12"/>
  <c r="U1328" i="12"/>
  <c r="V1329" i="12"/>
  <c r="W1330" i="12"/>
  <c r="X1331" i="12"/>
  <c r="U1332" i="12"/>
  <c r="V1333" i="12"/>
  <c r="W1334" i="12"/>
  <c r="X1335" i="12"/>
  <c r="U1336" i="12"/>
  <c r="V1337" i="12"/>
  <c r="W1338" i="12"/>
  <c r="X1339" i="12"/>
  <c r="U1340" i="12"/>
  <c r="V1341" i="12"/>
  <c r="W1342" i="12"/>
  <c r="X1343" i="12"/>
  <c r="U1344" i="12"/>
  <c r="V1345" i="12"/>
  <c r="W1346" i="12"/>
  <c r="X1347" i="12"/>
  <c r="U1348" i="12"/>
  <c r="V1349" i="12"/>
  <c r="W1350" i="12"/>
  <c r="X1351" i="12"/>
  <c r="U1352" i="12"/>
  <c r="V1353" i="12"/>
  <c r="W1354" i="12"/>
  <c r="X1355" i="12"/>
  <c r="U1356" i="12"/>
  <c r="V1357" i="12"/>
  <c r="W1358" i="12"/>
  <c r="X1359" i="12"/>
  <c r="U1360" i="12"/>
  <c r="V1361" i="12"/>
  <c r="W1362" i="12"/>
  <c r="X1363" i="12"/>
  <c r="U1364" i="12"/>
  <c r="V1365" i="12"/>
  <c r="W1366" i="12"/>
  <c r="X1367" i="12"/>
  <c r="U1368" i="12"/>
  <c r="V1369" i="12"/>
  <c r="W1370" i="12"/>
  <c r="X1371" i="12"/>
  <c r="U1372" i="12"/>
  <c r="V1373" i="12"/>
  <c r="W1374" i="12"/>
  <c r="X1375" i="12"/>
  <c r="U1376" i="12"/>
  <c r="V1377" i="12"/>
  <c r="W1378" i="12"/>
  <c r="X1379" i="12"/>
  <c r="U1380" i="12"/>
  <c r="V1381" i="12"/>
  <c r="W1382" i="12"/>
  <c r="X1383" i="12"/>
  <c r="U1384" i="12"/>
  <c r="V1385" i="12"/>
  <c r="W1386" i="12"/>
  <c r="X1387" i="12"/>
  <c r="U1388" i="12"/>
  <c r="V1389" i="12"/>
  <c r="W1390" i="12"/>
  <c r="X1391" i="12"/>
  <c r="U1392" i="12"/>
  <c r="V1393" i="12"/>
  <c r="W1394" i="12"/>
  <c r="X1395" i="12"/>
  <c r="U1396" i="12"/>
  <c r="V1397" i="12"/>
  <c r="W1398" i="12"/>
  <c r="X1399" i="12"/>
  <c r="U1400" i="12"/>
  <c r="V1401" i="12"/>
  <c r="W1402" i="12"/>
  <c r="X1403" i="12"/>
  <c r="U1404" i="12"/>
  <c r="V1405" i="12"/>
  <c r="W1406" i="12"/>
  <c r="X1407" i="12"/>
  <c r="U1408" i="12"/>
  <c r="V1409" i="12"/>
  <c r="W1410" i="12"/>
  <c r="X1411" i="12"/>
  <c r="U1412" i="12"/>
  <c r="V1413" i="12"/>
  <c r="W1414" i="12"/>
  <c r="X1415" i="12"/>
  <c r="U1416" i="12"/>
  <c r="V1417" i="12"/>
  <c r="W1418" i="12"/>
  <c r="X1419" i="12"/>
  <c r="U1420" i="12"/>
  <c r="V1421" i="12"/>
  <c r="W1422" i="12"/>
  <c r="X1423" i="12"/>
  <c r="U1424" i="12"/>
  <c r="V1425" i="12"/>
  <c r="W1426" i="12"/>
  <c r="X1427" i="12"/>
  <c r="U1428" i="12"/>
  <c r="V1429" i="12"/>
  <c r="W1430" i="12"/>
  <c r="X1431" i="12"/>
  <c r="U1432" i="12"/>
  <c r="V1433" i="12"/>
  <c r="W1434" i="12"/>
  <c r="X1435" i="12"/>
  <c r="U1436" i="12"/>
  <c r="V1437" i="12"/>
  <c r="W1438" i="12"/>
  <c r="V1441" i="12"/>
  <c r="V1442" i="12"/>
  <c r="V1445" i="12"/>
  <c r="V1446" i="12"/>
  <c r="V1449" i="12"/>
  <c r="V1450" i="12"/>
  <c r="V1453" i="12"/>
  <c r="V1454" i="12"/>
  <c r="V1457" i="12"/>
  <c r="V1458" i="12"/>
  <c r="V1461" i="12"/>
  <c r="V1462" i="12"/>
  <c r="V1465" i="12"/>
  <c r="V1466" i="12"/>
  <c r="W1467" i="12"/>
  <c r="X1468" i="12"/>
  <c r="U1469" i="12"/>
  <c r="V1470" i="12"/>
  <c r="W1471" i="12"/>
  <c r="X1472" i="12"/>
  <c r="U1473" i="12"/>
  <c r="V1474" i="12"/>
  <c r="W1475" i="12"/>
  <c r="X1476" i="12"/>
  <c r="U1477" i="12"/>
  <c r="V1478" i="12"/>
  <c r="W1479" i="12"/>
  <c r="X1480" i="12"/>
  <c r="X997" i="12"/>
  <c r="U998" i="12"/>
  <c r="V999" i="12"/>
  <c r="W1000" i="12"/>
  <c r="X1001" i="12"/>
  <c r="U1002" i="12"/>
  <c r="V1003" i="12"/>
  <c r="W1004" i="12"/>
  <c r="W1005" i="12"/>
  <c r="W1006" i="12"/>
  <c r="W1007" i="12"/>
  <c r="W1008" i="12"/>
  <c r="W1009" i="12"/>
  <c r="W1010" i="12"/>
  <c r="W1011" i="12"/>
  <c r="W1012" i="12"/>
  <c r="X1013" i="12"/>
  <c r="U1014" i="12"/>
  <c r="V1015" i="12"/>
  <c r="W1016" i="12"/>
  <c r="X1017" i="12"/>
  <c r="U1018" i="12"/>
  <c r="V1019" i="12"/>
  <c r="W1028" i="12"/>
  <c r="X1029" i="12"/>
  <c r="U1030" i="12"/>
  <c r="V1031" i="12"/>
  <c r="W1032" i="12"/>
  <c r="X1033" i="12"/>
  <c r="U1034" i="12"/>
  <c r="V1035" i="12"/>
  <c r="W1036" i="12"/>
  <c r="X1037" i="12"/>
  <c r="U1038" i="12"/>
  <c r="V1039" i="12"/>
  <c r="W1040" i="12"/>
  <c r="X1041" i="12"/>
  <c r="U1042" i="12"/>
  <c r="X1042" i="12"/>
  <c r="U1043" i="12"/>
  <c r="X1043" i="12"/>
  <c r="U1044" i="12"/>
  <c r="X1044" i="12"/>
  <c r="U1045" i="12"/>
  <c r="X1045" i="12"/>
  <c r="U1046" i="12"/>
  <c r="X1046" i="12"/>
  <c r="U1047" i="12"/>
  <c r="X1047" i="12"/>
  <c r="U1048" i="12"/>
  <c r="X1048" i="12"/>
  <c r="U1049" i="12"/>
  <c r="X1049" i="12"/>
  <c r="U1050" i="12"/>
  <c r="X1050" i="12"/>
  <c r="U1051" i="12"/>
  <c r="X1051" i="12"/>
  <c r="U1052" i="12"/>
  <c r="X1052" i="12"/>
  <c r="U1053" i="12"/>
  <c r="X1053" i="12"/>
  <c r="U1054" i="12"/>
  <c r="X1054" i="12"/>
  <c r="U1055" i="12"/>
  <c r="X1055" i="12"/>
  <c r="U1056" i="12"/>
  <c r="X1056" i="12"/>
  <c r="U1057" i="12"/>
  <c r="X1057" i="12"/>
  <c r="U1058" i="12"/>
  <c r="V1059" i="12"/>
  <c r="W1060" i="12"/>
  <c r="X1061" i="12"/>
  <c r="U1062" i="12"/>
  <c r="V1063" i="12"/>
  <c r="W1064" i="12"/>
  <c r="X1065" i="12"/>
  <c r="U1066" i="12"/>
  <c r="V1067" i="12"/>
  <c r="W1068" i="12"/>
  <c r="X1069" i="12"/>
  <c r="U1070" i="12"/>
  <c r="V1071" i="12"/>
  <c r="W1072" i="12"/>
  <c r="X1073" i="12"/>
  <c r="U1074" i="12"/>
  <c r="V1075" i="12"/>
  <c r="W1076" i="12"/>
  <c r="X1077" i="12"/>
  <c r="U1078" i="12"/>
  <c r="V1079" i="12"/>
  <c r="W1080" i="12"/>
  <c r="X1081" i="12"/>
  <c r="U1082" i="12"/>
  <c r="V1083" i="12"/>
  <c r="W1084" i="12"/>
  <c r="X1085" i="12"/>
  <c r="U1086" i="12"/>
  <c r="V1087" i="12"/>
  <c r="W1088" i="12"/>
  <c r="X1089" i="12"/>
  <c r="U1090" i="12"/>
  <c r="V1091" i="12"/>
  <c r="W1092" i="12"/>
  <c r="X1093" i="12"/>
  <c r="U1094" i="12"/>
  <c r="V1095" i="12"/>
  <c r="W1096" i="12"/>
  <c r="X1097" i="12"/>
  <c r="U1098" i="12"/>
  <c r="V1099" i="12"/>
  <c r="W1100" i="12"/>
  <c r="X1101" i="12"/>
  <c r="U1102" i="12"/>
  <c r="V1103" i="12"/>
  <c r="W1104" i="12"/>
  <c r="X1105" i="12"/>
  <c r="U1106" i="12"/>
  <c r="V1107" i="12"/>
  <c r="W1108" i="12"/>
  <c r="X1109" i="12"/>
  <c r="U1110" i="12"/>
  <c r="V1111" i="12"/>
  <c r="W1112" i="12"/>
  <c r="X1113" i="12"/>
  <c r="U1114" i="12"/>
  <c r="V1115" i="12"/>
  <c r="W1116" i="12"/>
  <c r="X1117" i="12"/>
  <c r="U1118" i="12"/>
  <c r="V1119" i="12"/>
  <c r="W1120" i="12"/>
  <c r="X1121" i="12"/>
  <c r="U1122" i="12"/>
  <c r="V1123" i="12"/>
  <c r="W1124" i="12"/>
  <c r="X1125" i="12"/>
  <c r="U1126" i="12"/>
  <c r="V1127" i="12"/>
  <c r="W1128" i="12"/>
  <c r="X1129" i="12"/>
  <c r="U1130" i="12"/>
  <c r="V1131" i="12"/>
  <c r="W1132" i="12"/>
  <c r="X1133" i="12"/>
  <c r="U1134" i="12"/>
  <c r="V1135" i="12"/>
  <c r="W1136" i="12"/>
  <c r="X1137" i="12"/>
  <c r="U1138" i="12"/>
  <c r="V1139" i="12"/>
  <c r="W1140" i="12"/>
  <c r="X1141" i="12"/>
  <c r="U1142" i="12"/>
  <c r="V1143" i="12"/>
  <c r="W1144" i="12"/>
  <c r="X1145" i="12"/>
  <c r="U1146" i="12"/>
  <c r="V1147" i="12"/>
  <c r="W1148" i="12"/>
  <c r="X1149" i="12"/>
  <c r="U1150" i="12"/>
  <c r="V1151" i="12"/>
  <c r="W1152" i="12"/>
  <c r="X1153" i="12"/>
  <c r="U1154" i="12"/>
  <c r="V1155" i="12"/>
  <c r="W1156" i="12"/>
  <c r="X1157" i="12"/>
  <c r="U1158" i="12"/>
  <c r="V1159" i="12"/>
  <c r="W1160" i="12"/>
  <c r="X1161" i="12"/>
  <c r="U1162" i="12"/>
  <c r="V1163" i="12"/>
  <c r="W1164" i="12"/>
  <c r="X1165" i="12"/>
  <c r="U1166" i="12"/>
  <c r="V1167" i="12"/>
  <c r="W1168" i="12"/>
  <c r="X1169" i="12"/>
  <c r="U1170" i="12"/>
  <c r="V1171" i="12"/>
  <c r="W1172" i="12"/>
  <c r="X1173" i="12"/>
  <c r="U1174" i="12"/>
  <c r="V1175" i="12"/>
  <c r="W1176" i="12"/>
  <c r="X1177" i="12"/>
  <c r="U1178" i="12"/>
  <c r="V1179" i="12"/>
  <c r="W1180" i="12"/>
  <c r="X1181" i="12"/>
  <c r="U1182" i="12"/>
  <c r="V1183" i="12"/>
  <c r="W1184" i="12"/>
  <c r="X1185" i="12"/>
  <c r="U1186" i="12"/>
  <c r="V1187" i="12"/>
  <c r="W1188" i="12"/>
  <c r="X1189" i="12"/>
  <c r="U1190" i="12"/>
  <c r="V1191" i="12"/>
  <c r="W1192" i="12"/>
  <c r="X1193" i="12"/>
  <c r="U1194" i="12"/>
  <c r="V1195" i="12"/>
  <c r="W1196" i="12"/>
  <c r="X1197" i="12"/>
  <c r="U1198" i="12"/>
  <c r="V1199" i="12"/>
  <c r="W1200" i="12"/>
  <c r="X1201" i="12"/>
  <c r="U1202" i="12"/>
  <c r="V1203" i="12"/>
  <c r="W1204" i="12"/>
  <c r="X1205" i="12"/>
  <c r="U1206" i="12"/>
  <c r="V1207" i="12"/>
  <c r="W1208" i="12"/>
  <c r="X1209" i="12"/>
  <c r="U1210" i="12"/>
  <c r="V1211" i="12"/>
  <c r="W1212" i="12"/>
  <c r="X1213" i="12"/>
  <c r="U1214" i="12"/>
  <c r="V1215" i="12"/>
  <c r="W1216" i="12"/>
  <c r="X1217" i="12"/>
  <c r="U1218" i="12"/>
  <c r="V1219" i="12"/>
  <c r="W1220" i="12"/>
  <c r="X1221" i="12"/>
  <c r="U1222" i="12"/>
  <c r="V1223" i="12"/>
  <c r="W1224" i="12"/>
  <c r="X1225" i="12"/>
  <c r="U1226" i="12"/>
  <c r="V1227" i="12"/>
  <c r="W1228" i="12"/>
  <c r="W1229" i="12"/>
  <c r="W1230" i="12"/>
  <c r="W1231" i="12"/>
  <c r="W1232" i="12"/>
  <c r="W1233" i="12"/>
  <c r="W1234" i="12"/>
  <c r="W1235" i="12"/>
  <c r="W1236" i="12"/>
  <c r="W1237" i="12"/>
  <c r="W1238" i="12"/>
  <c r="W1239" i="12"/>
  <c r="W1240" i="12"/>
  <c r="W1241" i="12"/>
  <c r="W1242" i="12"/>
  <c r="W1243" i="12"/>
  <c r="W1244" i="12"/>
  <c r="W1245" i="12"/>
  <c r="W1246" i="12"/>
  <c r="W1247" i="12"/>
  <c r="W1248" i="12"/>
  <c r="W1249" i="12"/>
  <c r="W1250" i="12"/>
  <c r="W1251" i="12"/>
  <c r="W1252" i="12"/>
  <c r="W1253" i="12"/>
  <c r="W1254" i="12"/>
  <c r="W1255" i="12"/>
  <c r="W1256" i="12"/>
  <c r="W1257" i="12"/>
  <c r="W1258" i="12"/>
  <c r="W1259" i="12"/>
  <c r="W1260" i="12"/>
  <c r="W1261" i="12"/>
  <c r="W1262" i="12"/>
  <c r="W1263" i="12"/>
  <c r="W1264" i="12"/>
  <c r="W1265" i="12"/>
  <c r="W1266" i="12"/>
  <c r="W1267" i="12"/>
  <c r="W1268" i="12"/>
  <c r="W1269" i="12"/>
  <c r="W1270" i="12"/>
  <c r="W1271" i="12"/>
  <c r="W1272" i="12"/>
  <c r="W1273" i="12"/>
  <c r="W1274" i="12"/>
  <c r="W1275" i="12"/>
  <c r="W1276" i="12"/>
  <c r="W1277" i="12"/>
  <c r="W1278" i="12"/>
  <c r="W1279" i="12"/>
  <c r="W1280" i="12"/>
  <c r="W1281" i="12"/>
  <c r="W1282" i="12"/>
  <c r="W1283" i="12"/>
  <c r="W1284" i="12"/>
  <c r="W1285" i="12"/>
  <c r="W1286" i="12"/>
  <c r="W1287" i="12"/>
  <c r="W1288" i="12"/>
  <c r="W1289" i="12"/>
  <c r="W1290" i="12"/>
  <c r="W1291" i="12"/>
  <c r="W1292" i="12"/>
  <c r="W1293" i="12"/>
  <c r="W1294" i="12"/>
  <c r="W1295" i="12"/>
  <c r="W1296" i="12"/>
  <c r="W1297" i="12"/>
  <c r="X1298" i="12"/>
  <c r="U1299" i="12"/>
  <c r="V1300" i="12"/>
  <c r="W1301" i="12"/>
  <c r="X1302" i="12"/>
  <c r="U1303" i="12"/>
  <c r="V1304" i="12"/>
  <c r="W1305" i="12"/>
  <c r="X1306" i="12"/>
  <c r="U1307" i="12"/>
  <c r="V1308" i="12"/>
  <c r="W1309" i="12"/>
  <c r="X1310" i="12"/>
  <c r="U1311" i="12"/>
  <c r="V1312" i="12"/>
  <c r="W1313" i="12"/>
  <c r="X1314" i="12"/>
  <c r="U1315" i="12"/>
  <c r="V1316" i="12"/>
  <c r="W1317" i="12"/>
  <c r="X1318" i="12"/>
  <c r="U1319" i="12"/>
  <c r="V1320" i="12"/>
  <c r="W1321" i="12"/>
  <c r="X1322" i="12"/>
  <c r="U1323" i="12"/>
  <c r="V1324" i="12"/>
  <c r="W1325" i="12"/>
  <c r="X1326" i="12"/>
  <c r="U1327" i="12"/>
  <c r="V1328" i="12"/>
  <c r="W1329" i="12"/>
  <c r="X1330" i="12"/>
  <c r="U1331" i="12"/>
  <c r="V1332" i="12"/>
  <c r="W1333" i="12"/>
  <c r="X1334" i="12"/>
  <c r="U1335" i="12"/>
  <c r="V1336" i="12"/>
  <c r="W1337" i="12"/>
  <c r="X1338" i="12"/>
  <c r="Y1338" i="12" s="1"/>
  <c r="U1339" i="12"/>
  <c r="V1340" i="12"/>
  <c r="W1341" i="12"/>
  <c r="X1342" i="12"/>
  <c r="Y1342" i="12" s="1"/>
  <c r="U1343" i="12"/>
  <c r="V1344" i="12"/>
  <c r="W1345" i="12"/>
  <c r="X1346" i="12"/>
  <c r="Y1346" i="12" s="1"/>
  <c r="U1347" i="12"/>
  <c r="V1348" i="12"/>
  <c r="W1349" i="12"/>
  <c r="X1350" i="12"/>
  <c r="U1351" i="12"/>
  <c r="Y1351" i="12" s="1"/>
  <c r="V1352" i="12"/>
  <c r="W1353" i="12"/>
  <c r="X1354" i="12"/>
  <c r="U1355" i="12"/>
  <c r="Y1355" i="12" s="1"/>
  <c r="V1356" i="12"/>
  <c r="W1357" i="12"/>
  <c r="X1358" i="12"/>
  <c r="Y1358" i="12" s="1"/>
  <c r="U1359" i="12"/>
  <c r="Y1359" i="12" s="1"/>
  <c r="V1360" i="12"/>
  <c r="W1361" i="12"/>
  <c r="X1362" i="12"/>
  <c r="Y1362" i="12" s="1"/>
  <c r="U1363" i="12"/>
  <c r="Y1363" i="12" s="1"/>
  <c r="V1364" i="12"/>
  <c r="W1365" i="12"/>
  <c r="X1366" i="12"/>
  <c r="U1367" i="12"/>
  <c r="Y1367" i="12" s="1"/>
  <c r="V1368" i="12"/>
  <c r="W1369" i="12"/>
  <c r="X1370" i="12"/>
  <c r="Y1370" i="12" s="1"/>
  <c r="U1371" i="12"/>
  <c r="Y1371" i="12" s="1"/>
  <c r="V1372" i="12"/>
  <c r="W1373" i="12"/>
  <c r="X1374" i="12"/>
  <c r="Y1374" i="12" s="1"/>
  <c r="U1375" i="12"/>
  <c r="Y1375" i="12" s="1"/>
  <c r="V1376" i="12"/>
  <c r="W1377" i="12"/>
  <c r="X1378" i="12"/>
  <c r="Y1378" i="12" s="1"/>
  <c r="U1379" i="12"/>
  <c r="Y1379" i="12" s="1"/>
  <c r="V1380" i="12"/>
  <c r="W1381" i="12"/>
  <c r="X1382" i="12"/>
  <c r="U1383" i="12"/>
  <c r="Y1383" i="12" s="1"/>
  <c r="V1384" i="12"/>
  <c r="W1385" i="12"/>
  <c r="X1386" i="12"/>
  <c r="U1387" i="12"/>
  <c r="Y1387" i="12" s="1"/>
  <c r="V1388" i="12"/>
  <c r="W1389" i="12"/>
  <c r="X1390" i="12"/>
  <c r="Y1390" i="12" s="1"/>
  <c r="U1391" i="12"/>
  <c r="Y1391" i="12" s="1"/>
  <c r="V1392" i="12"/>
  <c r="W1393" i="12"/>
  <c r="X1394" i="12"/>
  <c r="Y1394" i="12" s="1"/>
  <c r="U1395" i="12"/>
  <c r="Y1395" i="12" s="1"/>
  <c r="V1396" i="12"/>
  <c r="W1397" i="12"/>
  <c r="X1398" i="12"/>
  <c r="U1399" i="12"/>
  <c r="Y1399" i="12" s="1"/>
  <c r="V1400" i="12"/>
  <c r="W1401" i="12"/>
  <c r="X1402" i="12"/>
  <c r="Y1402" i="12" s="1"/>
  <c r="U1403" i="12"/>
  <c r="Y1403" i="12" s="1"/>
  <c r="V1404" i="12"/>
  <c r="W1405" i="12"/>
  <c r="X1406" i="12"/>
  <c r="Y1406" i="12" s="1"/>
  <c r="U1407" i="12"/>
  <c r="Y1407" i="12" s="1"/>
  <c r="V1408" i="12"/>
  <c r="W1409" i="12"/>
  <c r="X1410" i="12"/>
  <c r="Y1410" i="12" s="1"/>
  <c r="U1411" i="12"/>
  <c r="Y1411" i="12" s="1"/>
  <c r="V1412" i="12"/>
  <c r="W1413" i="12"/>
  <c r="X1414" i="12"/>
  <c r="U1415" i="12"/>
  <c r="Y1415" i="12" s="1"/>
  <c r="V1416" i="12"/>
  <c r="W1417" i="12"/>
  <c r="X1418" i="12"/>
  <c r="U1419" i="12"/>
  <c r="Y1419" i="12" s="1"/>
  <c r="V1420" i="12"/>
  <c r="W1421" i="12"/>
  <c r="X1422" i="12"/>
  <c r="Y1422" i="12" s="1"/>
  <c r="U1423" i="12"/>
  <c r="Y1423" i="12" s="1"/>
  <c r="V1424" i="12"/>
  <c r="W1425" i="12"/>
  <c r="X1426" i="12"/>
  <c r="U1427" i="12"/>
  <c r="Y1427" i="12" s="1"/>
  <c r="V1428" i="12"/>
  <c r="W1429" i="12"/>
  <c r="X1430" i="12"/>
  <c r="Y1430" i="12" s="1"/>
  <c r="U1431" i="12"/>
  <c r="Y1431" i="12" s="1"/>
  <c r="V1432" i="12"/>
  <c r="W1433" i="12"/>
  <c r="X1434" i="12"/>
  <c r="Y1434" i="12" s="1"/>
  <c r="U1435" i="12"/>
  <c r="Y1435" i="12" s="1"/>
  <c r="V1436" i="12"/>
  <c r="W1437" i="12"/>
  <c r="X1438" i="12"/>
  <c r="W1439" i="12"/>
  <c r="W1442" i="12"/>
  <c r="W1443" i="12"/>
  <c r="W1446" i="12"/>
  <c r="W1447" i="12"/>
  <c r="W1450" i="12"/>
  <c r="W1451" i="12"/>
  <c r="W1454" i="12"/>
  <c r="W1455" i="12"/>
  <c r="W1458" i="12"/>
  <c r="W1459" i="12"/>
  <c r="W1462" i="12"/>
  <c r="W1463" i="12"/>
  <c r="U1012" i="12"/>
  <c r="X1012" i="12"/>
  <c r="U1013" i="12"/>
  <c r="V1014" i="12"/>
  <c r="Y1014" i="12" s="1"/>
  <c r="W1015" i="12"/>
  <c r="X1016" i="12"/>
  <c r="U1017" i="12"/>
  <c r="Y1017" i="12" s="1"/>
  <c r="V1018" i="12"/>
  <c r="Y1018" i="12" s="1"/>
  <c r="W1019" i="12"/>
  <c r="W1020" i="12"/>
  <c r="W1021" i="12"/>
  <c r="W1022" i="12"/>
  <c r="W1023" i="12"/>
  <c r="W1024" i="12"/>
  <c r="W1025" i="12"/>
  <c r="W1026" i="12"/>
  <c r="W1027" i="12"/>
  <c r="X1028" i="12"/>
  <c r="U1029" i="12"/>
  <c r="V1030" i="12"/>
  <c r="Y1030" i="12" s="1"/>
  <c r="W1031" i="12"/>
  <c r="X1032" i="12"/>
  <c r="U1033" i="12"/>
  <c r="V1034" i="12"/>
  <c r="Y1034" i="12" s="1"/>
  <c r="W1035" i="12"/>
  <c r="X1036" i="12"/>
  <c r="U1037" i="12"/>
  <c r="V1038" i="12"/>
  <c r="Y1038" i="12" s="1"/>
  <c r="W1039" i="12"/>
  <c r="X1040" i="12"/>
  <c r="U1041" i="12"/>
  <c r="V1042" i="12"/>
  <c r="Y1042" i="12" s="1"/>
  <c r="V1043" i="12"/>
  <c r="V1044" i="12"/>
  <c r="V1045" i="12"/>
  <c r="Y1045" i="12" s="1"/>
  <c r="V1046" i="12"/>
  <c r="Y1046" i="12" s="1"/>
  <c r="V1047" i="12"/>
  <c r="V1048" i="12"/>
  <c r="V1049" i="12"/>
  <c r="V1050" i="12"/>
  <c r="Y1050" i="12" s="1"/>
  <c r="V1051" i="12"/>
  <c r="V1052" i="12"/>
  <c r="V1053" i="12"/>
  <c r="Y1053" i="12" s="1"/>
  <c r="V1054" i="12"/>
  <c r="Y1054" i="12" s="1"/>
  <c r="V1055" i="12"/>
  <c r="V1056" i="12"/>
  <c r="V1057" i="12"/>
  <c r="Y1057" i="12" s="1"/>
  <c r="V1058" i="12"/>
  <c r="Y1058" i="12" s="1"/>
  <c r="W1059" i="12"/>
  <c r="X1060" i="12"/>
  <c r="U1061" i="12"/>
  <c r="V1062" i="12"/>
  <c r="Y1062" i="12" s="1"/>
  <c r="W1063" i="12"/>
  <c r="X1064" i="12"/>
  <c r="U1065" i="12"/>
  <c r="V1066" i="12"/>
  <c r="Y1066" i="12" s="1"/>
  <c r="W1067" i="12"/>
  <c r="X1068" i="12"/>
  <c r="U1069" i="12"/>
  <c r="V1070" i="12"/>
  <c r="Y1070" i="12" s="1"/>
  <c r="W1071" i="12"/>
  <c r="X1072" i="12"/>
  <c r="U1073" i="12"/>
  <c r="Y1073" i="12" s="1"/>
  <c r="V1074" i="12"/>
  <c r="Y1074" i="12" s="1"/>
  <c r="W1075" i="12"/>
  <c r="X1076" i="12"/>
  <c r="U1077" i="12"/>
  <c r="Y1077" i="12" s="1"/>
  <c r="V1078" i="12"/>
  <c r="Y1078" i="12" s="1"/>
  <c r="W1079" i="12"/>
  <c r="X1080" i="12"/>
  <c r="U1081" i="12"/>
  <c r="V1082" i="12"/>
  <c r="W1083" i="12"/>
  <c r="X1084" i="12"/>
  <c r="U1085" i="12"/>
  <c r="V1086" i="12"/>
  <c r="Y1086" i="12" s="1"/>
  <c r="W1087" i="12"/>
  <c r="X1088" i="12"/>
  <c r="U1089" i="12"/>
  <c r="Y1089" i="12" s="1"/>
  <c r="V1090" i="12"/>
  <c r="W1091" i="12"/>
  <c r="X1092" i="12"/>
  <c r="U1093" i="12"/>
  <c r="Y1093" i="12" s="1"/>
  <c r="V1094" i="12"/>
  <c r="Y1094" i="12" s="1"/>
  <c r="W1095" i="12"/>
  <c r="X1096" i="12"/>
  <c r="U1097" i="12"/>
  <c r="Y1097" i="12" s="1"/>
  <c r="V1098" i="12"/>
  <c r="Y1098" i="12" s="1"/>
  <c r="W1099" i="12"/>
  <c r="X1100" i="12"/>
  <c r="U1101" i="12"/>
  <c r="V1102" i="12"/>
  <c r="Y1102" i="12" s="1"/>
  <c r="W1103" i="12"/>
  <c r="X1104" i="12"/>
  <c r="U1105" i="12"/>
  <c r="Y1105" i="12" s="1"/>
  <c r="V1106" i="12"/>
  <c r="Y1106" i="12" s="1"/>
  <c r="W1107" i="12"/>
  <c r="X1108" i="12"/>
  <c r="U1109" i="12"/>
  <c r="Y1109" i="12" s="1"/>
  <c r="V1110" i="12"/>
  <c r="Y1110" i="12" s="1"/>
  <c r="W1111" i="12"/>
  <c r="X1112" i="12"/>
  <c r="U1113" i="12"/>
  <c r="V1114" i="12"/>
  <c r="W1115" i="12"/>
  <c r="X1116" i="12"/>
  <c r="U1117" i="12"/>
  <c r="V1118" i="12"/>
  <c r="Y1118" i="12" s="1"/>
  <c r="W1119" i="12"/>
  <c r="X1120" i="12"/>
  <c r="U1121" i="12"/>
  <c r="Y1121" i="12" s="1"/>
  <c r="V1122" i="12"/>
  <c r="W1123" i="12"/>
  <c r="X1124" i="12"/>
  <c r="U1125" i="12"/>
  <c r="Y1125" i="12" s="1"/>
  <c r="V1126" i="12"/>
  <c r="Y1126" i="12" s="1"/>
  <c r="W1127" i="12"/>
  <c r="X1128" i="12"/>
  <c r="U1129" i="12"/>
  <c r="Y1129" i="12" s="1"/>
  <c r="V1130" i="12"/>
  <c r="Y1130" i="12" s="1"/>
  <c r="W1131" i="12"/>
  <c r="X1132" i="12"/>
  <c r="U1133" i="12"/>
  <c r="V1134" i="12"/>
  <c r="Y1134" i="12" s="1"/>
  <c r="W1135" i="12"/>
  <c r="X1136" i="12"/>
  <c r="U1137" i="12"/>
  <c r="Y1137" i="12" s="1"/>
  <c r="V1138" i="12"/>
  <c r="Y1138" i="12" s="1"/>
  <c r="W1139" i="12"/>
  <c r="X1140" i="12"/>
  <c r="U1141" i="12"/>
  <c r="Y1141" i="12" s="1"/>
  <c r="V1142" i="12"/>
  <c r="Y1142" i="12" s="1"/>
  <c r="W1143" i="12"/>
  <c r="X1144" i="12"/>
  <c r="U1145" i="12"/>
  <c r="V1146" i="12"/>
  <c r="W1147" i="12"/>
  <c r="X1148" i="12"/>
  <c r="U1149" i="12"/>
  <c r="V1150" i="12"/>
  <c r="W1151" i="12"/>
  <c r="X1152" i="12"/>
  <c r="U1153" i="12"/>
  <c r="Y1153" i="12" s="1"/>
  <c r="V1154" i="12"/>
  <c r="W1155" i="12"/>
  <c r="X1156" i="12"/>
  <c r="U1157" i="12"/>
  <c r="Y1157" i="12" s="1"/>
  <c r="V1158" i="12"/>
  <c r="W1159" i="12"/>
  <c r="X1160" i="12"/>
  <c r="U1161" i="12"/>
  <c r="Y1161" i="12" s="1"/>
  <c r="V1162" i="12"/>
  <c r="W1163" i="12"/>
  <c r="X1164" i="12"/>
  <c r="U1165" i="12"/>
  <c r="V1166" i="12"/>
  <c r="W1167" i="12"/>
  <c r="X1168" i="12"/>
  <c r="U1169" i="12"/>
  <c r="Y1169" i="12" s="1"/>
  <c r="V1170" i="12"/>
  <c r="W1171" i="12"/>
  <c r="X1172" i="12"/>
  <c r="U1173" i="12"/>
  <c r="Y1173" i="12" s="1"/>
  <c r="V1174" i="12"/>
  <c r="W1175" i="12"/>
  <c r="X1176" i="12"/>
  <c r="U1177" i="12"/>
  <c r="V1178" i="12"/>
  <c r="W1179" i="12"/>
  <c r="X1180" i="12"/>
  <c r="U1181" i="12"/>
  <c r="V1182" i="12"/>
  <c r="W1183" i="12"/>
  <c r="X1184" i="12"/>
  <c r="U1185" i="12"/>
  <c r="Y1185" i="12" s="1"/>
  <c r="V1186" i="12"/>
  <c r="W1187" i="12"/>
  <c r="X1188" i="12"/>
  <c r="U1189" i="12"/>
  <c r="Y1189" i="12" s="1"/>
  <c r="V1190" i="12"/>
  <c r="Y1190" i="12" s="1"/>
  <c r="W1191" i="12"/>
  <c r="X1192" i="12"/>
  <c r="U1193" i="12"/>
  <c r="Y1193" i="12" s="1"/>
  <c r="V1194" i="12"/>
  <c r="Y1194" i="12" s="1"/>
  <c r="W1195" i="12"/>
  <c r="X1196" i="12"/>
  <c r="U1197" i="12"/>
  <c r="V1198" i="12"/>
  <c r="Y1198" i="12" s="1"/>
  <c r="W1199" i="12"/>
  <c r="X1200" i="12"/>
  <c r="U1201" i="12"/>
  <c r="Y1201" i="12" s="1"/>
  <c r="V1202" i="12"/>
  <c r="W1203" i="12"/>
  <c r="X1204" i="12"/>
  <c r="U1205" i="12"/>
  <c r="Y1205" i="12" s="1"/>
  <c r="V1206" i="12"/>
  <c r="Y1206" i="12" s="1"/>
  <c r="W1207" i="12"/>
  <c r="X1208" i="12"/>
  <c r="U1209" i="12"/>
  <c r="V1210" i="12"/>
  <c r="Y1210" i="12" s="1"/>
  <c r="W1211" i="12"/>
  <c r="X1212" i="12"/>
  <c r="U1213" i="12"/>
  <c r="V1214" i="12"/>
  <c r="Y1214" i="12" s="1"/>
  <c r="W1215" i="12"/>
  <c r="X1216" i="12"/>
  <c r="U1217" i="12"/>
  <c r="Y1217" i="12" s="1"/>
  <c r="V1218" i="12"/>
  <c r="Y1218" i="12" s="1"/>
  <c r="W1219" i="12"/>
  <c r="X1220" i="12"/>
  <c r="U1221" i="12"/>
  <c r="Y1221" i="12" s="1"/>
  <c r="V1222" i="12"/>
  <c r="Y1222" i="12" s="1"/>
  <c r="W1223" i="12"/>
  <c r="X1224" i="12"/>
  <c r="U1225" i="12"/>
  <c r="Y1225" i="12" s="1"/>
  <c r="V1226" i="12"/>
  <c r="Y1226" i="12" s="1"/>
  <c r="W1227" i="12"/>
  <c r="X1228" i="12"/>
  <c r="U1229" i="12"/>
  <c r="X1229" i="12"/>
  <c r="U1230" i="12"/>
  <c r="X1230" i="12"/>
  <c r="U1231" i="12"/>
  <c r="X1231" i="12"/>
  <c r="U1232" i="12"/>
  <c r="X1232" i="12"/>
  <c r="U1233" i="12"/>
  <c r="X1233" i="12"/>
  <c r="U1234" i="12"/>
  <c r="X1234" i="12"/>
  <c r="U1235" i="12"/>
  <c r="X1235" i="12"/>
  <c r="U1236" i="12"/>
  <c r="X1236" i="12"/>
  <c r="U1237" i="12"/>
  <c r="X1237" i="12"/>
  <c r="U1238" i="12"/>
  <c r="X1238" i="12"/>
  <c r="U1239" i="12"/>
  <c r="X1239" i="12"/>
  <c r="U1240" i="12"/>
  <c r="X1240" i="12"/>
  <c r="U1241" i="12"/>
  <c r="X1241" i="12"/>
  <c r="U1242" i="12"/>
  <c r="X1242" i="12"/>
  <c r="U1243" i="12"/>
  <c r="X1243" i="12"/>
  <c r="U1244" i="12"/>
  <c r="X1244" i="12"/>
  <c r="U1245" i="12"/>
  <c r="X1245" i="12"/>
  <c r="Y1245" i="12" s="1"/>
  <c r="U1246" i="12"/>
  <c r="X1246" i="12"/>
  <c r="U1247" i="12"/>
  <c r="X1247" i="12"/>
  <c r="U1248" i="12"/>
  <c r="X1248" i="12"/>
  <c r="U1249" i="12"/>
  <c r="X1249" i="12"/>
  <c r="Y1249" i="12" s="1"/>
  <c r="U1250" i="12"/>
  <c r="X1250" i="12"/>
  <c r="U1251" i="12"/>
  <c r="X1251" i="12"/>
  <c r="U1252" i="12"/>
  <c r="X1252" i="12"/>
  <c r="U1253" i="12"/>
  <c r="X1253" i="12"/>
  <c r="Y1253" i="12" s="1"/>
  <c r="U1254" i="12"/>
  <c r="X1254" i="12"/>
  <c r="U1255" i="12"/>
  <c r="X1255" i="12"/>
  <c r="U1256" i="12"/>
  <c r="X1256" i="12"/>
  <c r="U1257" i="12"/>
  <c r="X1257" i="12"/>
  <c r="Y1257" i="12" s="1"/>
  <c r="U1258" i="12"/>
  <c r="X1258" i="12"/>
  <c r="U1259" i="12"/>
  <c r="X1259" i="12"/>
  <c r="U1260" i="12"/>
  <c r="X1260" i="12"/>
  <c r="U1261" i="12"/>
  <c r="X1261" i="12"/>
  <c r="Y1261" i="12" s="1"/>
  <c r="U1262" i="12"/>
  <c r="X1262" i="12"/>
  <c r="U1263" i="12"/>
  <c r="X1263" i="12"/>
  <c r="U1264" i="12"/>
  <c r="X1264" i="12"/>
  <c r="U1265" i="12"/>
  <c r="X1265" i="12"/>
  <c r="Y1265" i="12" s="1"/>
  <c r="U1266" i="12"/>
  <c r="X1266" i="12"/>
  <c r="U1267" i="12"/>
  <c r="X1267" i="12"/>
  <c r="U1268" i="12"/>
  <c r="X1268" i="12"/>
  <c r="U1269" i="12"/>
  <c r="X1269" i="12"/>
  <c r="Y1269" i="12" s="1"/>
  <c r="U1270" i="12"/>
  <c r="X1270" i="12"/>
  <c r="U1271" i="12"/>
  <c r="X1271" i="12"/>
  <c r="U1272" i="12"/>
  <c r="X1272" i="12"/>
  <c r="U1273" i="12"/>
  <c r="X1273" i="12"/>
  <c r="Y1273" i="12" s="1"/>
  <c r="U1274" i="12"/>
  <c r="X1274" i="12"/>
  <c r="U1275" i="12"/>
  <c r="X1275" i="12"/>
  <c r="U1276" i="12"/>
  <c r="X1276" i="12"/>
  <c r="U1277" i="12"/>
  <c r="X1277" i="12"/>
  <c r="Y1277" i="12" s="1"/>
  <c r="U1278" i="12"/>
  <c r="X1278" i="12"/>
  <c r="U1279" i="12"/>
  <c r="X1279" i="12"/>
  <c r="U1280" i="12"/>
  <c r="X1280" i="12"/>
  <c r="U1281" i="12"/>
  <c r="X1281" i="12"/>
  <c r="Y1281" i="12" s="1"/>
  <c r="U1282" i="12"/>
  <c r="X1282" i="12"/>
  <c r="U1283" i="12"/>
  <c r="X1283" i="12"/>
  <c r="U1284" i="12"/>
  <c r="X1284" i="12"/>
  <c r="U1285" i="12"/>
  <c r="X1285" i="12"/>
  <c r="Y1285" i="12" s="1"/>
  <c r="U1286" i="12"/>
  <c r="X1286" i="12"/>
  <c r="U1287" i="12"/>
  <c r="X1287" i="12"/>
  <c r="U1288" i="12"/>
  <c r="X1288" i="12"/>
  <c r="U1289" i="12"/>
  <c r="X1289" i="12"/>
  <c r="Y1289" i="12" s="1"/>
  <c r="U1290" i="12"/>
  <c r="X1290" i="12"/>
  <c r="U1291" i="12"/>
  <c r="X1291" i="12"/>
  <c r="U1292" i="12"/>
  <c r="X1292" i="12"/>
  <c r="U1293" i="12"/>
  <c r="X1293" i="12"/>
  <c r="Y1293" i="12" s="1"/>
  <c r="U1294" i="12"/>
  <c r="X1294" i="12"/>
  <c r="U1295" i="12"/>
  <c r="X1295" i="12"/>
  <c r="U1296" i="12"/>
  <c r="X1296" i="12"/>
  <c r="U1297" i="12"/>
  <c r="X1297" i="12"/>
  <c r="Y1297" i="12" s="1"/>
  <c r="U1298" i="12"/>
  <c r="V1299" i="12"/>
  <c r="W1300" i="12"/>
  <c r="X1301" i="12"/>
  <c r="U1302" i="12"/>
  <c r="V1303" i="12"/>
  <c r="W1304" i="12"/>
  <c r="X1305" i="12"/>
  <c r="U1306" i="12"/>
  <c r="V1307" i="12"/>
  <c r="W1308" i="12"/>
  <c r="X1309" i="12"/>
  <c r="U1310" i="12"/>
  <c r="V1311" i="12"/>
  <c r="W1312" i="12"/>
  <c r="X1313" i="12"/>
  <c r="U1314" i="12"/>
  <c r="V1315" i="12"/>
  <c r="W1316" i="12"/>
  <c r="X1317" i="12"/>
  <c r="U1318" i="12"/>
  <c r="V1319" i="12"/>
  <c r="W1320" i="12"/>
  <c r="X1321" i="12"/>
  <c r="U1322" i="12"/>
  <c r="V1323" i="12"/>
  <c r="W1324" i="12"/>
  <c r="X1325" i="12"/>
  <c r="U1326" i="12"/>
  <c r="V1327" i="12"/>
  <c r="W1328" i="12"/>
  <c r="X1329" i="12"/>
  <c r="U1330" i="12"/>
  <c r="V1331" i="12"/>
  <c r="W1332" i="12"/>
  <c r="X1333" i="12"/>
  <c r="U1334" i="12"/>
  <c r="V1335" i="12"/>
  <c r="W1336" i="12"/>
  <c r="X1337" i="12"/>
  <c r="U1338" i="12"/>
  <c r="V1339" i="12"/>
  <c r="W1340" i="12"/>
  <c r="X1341" i="12"/>
  <c r="U1342" i="12"/>
  <c r="V1343" i="12"/>
  <c r="W1344" i="12"/>
  <c r="X1345" i="12"/>
  <c r="U1346" i="12"/>
  <c r="V1347" i="12"/>
  <c r="W1348" i="12"/>
  <c r="X1349" i="12"/>
  <c r="U1350" i="12"/>
  <c r="V1351" i="12"/>
  <c r="W1352" i="12"/>
  <c r="X1353" i="12"/>
  <c r="U1354" i="12"/>
  <c r="V1355" i="12"/>
  <c r="W1356" i="12"/>
  <c r="X1357" i="12"/>
  <c r="U1358" i="12"/>
  <c r="V1359" i="12"/>
  <c r="W1360" i="12"/>
  <c r="X1361" i="12"/>
  <c r="U1362" i="12"/>
  <c r="V1363" i="12"/>
  <c r="W1364" i="12"/>
  <c r="X1365" i="12"/>
  <c r="U1366" i="12"/>
  <c r="V1367" i="12"/>
  <c r="W1368" i="12"/>
  <c r="X1369" i="12"/>
  <c r="U1370" i="12"/>
  <c r="V1371" i="12"/>
  <c r="W1372" i="12"/>
  <c r="X1373" i="12"/>
  <c r="U1374" i="12"/>
  <c r="V1375" i="12"/>
  <c r="W1376" i="12"/>
  <c r="X1377" i="12"/>
  <c r="U1378" i="12"/>
  <c r="V1379" i="12"/>
  <c r="W1380" i="12"/>
  <c r="X1381" i="12"/>
  <c r="U1382" i="12"/>
  <c r="V1383" i="12"/>
  <c r="W1384" i="12"/>
  <c r="X1385" i="12"/>
  <c r="U1386" i="12"/>
  <c r="V1387" i="12"/>
  <c r="W1388" i="12"/>
  <c r="X1389" i="12"/>
  <c r="U1390" i="12"/>
  <c r="V1391" i="12"/>
  <c r="W1392" i="12"/>
  <c r="X1393" i="12"/>
  <c r="U1394" i="12"/>
  <c r="V1395" i="12"/>
  <c r="W1396" i="12"/>
  <c r="X1397" i="12"/>
  <c r="U1398" i="12"/>
  <c r="V1399" i="12"/>
  <c r="W1400" i="12"/>
  <c r="X1401" i="12"/>
  <c r="U1402" i="12"/>
  <c r="V1403" i="12"/>
  <c r="W1404" i="12"/>
  <c r="X1405" i="12"/>
  <c r="U1406" i="12"/>
  <c r="V1407" i="12"/>
  <c r="W1408" i="12"/>
  <c r="X1409" i="12"/>
  <c r="U1410" i="12"/>
  <c r="V1411" i="12"/>
  <c r="W1412" i="12"/>
  <c r="X1413" i="12"/>
  <c r="U1414" i="12"/>
  <c r="V1415" i="12"/>
  <c r="W1416" i="12"/>
  <c r="X1417" i="12"/>
  <c r="U1418" i="12"/>
  <c r="V1419" i="12"/>
  <c r="W1420" i="12"/>
  <c r="X1421" i="12"/>
  <c r="U1422" i="12"/>
  <c r="V1423" i="12"/>
  <c r="W1424" i="12"/>
  <c r="X1425" i="12"/>
  <c r="U1426" i="12"/>
  <c r="V1427" i="12"/>
  <c r="W1428" i="12"/>
  <c r="X1429" i="12"/>
  <c r="U1430" i="12"/>
  <c r="V1431" i="12"/>
  <c r="W1432" i="12"/>
  <c r="X1433" i="12"/>
  <c r="U1434" i="12"/>
  <c r="V1435" i="12"/>
  <c r="W1436" i="12"/>
  <c r="X1437" i="12"/>
  <c r="U1438" i="12"/>
  <c r="X1439" i="12"/>
  <c r="U1440" i="12"/>
  <c r="X1443" i="12"/>
  <c r="U1444" i="12"/>
  <c r="X1447" i="12"/>
  <c r="U1448" i="12"/>
  <c r="X1451" i="12"/>
  <c r="U1452" i="12"/>
  <c r="X1455" i="12"/>
  <c r="U1456" i="12"/>
  <c r="X1459" i="12"/>
  <c r="U1460" i="12"/>
  <c r="X1463" i="12"/>
  <c r="U1464" i="12"/>
  <c r="V1439" i="12"/>
  <c r="W1440" i="12"/>
  <c r="X1441" i="12"/>
  <c r="U1442" i="12"/>
  <c r="V1443" i="12"/>
  <c r="Y1443" i="12" s="1"/>
  <c r="W1444" i="12"/>
  <c r="X1445" i="12"/>
  <c r="U1446" i="12"/>
  <c r="V1447" i="12"/>
  <c r="W1448" i="12"/>
  <c r="X1449" i="12"/>
  <c r="U1450" i="12"/>
  <c r="Y1450" i="12" s="1"/>
  <c r="V1451" i="12"/>
  <c r="Y1451" i="12" s="1"/>
  <c r="W1452" i="12"/>
  <c r="X1453" i="12"/>
  <c r="U1454" i="12"/>
  <c r="V1455" i="12"/>
  <c r="W1456" i="12"/>
  <c r="X1457" i="12"/>
  <c r="U1458" i="12"/>
  <c r="V1459" i="12"/>
  <c r="Y1459" i="12" s="1"/>
  <c r="W1460" i="12"/>
  <c r="X1461" i="12"/>
  <c r="U1462" i="12"/>
  <c r="V1463" i="12"/>
  <c r="W1464" i="12"/>
  <c r="X1465" i="12"/>
  <c r="U1466" i="12"/>
  <c r="V1467" i="12"/>
  <c r="W1468" i="12"/>
  <c r="X1469" i="12"/>
  <c r="U1470" i="12"/>
  <c r="V1471" i="12"/>
  <c r="W1472" i="12"/>
  <c r="X1473" i="12"/>
  <c r="U1474" i="12"/>
  <c r="V1475" i="12"/>
  <c r="W1476" i="12"/>
  <c r="X1477" i="12"/>
  <c r="U1478" i="12"/>
  <c r="V1479" i="12"/>
  <c r="W1480" i="12"/>
  <c r="X1481" i="12"/>
  <c r="U1482" i="12"/>
  <c r="V1483" i="12"/>
  <c r="W1484" i="12"/>
  <c r="X1485" i="12"/>
  <c r="U1486" i="12"/>
  <c r="V1487" i="12"/>
  <c r="W1488" i="12"/>
  <c r="X1489" i="12"/>
  <c r="U1490" i="12"/>
  <c r="V1491" i="12"/>
  <c r="W1492" i="12"/>
  <c r="X1493" i="12"/>
  <c r="U1494" i="12"/>
  <c r="V1495" i="12"/>
  <c r="W1496" i="12"/>
  <c r="X1497" i="12"/>
  <c r="U1498" i="12"/>
  <c r="V1499" i="12"/>
  <c r="W1500" i="12"/>
  <c r="W1501" i="12"/>
  <c r="W1502" i="12"/>
  <c r="X1503" i="12"/>
  <c r="U1504" i="12"/>
  <c r="U1505" i="12"/>
  <c r="X1505" i="12"/>
  <c r="U1506" i="12"/>
  <c r="X1506" i="12"/>
  <c r="U1507" i="12"/>
  <c r="V1508" i="12"/>
  <c r="V1513" i="12"/>
  <c r="W1514" i="12"/>
  <c r="W1515" i="12"/>
  <c r="X1516" i="12"/>
  <c r="U1517" i="12"/>
  <c r="X1517" i="12"/>
  <c r="U1518" i="12"/>
  <c r="X1518" i="12"/>
  <c r="U1519" i="12"/>
  <c r="V1520" i="12"/>
  <c r="V1521" i="12"/>
  <c r="W1522" i="12"/>
  <c r="X1523" i="12"/>
  <c r="U1524" i="12"/>
  <c r="U1525" i="12"/>
  <c r="X1525" i="12"/>
  <c r="U1526" i="12"/>
  <c r="X1526" i="12"/>
  <c r="U1527" i="12"/>
  <c r="V1528" i="12"/>
  <c r="V1529" i="12"/>
  <c r="W1530" i="12"/>
  <c r="X1531" i="12"/>
  <c r="U1532" i="12"/>
  <c r="V1533" i="12"/>
  <c r="V1534" i="12"/>
  <c r="V1535" i="12"/>
  <c r="W1536" i="12"/>
  <c r="W1539" i="12"/>
  <c r="X1540" i="12"/>
  <c r="U1541" i="12"/>
  <c r="V1542" i="12"/>
  <c r="W1543" i="12"/>
  <c r="X1544" i="12"/>
  <c r="X1545" i="12"/>
  <c r="U1546" i="12"/>
  <c r="V1547" i="12"/>
  <c r="W1548" i="12"/>
  <c r="X1549" i="12"/>
  <c r="U1550" i="12"/>
  <c r="V1551" i="12"/>
  <c r="W1552" i="12"/>
  <c r="W1553" i="12"/>
  <c r="X1554" i="12"/>
  <c r="U1555" i="12"/>
  <c r="V1556" i="12"/>
  <c r="W1557" i="12"/>
  <c r="X1558" i="12"/>
  <c r="U1559" i="12"/>
  <c r="V1560" i="12"/>
  <c r="V1561" i="12"/>
  <c r="W1562" i="12"/>
  <c r="X1563" i="12"/>
  <c r="U1564" i="12"/>
  <c r="V1565" i="12"/>
  <c r="W1566" i="12"/>
  <c r="X1567" i="12"/>
  <c r="U1568" i="12"/>
  <c r="U1569" i="12"/>
  <c r="V1570" i="12"/>
  <c r="W1571" i="12"/>
  <c r="X1572" i="12"/>
  <c r="U1573" i="12"/>
  <c r="V1574" i="12"/>
  <c r="W1575" i="12"/>
  <c r="X1576" i="12"/>
  <c r="U1577" i="12"/>
  <c r="V1578" i="12"/>
  <c r="W1579" i="12"/>
  <c r="X1580" i="12"/>
  <c r="U1581" i="12"/>
  <c r="V1582" i="12"/>
  <c r="W1583" i="12"/>
  <c r="X1584" i="12"/>
  <c r="U1585" i="12"/>
  <c r="V1586" i="12"/>
  <c r="W1587" i="12"/>
  <c r="X1588" i="12"/>
  <c r="U1589" i="12"/>
  <c r="V1590" i="12"/>
  <c r="W1591" i="12"/>
  <c r="X1592" i="12"/>
  <c r="U1593" i="12"/>
  <c r="X1593" i="12"/>
  <c r="U1594" i="12"/>
  <c r="Y1594" i="12" s="1"/>
  <c r="V1595" i="12"/>
  <c r="V1596" i="12"/>
  <c r="W1598" i="12"/>
  <c r="W1599" i="12"/>
  <c r="X1600" i="12"/>
  <c r="U1601" i="12"/>
  <c r="X1601" i="12"/>
  <c r="U1602" i="12"/>
  <c r="Y1602" i="12" s="1"/>
  <c r="V1603" i="12"/>
  <c r="V1604" i="12"/>
  <c r="W1606" i="12"/>
  <c r="W1607" i="12"/>
  <c r="X1608" i="12"/>
  <c r="U1609" i="12"/>
  <c r="X1609" i="12"/>
  <c r="U1610" i="12"/>
  <c r="Y1610" i="12" s="1"/>
  <c r="V1611" i="12"/>
  <c r="V1612" i="12"/>
  <c r="W1614" i="12"/>
  <c r="X1615" i="12"/>
  <c r="U1616" i="12"/>
  <c r="V1617" i="12"/>
  <c r="W1618" i="12"/>
  <c r="X1619" i="12"/>
  <c r="U1620" i="12"/>
  <c r="V1621" i="12"/>
  <c r="W1622" i="12"/>
  <c r="X1623" i="12"/>
  <c r="U1624" i="12"/>
  <c r="V1625" i="12"/>
  <c r="W1626" i="12"/>
  <c r="X1627" i="12"/>
  <c r="U1628" i="12"/>
  <c r="V1629" i="12"/>
  <c r="W1630" i="12"/>
  <c r="X1631" i="12"/>
  <c r="U1632" i="12"/>
  <c r="V1633" i="12"/>
  <c r="W1634" i="12"/>
  <c r="X1635" i="12"/>
  <c r="U1636" i="12"/>
  <c r="V1637" i="12"/>
  <c r="W1638" i="12"/>
  <c r="X1639" i="12"/>
  <c r="U1640" i="12"/>
  <c r="V1641" i="12"/>
  <c r="W1642" i="12"/>
  <c r="X1643" i="12"/>
  <c r="U1644" i="12"/>
  <c r="V1645" i="12"/>
  <c r="U1647" i="12"/>
  <c r="V1648" i="12"/>
  <c r="V1649" i="12"/>
  <c r="W1650" i="12"/>
  <c r="W1651" i="12"/>
  <c r="X1652" i="12"/>
  <c r="U1653" i="12"/>
  <c r="V1654" i="12"/>
  <c r="W1655" i="12"/>
  <c r="X1656" i="12"/>
  <c r="U1657" i="12"/>
  <c r="V1658" i="12"/>
  <c r="W1659" i="12"/>
  <c r="X1660" i="12"/>
  <c r="U1661" i="12"/>
  <c r="V1662" i="12"/>
  <c r="W1663" i="12"/>
  <c r="X1664" i="12"/>
  <c r="U1665" i="12"/>
  <c r="V1666" i="12"/>
  <c r="W1667" i="12"/>
  <c r="X1668" i="12"/>
  <c r="U1669" i="12"/>
  <c r="V1670" i="12"/>
  <c r="W1671" i="12"/>
  <c r="X1672" i="12"/>
  <c r="U1673" i="12"/>
  <c r="V1674" i="12"/>
  <c r="W1675" i="12"/>
  <c r="X1676" i="12"/>
  <c r="U1677" i="12"/>
  <c r="V1678" i="12"/>
  <c r="W1679" i="12"/>
  <c r="X1680" i="12"/>
  <c r="U1681" i="12"/>
  <c r="V1682" i="12"/>
  <c r="W1683" i="12"/>
  <c r="X1685" i="12"/>
  <c r="U1686" i="12"/>
  <c r="X1689" i="12"/>
  <c r="U1690" i="12"/>
  <c r="X1693" i="12"/>
  <c r="U1694" i="12"/>
  <c r="X1697" i="12"/>
  <c r="U1698" i="12"/>
  <c r="X1701" i="12"/>
  <c r="U1702" i="12"/>
  <c r="X1705" i="12"/>
  <c r="U1706" i="12"/>
  <c r="X1709" i="12"/>
  <c r="U1710" i="12"/>
  <c r="X1713" i="12"/>
  <c r="U1714" i="12"/>
  <c r="X1717" i="12"/>
  <c r="U1718" i="12"/>
  <c r="U1481" i="12"/>
  <c r="V1482" i="12"/>
  <c r="W1483" i="12"/>
  <c r="Y1483" i="12" s="1"/>
  <c r="X1484" i="12"/>
  <c r="U1485" i="12"/>
  <c r="V1486" i="12"/>
  <c r="W1487" i="12"/>
  <c r="Y1487" i="12" s="1"/>
  <c r="X1488" i="12"/>
  <c r="U1489" i="12"/>
  <c r="V1490" i="12"/>
  <c r="W1491" i="12"/>
  <c r="Y1491" i="12" s="1"/>
  <c r="X1492" i="12"/>
  <c r="U1493" i="12"/>
  <c r="V1494" i="12"/>
  <c r="W1495" i="12"/>
  <c r="Y1495" i="12" s="1"/>
  <c r="X1496" i="12"/>
  <c r="U1497" i="12"/>
  <c r="V1498" i="12"/>
  <c r="W1499" i="12"/>
  <c r="Y1499" i="12" s="1"/>
  <c r="X1500" i="12"/>
  <c r="U1501" i="12"/>
  <c r="X1501" i="12"/>
  <c r="U1502" i="12"/>
  <c r="X1502" i="12"/>
  <c r="U1503" i="12"/>
  <c r="V1504" i="12"/>
  <c r="Y1504" i="12" s="1"/>
  <c r="V1505" i="12"/>
  <c r="Y1505" i="12" s="1"/>
  <c r="V1506" i="12"/>
  <c r="V1507" i="12"/>
  <c r="W1508" i="12"/>
  <c r="W1509" i="12"/>
  <c r="Y1509" i="12" s="1"/>
  <c r="W1510" i="12"/>
  <c r="W1511" i="12"/>
  <c r="W1512" i="12"/>
  <c r="W1513" i="12"/>
  <c r="Y1513" i="12" s="1"/>
  <c r="X1514" i="12"/>
  <c r="X1515" i="12"/>
  <c r="U1516" i="12"/>
  <c r="V1517" i="12"/>
  <c r="V1518" i="12"/>
  <c r="V1519" i="12"/>
  <c r="W1520" i="12"/>
  <c r="W1521" i="12"/>
  <c r="Y1521" i="12" s="1"/>
  <c r="X1522" i="12"/>
  <c r="U1523" i="12"/>
  <c r="V1524" i="12"/>
  <c r="Y1524" i="12" s="1"/>
  <c r="V1525" i="12"/>
  <c r="V1526" i="12"/>
  <c r="V1527" i="12"/>
  <c r="W1528" i="12"/>
  <c r="W1529" i="12"/>
  <c r="Y1529" i="12" s="1"/>
  <c r="X1530" i="12"/>
  <c r="U1531" i="12"/>
  <c r="V1532" i="12"/>
  <c r="W1535" i="12"/>
  <c r="Y1535" i="12" s="1"/>
  <c r="X1536" i="12"/>
  <c r="W1537" i="12"/>
  <c r="W1538" i="12"/>
  <c r="X1539" i="12"/>
  <c r="U1540" i="12"/>
  <c r="V1541" i="12"/>
  <c r="W1542" i="12"/>
  <c r="X1543" i="12"/>
  <c r="U1544" i="12"/>
  <c r="U1545" i="12"/>
  <c r="V1546" i="12"/>
  <c r="W1547" i="12"/>
  <c r="Y1547" i="12" s="1"/>
  <c r="X1548" i="12"/>
  <c r="U1549" i="12"/>
  <c r="V1550" i="12"/>
  <c r="W1551" i="12"/>
  <c r="Y1551" i="12" s="1"/>
  <c r="X1552" i="12"/>
  <c r="X1553" i="12"/>
  <c r="U1554" i="12"/>
  <c r="V1555" i="12"/>
  <c r="W1556" i="12"/>
  <c r="X1557" i="12"/>
  <c r="U1558" i="12"/>
  <c r="V1559" i="12"/>
  <c r="W1560" i="12"/>
  <c r="W1561" i="12"/>
  <c r="X1562" i="12"/>
  <c r="U1563" i="12"/>
  <c r="Y1563" i="12" s="1"/>
  <c r="V1564" i="12"/>
  <c r="W1565" i="12"/>
  <c r="X1566" i="12"/>
  <c r="U1567" i="12"/>
  <c r="Y1567" i="12" s="1"/>
  <c r="V1568" i="12"/>
  <c r="V1569" i="12"/>
  <c r="W1570" i="12"/>
  <c r="X1571" i="12"/>
  <c r="U1572" i="12"/>
  <c r="V1573" i="12"/>
  <c r="W1574" i="12"/>
  <c r="X1575" i="12"/>
  <c r="U1576" i="12"/>
  <c r="V1577" i="12"/>
  <c r="W1578" i="12"/>
  <c r="X1579" i="12"/>
  <c r="U1580" i="12"/>
  <c r="V1581" i="12"/>
  <c r="W1582" i="12"/>
  <c r="X1583" i="12"/>
  <c r="U1584" i="12"/>
  <c r="V1585" i="12"/>
  <c r="W1586" i="12"/>
  <c r="X1587" i="12"/>
  <c r="U1588" i="12"/>
  <c r="V1589" i="12"/>
  <c r="W1590" i="12"/>
  <c r="X1591" i="12"/>
  <c r="U1592" i="12"/>
  <c r="V1593" i="12"/>
  <c r="V1594" i="12"/>
  <c r="W1596" i="12"/>
  <c r="W1597" i="12"/>
  <c r="X1598" i="12"/>
  <c r="U1599" i="12"/>
  <c r="X1599" i="12"/>
  <c r="U1600" i="12"/>
  <c r="V1601" i="12"/>
  <c r="V1602" i="12"/>
  <c r="W1604" i="12"/>
  <c r="W1605" i="12"/>
  <c r="X1606" i="12"/>
  <c r="U1607" i="12"/>
  <c r="X1607" i="12"/>
  <c r="U1608" i="12"/>
  <c r="V1609" i="12"/>
  <c r="V1610" i="12"/>
  <c r="W1612" i="12"/>
  <c r="W1613" i="12"/>
  <c r="X1614" i="12"/>
  <c r="U1615" i="12"/>
  <c r="V1616" i="12"/>
  <c r="W1617" i="12"/>
  <c r="X1618" i="12"/>
  <c r="U1619" i="12"/>
  <c r="V1620" i="12"/>
  <c r="W1621" i="12"/>
  <c r="X1622" i="12"/>
  <c r="U1623" i="12"/>
  <c r="V1624" i="12"/>
  <c r="W1625" i="12"/>
  <c r="X1626" i="12"/>
  <c r="U1627" i="12"/>
  <c r="V1628" i="12"/>
  <c r="W1629" i="12"/>
  <c r="X1630" i="12"/>
  <c r="U1631" i="12"/>
  <c r="V1632" i="12"/>
  <c r="W1633" i="12"/>
  <c r="X1634" i="12"/>
  <c r="U1635" i="12"/>
  <c r="V1636" i="12"/>
  <c r="W1637" i="12"/>
  <c r="X1638" i="12"/>
  <c r="U1639" i="12"/>
  <c r="V1640" i="12"/>
  <c r="W1641" i="12"/>
  <c r="X1642" i="12"/>
  <c r="U1643" i="12"/>
  <c r="V1644" i="12"/>
  <c r="W1645" i="12"/>
  <c r="V1646" i="12"/>
  <c r="V1647" i="12"/>
  <c r="W1648" i="12"/>
  <c r="Y1648" i="12" s="1"/>
  <c r="W1649" i="12"/>
  <c r="X1650" i="12"/>
  <c r="X1651" i="12"/>
  <c r="U1652" i="12"/>
  <c r="Y1652" i="12" s="1"/>
  <c r="V1653" i="12"/>
  <c r="W1654" i="12"/>
  <c r="X1655" i="12"/>
  <c r="U1656" i="12"/>
  <c r="Y1656" i="12" s="1"/>
  <c r="V1657" i="12"/>
  <c r="W1658" i="12"/>
  <c r="X1659" i="12"/>
  <c r="U1660" i="12"/>
  <c r="Y1660" i="12" s="1"/>
  <c r="V1661" i="12"/>
  <c r="W1662" i="12"/>
  <c r="X1663" i="12"/>
  <c r="U1664" i="12"/>
  <c r="Y1664" i="12" s="1"/>
  <c r="V1665" i="12"/>
  <c r="W1666" i="12"/>
  <c r="X1667" i="12"/>
  <c r="U1668" i="12"/>
  <c r="Y1668" i="12" s="1"/>
  <c r="V1669" i="12"/>
  <c r="W1670" i="12"/>
  <c r="X1671" i="12"/>
  <c r="U1672" i="12"/>
  <c r="Y1672" i="12" s="1"/>
  <c r="V1673" i="12"/>
  <c r="W1674" i="12"/>
  <c r="X1675" i="12"/>
  <c r="U1676" i="12"/>
  <c r="Y1676" i="12" s="1"/>
  <c r="V1677" i="12"/>
  <c r="W1678" i="12"/>
  <c r="X1679" i="12"/>
  <c r="U1680" i="12"/>
  <c r="Y1680" i="12" s="1"/>
  <c r="V1681" i="12"/>
  <c r="W1682" i="12"/>
  <c r="X1683" i="12"/>
  <c r="V1684" i="12"/>
  <c r="X1686" i="12"/>
  <c r="U1687" i="12"/>
  <c r="X1690" i="12"/>
  <c r="U1691" i="12"/>
  <c r="X1694" i="12"/>
  <c r="U1695" i="12"/>
  <c r="X1698" i="12"/>
  <c r="U1699" i="12"/>
  <c r="X1702" i="12"/>
  <c r="U1703" i="12"/>
  <c r="X1706" i="12"/>
  <c r="U1707" i="12"/>
  <c r="X1710" i="12"/>
  <c r="U1711" i="12"/>
  <c r="X1714" i="12"/>
  <c r="U1715" i="12"/>
  <c r="X1718" i="12"/>
  <c r="U1719" i="12"/>
  <c r="V1720" i="12"/>
  <c r="W1721" i="12"/>
  <c r="X1722" i="12"/>
  <c r="U1723" i="12"/>
  <c r="V1724" i="12"/>
  <c r="W1466" i="12"/>
  <c r="Y1466" i="12" s="1"/>
  <c r="X1467" i="12"/>
  <c r="U1468" i="12"/>
  <c r="V1469" i="12"/>
  <c r="W1470" i="12"/>
  <c r="Y1470" i="12" s="1"/>
  <c r="X1471" i="12"/>
  <c r="U1472" i="12"/>
  <c r="V1473" i="12"/>
  <c r="W1474" i="12"/>
  <c r="Y1474" i="12" s="1"/>
  <c r="X1475" i="12"/>
  <c r="U1476" i="12"/>
  <c r="V1477" i="12"/>
  <c r="W1478" i="12"/>
  <c r="Y1478" i="12" s="1"/>
  <c r="X1479" i="12"/>
  <c r="U1480" i="12"/>
  <c r="V1481" i="12"/>
  <c r="W1482" i="12"/>
  <c r="Y1482" i="12" s="1"/>
  <c r="X1483" i="12"/>
  <c r="U1484" i="12"/>
  <c r="V1485" i="12"/>
  <c r="W1486" i="12"/>
  <c r="Y1486" i="12" s="1"/>
  <c r="X1487" i="12"/>
  <c r="U1488" i="12"/>
  <c r="V1489" i="12"/>
  <c r="W1490" i="12"/>
  <c r="Y1490" i="12" s="1"/>
  <c r="X1491" i="12"/>
  <c r="U1492" i="12"/>
  <c r="V1493" i="12"/>
  <c r="W1494" i="12"/>
  <c r="Y1494" i="12" s="1"/>
  <c r="X1495" i="12"/>
  <c r="U1496" i="12"/>
  <c r="V1497" i="12"/>
  <c r="W1498" i="12"/>
  <c r="Y1498" i="12" s="1"/>
  <c r="X1499" i="12"/>
  <c r="U1500" i="12"/>
  <c r="V1501" i="12"/>
  <c r="Y1501" i="12" s="1"/>
  <c r="V1502" i="12"/>
  <c r="V1503" i="12"/>
  <c r="W1504" i="12"/>
  <c r="W1507" i="12"/>
  <c r="X1508" i="12"/>
  <c r="Y1508" i="12" s="1"/>
  <c r="U1509" i="12"/>
  <c r="X1509" i="12"/>
  <c r="U1510" i="12"/>
  <c r="X1510" i="12"/>
  <c r="U1511" i="12"/>
  <c r="X1511" i="12"/>
  <c r="U1512" i="12"/>
  <c r="X1512" i="12"/>
  <c r="X1513" i="12"/>
  <c r="U1514" i="12"/>
  <c r="U1515" i="12"/>
  <c r="V1516" i="12"/>
  <c r="W1519" i="12"/>
  <c r="X1520" i="12"/>
  <c r="X1521" i="12"/>
  <c r="U1522" i="12"/>
  <c r="V1523" i="12"/>
  <c r="W1524" i="12"/>
  <c r="W1527" i="12"/>
  <c r="X1528" i="12"/>
  <c r="X1529" i="12"/>
  <c r="U1530" i="12"/>
  <c r="V1531" i="12"/>
  <c r="W1532" i="12"/>
  <c r="Y1532" i="12" s="1"/>
  <c r="W1533" i="12"/>
  <c r="W1534" i="12"/>
  <c r="X1535" i="12"/>
  <c r="U1536" i="12"/>
  <c r="U1537" i="12"/>
  <c r="X1537" i="12"/>
  <c r="U1538" i="12"/>
  <c r="X1538" i="12"/>
  <c r="Y1538" i="12" s="1"/>
  <c r="U1539" i="12"/>
  <c r="V1540" i="12"/>
  <c r="W1541" i="12"/>
  <c r="X1542" i="12"/>
  <c r="Y1542" i="12" s="1"/>
  <c r="U1543" i="12"/>
  <c r="V1544" i="12"/>
  <c r="V1545" i="12"/>
  <c r="W1546" i="12"/>
  <c r="Y1546" i="12" s="1"/>
  <c r="X1547" i="12"/>
  <c r="U1548" i="12"/>
  <c r="V1549" i="12"/>
  <c r="W1550" i="12"/>
  <c r="Y1550" i="12" s="1"/>
  <c r="X1551" i="12"/>
  <c r="U1552" i="12"/>
  <c r="U1553" i="12"/>
  <c r="V1554" i="12"/>
  <c r="Y1554" i="12" s="1"/>
  <c r="W1555" i="12"/>
  <c r="X1556" i="12"/>
  <c r="U1557" i="12"/>
  <c r="V1558" i="12"/>
  <c r="Y1558" i="12" s="1"/>
  <c r="W1559" i="12"/>
  <c r="X1560" i="12"/>
  <c r="X1561" i="12"/>
  <c r="U1562" i="12"/>
  <c r="Y1562" i="12" s="1"/>
  <c r="V1563" i="12"/>
  <c r="W1564" i="12"/>
  <c r="X1565" i="12"/>
  <c r="U1566" i="12"/>
  <c r="Y1566" i="12" s="1"/>
  <c r="V1567" i="12"/>
  <c r="W1568" i="12"/>
  <c r="W1569" i="12"/>
  <c r="X1570" i="12"/>
  <c r="U1571" i="12"/>
  <c r="V1572" i="12"/>
  <c r="W1573" i="12"/>
  <c r="X1574" i="12"/>
  <c r="Y1574" i="12" s="1"/>
  <c r="U1575" i="12"/>
  <c r="V1576" i="12"/>
  <c r="W1577" i="12"/>
  <c r="X1578" i="12"/>
  <c r="Y1578" i="12" s="1"/>
  <c r="U1579" i="12"/>
  <c r="V1580" i="12"/>
  <c r="W1581" i="12"/>
  <c r="X1582" i="12"/>
  <c r="Y1582" i="12" s="1"/>
  <c r="U1583" i="12"/>
  <c r="V1584" i="12"/>
  <c r="W1585" i="12"/>
  <c r="X1586" i="12"/>
  <c r="Y1586" i="12" s="1"/>
  <c r="U1587" i="12"/>
  <c r="V1588" i="12"/>
  <c r="W1589" i="12"/>
  <c r="X1590" i="12"/>
  <c r="Y1590" i="12" s="1"/>
  <c r="U1591" i="12"/>
  <c r="V1592" i="12"/>
  <c r="W1594" i="12"/>
  <c r="W1595" i="12"/>
  <c r="Y1595" i="12" s="1"/>
  <c r="X1596" i="12"/>
  <c r="U1597" i="12"/>
  <c r="X1597" i="12"/>
  <c r="Y1597" i="12" s="1"/>
  <c r="U1598" i="12"/>
  <c r="Y1598" i="12" s="1"/>
  <c r="V1599" i="12"/>
  <c r="V1600" i="12"/>
  <c r="W1602" i="12"/>
  <c r="W1603" i="12"/>
  <c r="Y1603" i="12" s="1"/>
  <c r="X1604" i="12"/>
  <c r="U1605" i="12"/>
  <c r="X1605" i="12"/>
  <c r="U1606" i="12"/>
  <c r="Y1606" i="12" s="1"/>
  <c r="V1607" i="12"/>
  <c r="V1608" i="12"/>
  <c r="W1610" i="12"/>
  <c r="W1611" i="12"/>
  <c r="Y1611" i="12" s="1"/>
  <c r="X1612" i="12"/>
  <c r="U1613" i="12"/>
  <c r="X1613" i="12"/>
  <c r="Y1613" i="12" s="1"/>
  <c r="U1614" i="12"/>
  <c r="Y1614" i="12" s="1"/>
  <c r="V1615" i="12"/>
  <c r="W1616" i="12"/>
  <c r="X1617" i="12"/>
  <c r="U1618" i="12"/>
  <c r="Y1618" i="12" s="1"/>
  <c r="V1619" i="12"/>
  <c r="W1620" i="12"/>
  <c r="X1621" i="12"/>
  <c r="U1622" i="12"/>
  <c r="Y1622" i="12" s="1"/>
  <c r="V1623" i="12"/>
  <c r="W1624" i="12"/>
  <c r="X1625" i="12"/>
  <c r="U1626" i="12"/>
  <c r="Y1626" i="12" s="1"/>
  <c r="V1627" i="12"/>
  <c r="W1628" i="12"/>
  <c r="X1629" i="12"/>
  <c r="U1630" i="12"/>
  <c r="Y1630" i="12" s="1"/>
  <c r="V1631" i="12"/>
  <c r="W1632" i="12"/>
  <c r="X1633" i="12"/>
  <c r="U1634" i="12"/>
  <c r="Y1634" i="12" s="1"/>
  <c r="V1635" i="12"/>
  <c r="W1636" i="12"/>
  <c r="X1637" i="12"/>
  <c r="U1638" i="12"/>
  <c r="Y1638" i="12" s="1"/>
  <c r="V1639" i="12"/>
  <c r="W1640" i="12"/>
  <c r="X1641" i="12"/>
  <c r="U1642" i="12"/>
  <c r="Y1642" i="12" s="1"/>
  <c r="V1643" i="12"/>
  <c r="W1644" i="12"/>
  <c r="W1646" i="12"/>
  <c r="W1647" i="12"/>
  <c r="Y1647" i="12" s="1"/>
  <c r="X1648" i="12"/>
  <c r="X1649" i="12"/>
  <c r="U1650" i="12"/>
  <c r="U1651" i="12"/>
  <c r="Y1651" i="12" s="1"/>
  <c r="V1652" i="12"/>
  <c r="W1653" i="12"/>
  <c r="X1654" i="12"/>
  <c r="U1655" i="12"/>
  <c r="Y1655" i="12" s="1"/>
  <c r="V1656" i="12"/>
  <c r="W1657" i="12"/>
  <c r="X1658" i="12"/>
  <c r="U1659" i="12"/>
  <c r="Y1659" i="12" s="1"/>
  <c r="V1660" i="12"/>
  <c r="W1661" i="12"/>
  <c r="X1662" i="12"/>
  <c r="U1663" i="12"/>
  <c r="Y1663" i="12" s="1"/>
  <c r="V1664" i="12"/>
  <c r="W1665" i="12"/>
  <c r="X1666" i="12"/>
  <c r="U1667" i="12"/>
  <c r="Y1667" i="12" s="1"/>
  <c r="V1668" i="12"/>
  <c r="W1669" i="12"/>
  <c r="X1670" i="12"/>
  <c r="U1671" i="12"/>
  <c r="Y1671" i="12" s="1"/>
  <c r="V1672" i="12"/>
  <c r="W1673" i="12"/>
  <c r="X1674" i="12"/>
  <c r="U1675" i="12"/>
  <c r="Y1675" i="12" s="1"/>
  <c r="V1676" i="12"/>
  <c r="W1677" i="12"/>
  <c r="X1678" i="12"/>
  <c r="U1679" i="12"/>
  <c r="Y1679" i="12" s="1"/>
  <c r="V1680" i="12"/>
  <c r="W1681" i="12"/>
  <c r="X1682" i="12"/>
  <c r="U1683" i="12"/>
  <c r="Y1683" i="12" s="1"/>
  <c r="W1684" i="12"/>
  <c r="V1687" i="12"/>
  <c r="V1688" i="12"/>
  <c r="V1691" i="12"/>
  <c r="V1692" i="12"/>
  <c r="V1695" i="12"/>
  <c r="V1696" i="12"/>
  <c r="V1699" i="12"/>
  <c r="V1700" i="12"/>
  <c r="V1703" i="12"/>
  <c r="V1704" i="12"/>
  <c r="V1707" i="12"/>
  <c r="V1708" i="12"/>
  <c r="V1711" i="12"/>
  <c r="V1712" i="12"/>
  <c r="V1715" i="12"/>
  <c r="V1716" i="12"/>
  <c r="U1439" i="12"/>
  <c r="V1440" i="12"/>
  <c r="W1441" i="12"/>
  <c r="X1442" i="12"/>
  <c r="U1443" i="12"/>
  <c r="V1444" i="12"/>
  <c r="W1445" i="12"/>
  <c r="X1446" i="12"/>
  <c r="U1447" i="12"/>
  <c r="V1448" i="12"/>
  <c r="W1449" i="12"/>
  <c r="X1450" i="12"/>
  <c r="U1451" i="12"/>
  <c r="V1452" i="12"/>
  <c r="Y1452" i="12" s="1"/>
  <c r="W1453" i="12"/>
  <c r="X1454" i="12"/>
  <c r="U1455" i="12"/>
  <c r="V1456" i="12"/>
  <c r="W1457" i="12"/>
  <c r="X1458" i="12"/>
  <c r="U1459" i="12"/>
  <c r="V1460" i="12"/>
  <c r="Y1460" i="12" s="1"/>
  <c r="W1461" i="12"/>
  <c r="X1462" i="12"/>
  <c r="U1463" i="12"/>
  <c r="V1464" i="12"/>
  <c r="W1465" i="12"/>
  <c r="X1466" i="12"/>
  <c r="U1467" i="12"/>
  <c r="V1468" i="12"/>
  <c r="Y1468" i="12" s="1"/>
  <c r="W1469" i="12"/>
  <c r="Y1469" i="12" s="1"/>
  <c r="X1470" i="12"/>
  <c r="U1471" i="12"/>
  <c r="V1472" i="12"/>
  <c r="W1473" i="12"/>
  <c r="X1474" i="12"/>
  <c r="U1475" i="12"/>
  <c r="V1476" i="12"/>
  <c r="W1477" i="12"/>
  <c r="X1478" i="12"/>
  <c r="U1479" i="12"/>
  <c r="V1480" i="12"/>
  <c r="W1481" i="12"/>
  <c r="X1482" i="12"/>
  <c r="U1483" i="12"/>
  <c r="V1484" i="12"/>
  <c r="W1485" i="12"/>
  <c r="X1486" i="12"/>
  <c r="U1487" i="12"/>
  <c r="V1488" i="12"/>
  <c r="W1489" i="12"/>
  <c r="X1490" i="12"/>
  <c r="U1491" i="12"/>
  <c r="V1492" i="12"/>
  <c r="W1493" i="12"/>
  <c r="X1494" i="12"/>
  <c r="U1495" i="12"/>
  <c r="V1496" i="12"/>
  <c r="W1497" i="12"/>
  <c r="X1498" i="12"/>
  <c r="U1499" i="12"/>
  <c r="V1500" i="12"/>
  <c r="W1503" i="12"/>
  <c r="Y1503" i="12" s="1"/>
  <c r="X1504" i="12"/>
  <c r="W1505" i="12"/>
  <c r="W1506" i="12"/>
  <c r="X1507" i="12"/>
  <c r="U1508" i="12"/>
  <c r="V1509" i="12"/>
  <c r="V1510" i="12"/>
  <c r="V1511" i="12"/>
  <c r="Y1511" i="12" s="1"/>
  <c r="V1512" i="12"/>
  <c r="U1513" i="12"/>
  <c r="V1514" i="12"/>
  <c r="Y1514" i="12" s="1"/>
  <c r="V1515" i="12"/>
  <c r="W1516" i="12"/>
  <c r="W1517" i="12"/>
  <c r="W1518" i="12"/>
  <c r="X1519" i="12"/>
  <c r="U1520" i="12"/>
  <c r="U1521" i="12"/>
  <c r="V1522" i="12"/>
  <c r="W1523" i="12"/>
  <c r="Y1523" i="12" s="1"/>
  <c r="X1524" i="12"/>
  <c r="W1525" i="12"/>
  <c r="W1526" i="12"/>
  <c r="X1527" i="12"/>
  <c r="Y1527" i="12" s="1"/>
  <c r="U1528" i="12"/>
  <c r="U1529" i="12"/>
  <c r="V1530" i="12"/>
  <c r="Y1530" i="12" s="1"/>
  <c r="W1531" i="12"/>
  <c r="Y1531" i="12" s="1"/>
  <c r="X1532" i="12"/>
  <c r="U1533" i="12"/>
  <c r="X1533" i="12"/>
  <c r="U1534" i="12"/>
  <c r="Y1534" i="12" s="1"/>
  <c r="X1534" i="12"/>
  <c r="U1535" i="12"/>
  <c r="V1536" i="12"/>
  <c r="V1537" i="12"/>
  <c r="Y1537" i="12" s="1"/>
  <c r="V1538" i="12"/>
  <c r="V1539" i="12"/>
  <c r="W1540" i="12"/>
  <c r="Y1540" i="12" s="1"/>
  <c r="X1541" i="12"/>
  <c r="U1542" i="12"/>
  <c r="V1543" i="12"/>
  <c r="W1544" i="12"/>
  <c r="W1545" i="12"/>
  <c r="X1546" i="12"/>
  <c r="U1547" i="12"/>
  <c r="V1548" i="12"/>
  <c r="Y1548" i="12" s="1"/>
  <c r="W1549" i="12"/>
  <c r="Y1549" i="12" s="1"/>
  <c r="X1550" i="12"/>
  <c r="U1551" i="12"/>
  <c r="V1552" i="12"/>
  <c r="Y1552" i="12" s="1"/>
  <c r="V1553" i="12"/>
  <c r="W1554" i="12"/>
  <c r="X1555" i="12"/>
  <c r="U1556" i="12"/>
  <c r="Y1556" i="12" s="1"/>
  <c r="V1557" i="12"/>
  <c r="Y1557" i="12" s="1"/>
  <c r="W1558" i="12"/>
  <c r="X1559" i="12"/>
  <c r="U1560" i="12"/>
  <c r="Y1560" i="12" s="1"/>
  <c r="U1561" i="12"/>
  <c r="Y1561" i="12" s="1"/>
  <c r="V1562" i="12"/>
  <c r="W1563" i="12"/>
  <c r="X1564" i="12"/>
  <c r="U1565" i="12"/>
  <c r="Y1565" i="12" s="1"/>
  <c r="V1566" i="12"/>
  <c r="W1567" i="12"/>
  <c r="X1568" i="12"/>
  <c r="X1569" i="12"/>
  <c r="U1570" i="12"/>
  <c r="V1571" i="12"/>
  <c r="W1572" i="12"/>
  <c r="Y1572" i="12" s="1"/>
  <c r="X1573" i="12"/>
  <c r="Y1573" i="12" s="1"/>
  <c r="U1574" i="12"/>
  <c r="V1575" i="12"/>
  <c r="W1576" i="12"/>
  <c r="Y1576" i="12" s="1"/>
  <c r="X1577" i="12"/>
  <c r="Y1577" i="12" s="1"/>
  <c r="U1578" i="12"/>
  <c r="V1579" i="12"/>
  <c r="W1580" i="12"/>
  <c r="Y1580" i="12" s="1"/>
  <c r="X1581" i="12"/>
  <c r="Y1581" i="12" s="1"/>
  <c r="U1582" i="12"/>
  <c r="V1583" i="12"/>
  <c r="W1584" i="12"/>
  <c r="Y1584" i="12" s="1"/>
  <c r="X1585" i="12"/>
  <c r="Y1585" i="12" s="1"/>
  <c r="U1586" i="12"/>
  <c r="V1587" i="12"/>
  <c r="W1588" i="12"/>
  <c r="X1589" i="12"/>
  <c r="Y1589" i="12" s="1"/>
  <c r="U1590" i="12"/>
  <c r="V1591" i="12"/>
  <c r="W1592" i="12"/>
  <c r="Y1592" i="12" s="1"/>
  <c r="W1593" i="12"/>
  <c r="Y1593" i="12" s="1"/>
  <c r="X1594" i="12"/>
  <c r="U1595" i="12"/>
  <c r="X1595" i="12"/>
  <c r="U1596" i="12"/>
  <c r="Y1596" i="12" s="1"/>
  <c r="V1597" i="12"/>
  <c r="V1598" i="12"/>
  <c r="W1600" i="12"/>
  <c r="W1601" i="12"/>
  <c r="Y1601" i="12" s="1"/>
  <c r="X1602" i="12"/>
  <c r="U1603" i="12"/>
  <c r="X1603" i="12"/>
  <c r="U1604" i="12"/>
  <c r="Y1604" i="12" s="1"/>
  <c r="V1605" i="12"/>
  <c r="V1606" i="12"/>
  <c r="W1608" i="12"/>
  <c r="Y1608" i="12" s="1"/>
  <c r="W1609" i="12"/>
  <c r="Y1609" i="12" s="1"/>
  <c r="X1610" i="12"/>
  <c r="U1611" i="12"/>
  <c r="X1611" i="12"/>
  <c r="U1612" i="12"/>
  <c r="Y1612" i="12" s="1"/>
  <c r="V1613" i="12"/>
  <c r="V1614" i="12"/>
  <c r="W1615" i="12"/>
  <c r="X1616" i="12"/>
  <c r="U1617" i="12"/>
  <c r="V1618" i="12"/>
  <c r="W1619" i="12"/>
  <c r="X1620" i="12"/>
  <c r="U1621" i="12"/>
  <c r="V1622" i="12"/>
  <c r="W1623" i="12"/>
  <c r="X1624" i="12"/>
  <c r="U1625" i="12"/>
  <c r="V1626" i="12"/>
  <c r="W1627" i="12"/>
  <c r="X1628" i="12"/>
  <c r="U1629" i="12"/>
  <c r="V1630" i="12"/>
  <c r="W1631" i="12"/>
  <c r="X1632" i="12"/>
  <c r="U1633" i="12"/>
  <c r="V1634" i="12"/>
  <c r="W1635" i="12"/>
  <c r="X1636" i="12"/>
  <c r="U1637" i="12"/>
  <c r="V1638" i="12"/>
  <c r="W1639" i="12"/>
  <c r="X1640" i="12"/>
  <c r="U1641" i="12"/>
  <c r="V1642" i="12"/>
  <c r="W1643" i="12"/>
  <c r="X1644" i="12"/>
  <c r="U1645" i="12"/>
  <c r="X1645" i="12"/>
  <c r="U1646" i="12"/>
  <c r="X1646" i="12"/>
  <c r="X1647" i="12"/>
  <c r="U1648" i="12"/>
  <c r="U1649" i="12"/>
  <c r="V1650" i="12"/>
  <c r="Y1650" i="12" s="1"/>
  <c r="V1651" i="12"/>
  <c r="W1652" i="12"/>
  <c r="X1653" i="12"/>
  <c r="Y1653" i="12" s="1"/>
  <c r="U1654" i="12"/>
  <c r="Y1654" i="12" s="1"/>
  <c r="V1655" i="12"/>
  <c r="W1656" i="12"/>
  <c r="X1657" i="12"/>
  <c r="Y1657" i="12" s="1"/>
  <c r="U1658" i="12"/>
  <c r="Y1658" i="12" s="1"/>
  <c r="V1659" i="12"/>
  <c r="W1660" i="12"/>
  <c r="X1661" i="12"/>
  <c r="U1662" i="12"/>
  <c r="Y1662" i="12" s="1"/>
  <c r="V1663" i="12"/>
  <c r="W1664" i="12"/>
  <c r="X1665" i="12"/>
  <c r="U1666" i="12"/>
  <c r="Y1666" i="12" s="1"/>
  <c r="V1667" i="12"/>
  <c r="W1668" i="12"/>
  <c r="X1669" i="12"/>
  <c r="Y1669" i="12" s="1"/>
  <c r="U1670" i="12"/>
  <c r="Y1670" i="12" s="1"/>
  <c r="V1671" i="12"/>
  <c r="W1672" i="12"/>
  <c r="X1673" i="12"/>
  <c r="Y1673" i="12" s="1"/>
  <c r="U1674" i="12"/>
  <c r="Y1674" i="12" s="1"/>
  <c r="V1675" i="12"/>
  <c r="W1676" i="12"/>
  <c r="X1677" i="12"/>
  <c r="Y1677" i="12" s="1"/>
  <c r="U1678" i="12"/>
  <c r="Y1678" i="12" s="1"/>
  <c r="V1679" i="12"/>
  <c r="W1680" i="12"/>
  <c r="X1681" i="12"/>
  <c r="U1682" i="12"/>
  <c r="Y1682" i="12" s="1"/>
  <c r="V1683" i="12"/>
  <c r="X1684" i="12"/>
  <c r="W1685" i="12"/>
  <c r="W1688" i="12"/>
  <c r="W1689" i="12"/>
  <c r="W1692" i="12"/>
  <c r="W1693" i="12"/>
  <c r="W1696" i="12"/>
  <c r="W1697" i="12"/>
  <c r="W1700" i="12"/>
  <c r="W1701" i="12"/>
  <c r="W1704" i="12"/>
  <c r="W1705" i="12"/>
  <c r="W1708" i="12"/>
  <c r="W1709" i="12"/>
  <c r="W1712" i="12"/>
  <c r="W1713" i="12"/>
  <c r="W1716" i="12"/>
  <c r="W1717" i="12"/>
  <c r="U1684" i="12"/>
  <c r="Y1684" i="12" s="1"/>
  <c r="V1685" i="12"/>
  <c r="W1686" i="12"/>
  <c r="X1687" i="12"/>
  <c r="Y1687" i="12" s="1"/>
  <c r="U1688" i="12"/>
  <c r="Y1688" i="12" s="1"/>
  <c r="V1689" i="12"/>
  <c r="W1690" i="12"/>
  <c r="X1691" i="12"/>
  <c r="U1692" i="12"/>
  <c r="Y1692" i="12" s="1"/>
  <c r="V1693" i="12"/>
  <c r="W1694" i="12"/>
  <c r="X1695" i="12"/>
  <c r="U1696" i="12"/>
  <c r="Y1696" i="12" s="1"/>
  <c r="V1697" i="12"/>
  <c r="W1698" i="12"/>
  <c r="X1699" i="12"/>
  <c r="U1700" i="12"/>
  <c r="Y1700" i="12" s="1"/>
  <c r="V1701" i="12"/>
  <c r="W1702" i="12"/>
  <c r="X1703" i="12"/>
  <c r="Y1703" i="12" s="1"/>
  <c r="U1704" i="12"/>
  <c r="Y1704" i="12" s="1"/>
  <c r="V1705" i="12"/>
  <c r="W1706" i="12"/>
  <c r="X1707" i="12"/>
  <c r="U1708" i="12"/>
  <c r="Y1708" i="12" s="1"/>
  <c r="V1709" i="12"/>
  <c r="W1710" i="12"/>
  <c r="X1711" i="12"/>
  <c r="Y1711" i="12" s="1"/>
  <c r="U1712" i="12"/>
  <c r="Y1712" i="12" s="1"/>
  <c r="V1713" i="12"/>
  <c r="W1714" i="12"/>
  <c r="X1715" i="12"/>
  <c r="U1716" i="12"/>
  <c r="Y1716" i="12" s="1"/>
  <c r="V1717" i="12"/>
  <c r="W1718" i="12"/>
  <c r="X1719" i="12"/>
  <c r="U1720" i="12"/>
  <c r="Y1720" i="12" s="1"/>
  <c r="V1721" i="12"/>
  <c r="W1722" i="12"/>
  <c r="X1723" i="12"/>
  <c r="U1724" i="12"/>
  <c r="Y1724" i="12" s="1"/>
  <c r="V1725" i="12"/>
  <c r="W1726" i="12"/>
  <c r="X1727" i="12"/>
  <c r="U1728" i="12"/>
  <c r="V1729" i="12"/>
  <c r="W1730" i="12"/>
  <c r="X1731" i="12"/>
  <c r="U1732" i="12"/>
  <c r="V1733" i="12"/>
  <c r="W1734" i="12"/>
  <c r="X1735" i="12"/>
  <c r="U1736" i="12"/>
  <c r="V1737" i="12"/>
  <c r="W1738" i="12"/>
  <c r="X1739" i="12"/>
  <c r="U1740" i="12"/>
  <c r="V1741" i="12"/>
  <c r="W1742" i="12"/>
  <c r="X1743" i="12"/>
  <c r="U1744" i="12"/>
  <c r="V1745" i="12"/>
  <c r="W1746" i="12"/>
  <c r="X1747" i="12"/>
  <c r="U1748" i="12"/>
  <c r="V1749" i="12"/>
  <c r="W1750" i="12"/>
  <c r="X1751" i="12"/>
  <c r="U1752" i="12"/>
  <c r="V1753" i="12"/>
  <c r="W1754" i="12"/>
  <c r="X1755" i="12"/>
  <c r="U1756" i="12"/>
  <c r="V1757" i="12"/>
  <c r="W1758" i="12"/>
  <c r="X1759" i="12"/>
  <c r="U1760" i="12"/>
  <c r="V1761" i="12"/>
  <c r="W1762" i="12"/>
  <c r="X1763" i="12"/>
  <c r="U1764" i="12"/>
  <c r="V1765" i="12"/>
  <c r="W1766" i="12"/>
  <c r="X1767" i="12"/>
  <c r="U1768" i="12"/>
  <c r="V1769" i="12"/>
  <c r="W1770" i="12"/>
  <c r="X1771" i="12"/>
  <c r="U1772" i="12"/>
  <c r="V1773" i="12"/>
  <c r="W1774" i="12"/>
  <c r="X1775" i="12"/>
  <c r="U1776" i="12"/>
  <c r="V1777" i="12"/>
  <c r="W1778" i="12"/>
  <c r="X1779" i="12"/>
  <c r="U1780" i="12"/>
  <c r="V1781" i="12"/>
  <c r="W1782" i="12"/>
  <c r="X1783" i="12"/>
  <c r="U1784" i="12"/>
  <c r="V1785" i="12"/>
  <c r="W1786" i="12"/>
  <c r="X1787" i="12"/>
  <c r="U1788" i="12"/>
  <c r="V1789" i="12"/>
  <c r="W1790" i="12"/>
  <c r="W1792" i="12"/>
  <c r="Y1792" i="12" s="1"/>
  <c r="W1794" i="12"/>
  <c r="W1796" i="12"/>
  <c r="X1797" i="12"/>
  <c r="X1798" i="12"/>
  <c r="U1799" i="12"/>
  <c r="Y1799" i="12" s="1"/>
  <c r="V1800" i="12"/>
  <c r="W1801" i="12"/>
  <c r="W1802" i="12"/>
  <c r="X1803" i="12"/>
  <c r="Y1803" i="12" s="1"/>
  <c r="U1804" i="12"/>
  <c r="V1805" i="12"/>
  <c r="V1806" i="12"/>
  <c r="W1807" i="12"/>
  <c r="Y1807" i="12" s="1"/>
  <c r="X1808" i="12"/>
  <c r="U1809" i="12"/>
  <c r="U1810" i="12"/>
  <c r="V1811" i="12"/>
  <c r="Y1811" i="12" s="1"/>
  <c r="W1812" i="12"/>
  <c r="X1813" i="12"/>
  <c r="X1814" i="12"/>
  <c r="U1815" i="12"/>
  <c r="Y1815" i="12" s="1"/>
  <c r="V1816" i="12"/>
  <c r="W1817" i="12"/>
  <c r="X1818" i="12"/>
  <c r="U1819" i="12"/>
  <c r="Y1819" i="12" s="1"/>
  <c r="V1820" i="12"/>
  <c r="W1821" i="12"/>
  <c r="X1822" i="12"/>
  <c r="U1823" i="12"/>
  <c r="Y1823" i="12" s="1"/>
  <c r="V1824" i="12"/>
  <c r="W1825" i="12"/>
  <c r="X1826" i="12"/>
  <c r="U1827" i="12"/>
  <c r="Y1827" i="12" s="1"/>
  <c r="V1828" i="12"/>
  <c r="W1829" i="12"/>
  <c r="X1830" i="12"/>
  <c r="U1831" i="12"/>
  <c r="Y1831" i="12" s="1"/>
  <c r="V1832" i="12"/>
  <c r="W1833" i="12"/>
  <c r="X1834" i="12"/>
  <c r="U1835" i="12"/>
  <c r="Y1835" i="12" s="1"/>
  <c r="V1836" i="12"/>
  <c r="W1837" i="12"/>
  <c r="X1838" i="12"/>
  <c r="U1839" i="12"/>
  <c r="Y1839" i="12" s="1"/>
  <c r="V1840" i="12"/>
  <c r="W1841" i="12"/>
  <c r="W1843" i="12"/>
  <c r="Y1843" i="12" s="1"/>
  <c r="W1845" i="12"/>
  <c r="Y1845" i="12" s="1"/>
  <c r="W1847" i="12"/>
  <c r="W1849" i="12"/>
  <c r="U1851" i="12"/>
  <c r="Y1851" i="12" s="1"/>
  <c r="W1853" i="12"/>
  <c r="W1854" i="12"/>
  <c r="W1855" i="12"/>
  <c r="W1856" i="12"/>
  <c r="W1857" i="12"/>
  <c r="X1858" i="12"/>
  <c r="U1859" i="12"/>
  <c r="V1860" i="12"/>
  <c r="W1861" i="12"/>
  <c r="X1862" i="12"/>
  <c r="U1863" i="12"/>
  <c r="V1864" i="12"/>
  <c r="W1865" i="12"/>
  <c r="V1867" i="12"/>
  <c r="W1869" i="12"/>
  <c r="X1870" i="12"/>
  <c r="U1871" i="12"/>
  <c r="Y1871" i="12" s="1"/>
  <c r="V1872" i="12"/>
  <c r="W1873" i="12"/>
  <c r="X1874" i="12"/>
  <c r="U1875" i="12"/>
  <c r="Y1875" i="12" s="1"/>
  <c r="V1876" i="12"/>
  <c r="W1877" i="12"/>
  <c r="X1878" i="12"/>
  <c r="U1879" i="12"/>
  <c r="Y1879" i="12" s="1"/>
  <c r="V1880" i="12"/>
  <c r="W1881" i="12"/>
  <c r="X1882" i="12"/>
  <c r="U1883" i="12"/>
  <c r="Y1883" i="12" s="1"/>
  <c r="V1884" i="12"/>
  <c r="W1885" i="12"/>
  <c r="X1886" i="12"/>
  <c r="U1887" i="12"/>
  <c r="Y1887" i="12" s="1"/>
  <c r="V1888" i="12"/>
  <c r="W1889" i="12"/>
  <c r="X1890" i="12"/>
  <c r="U1891" i="12"/>
  <c r="Y1891" i="12" s="1"/>
  <c r="V1892" i="12"/>
  <c r="W1893" i="12"/>
  <c r="X1894" i="12"/>
  <c r="U1895" i="12"/>
  <c r="Y1895" i="12" s="1"/>
  <c r="V1896" i="12"/>
  <c r="W1897" i="12"/>
  <c r="X1898" i="12"/>
  <c r="U1899" i="12"/>
  <c r="Y1899" i="12" s="1"/>
  <c r="V1900" i="12"/>
  <c r="W1901" i="12"/>
  <c r="X1902" i="12"/>
  <c r="U1903" i="12"/>
  <c r="Y1903" i="12" s="1"/>
  <c r="V1904" i="12"/>
  <c r="W1905" i="12"/>
  <c r="X1906" i="12"/>
  <c r="U1907" i="12"/>
  <c r="Y1907" i="12" s="1"/>
  <c r="V1908" i="12"/>
  <c r="W1909" i="12"/>
  <c r="X1910" i="12"/>
  <c r="U1911" i="12"/>
  <c r="Y1911" i="12" s="1"/>
  <c r="V1912" i="12"/>
  <c r="W1913" i="12"/>
  <c r="X1914" i="12"/>
  <c r="U1915" i="12"/>
  <c r="Y1915" i="12" s="1"/>
  <c r="V1916" i="12"/>
  <c r="W1917" i="12"/>
  <c r="X1918" i="12"/>
  <c r="Y1918" i="12" s="1"/>
  <c r="U1919" i="12"/>
  <c r="Y1919" i="12" s="1"/>
  <c r="V1920" i="12"/>
  <c r="W1921" i="12"/>
  <c r="V1923" i="12"/>
  <c r="V1925" i="12"/>
  <c r="V1927" i="12"/>
  <c r="V1929" i="12"/>
  <c r="V1931" i="12"/>
  <c r="V1933" i="12"/>
  <c r="V1935" i="12"/>
  <c r="V1937" i="12"/>
  <c r="V1939" i="12"/>
  <c r="X1941" i="12"/>
  <c r="W1725" i="12"/>
  <c r="X1726" i="12"/>
  <c r="U1727" i="12"/>
  <c r="V1728" i="12"/>
  <c r="W1729" i="12"/>
  <c r="X1730" i="12"/>
  <c r="U1731" i="12"/>
  <c r="V1732" i="12"/>
  <c r="W1733" i="12"/>
  <c r="X1734" i="12"/>
  <c r="U1735" i="12"/>
  <c r="V1736" i="12"/>
  <c r="W1737" i="12"/>
  <c r="X1738" i="12"/>
  <c r="U1739" i="12"/>
  <c r="V1740" i="12"/>
  <c r="W1741" i="12"/>
  <c r="X1742" i="12"/>
  <c r="U1743" i="12"/>
  <c r="V1744" i="12"/>
  <c r="W1745" i="12"/>
  <c r="X1746" i="12"/>
  <c r="U1747" i="12"/>
  <c r="V1748" i="12"/>
  <c r="W1749" i="12"/>
  <c r="X1750" i="12"/>
  <c r="U1751" i="12"/>
  <c r="V1752" i="12"/>
  <c r="W1753" i="12"/>
  <c r="X1754" i="12"/>
  <c r="U1755" i="12"/>
  <c r="V1756" i="12"/>
  <c r="W1757" i="12"/>
  <c r="X1758" i="12"/>
  <c r="U1759" i="12"/>
  <c r="V1760" i="12"/>
  <c r="W1761" i="12"/>
  <c r="X1762" i="12"/>
  <c r="U1763" i="12"/>
  <c r="V1764" i="12"/>
  <c r="W1765" i="12"/>
  <c r="X1766" i="12"/>
  <c r="U1767" i="12"/>
  <c r="V1768" i="12"/>
  <c r="W1769" i="12"/>
  <c r="X1770" i="12"/>
  <c r="U1771" i="12"/>
  <c r="V1772" i="12"/>
  <c r="W1773" i="12"/>
  <c r="X1774" i="12"/>
  <c r="U1775" i="12"/>
  <c r="V1776" i="12"/>
  <c r="W1777" i="12"/>
  <c r="X1778" i="12"/>
  <c r="U1779" i="12"/>
  <c r="V1780" i="12"/>
  <c r="W1781" i="12"/>
  <c r="X1782" i="12"/>
  <c r="U1783" i="12"/>
  <c r="V1784" i="12"/>
  <c r="W1785" i="12"/>
  <c r="X1786" i="12"/>
  <c r="U1787" i="12"/>
  <c r="V1788" i="12"/>
  <c r="W1789" i="12"/>
  <c r="X1790" i="12"/>
  <c r="U1791" i="12"/>
  <c r="X1791" i="12"/>
  <c r="U1792" i="12"/>
  <c r="X1792" i="12"/>
  <c r="U1793" i="12"/>
  <c r="X1793" i="12"/>
  <c r="Y1793" i="12" s="1"/>
  <c r="U1794" i="12"/>
  <c r="X1794" i="12"/>
  <c r="U1795" i="12"/>
  <c r="X1795" i="12"/>
  <c r="U1796" i="12"/>
  <c r="X1796" i="12"/>
  <c r="U1797" i="12"/>
  <c r="U1798" i="12"/>
  <c r="V1799" i="12"/>
  <c r="W1800" i="12"/>
  <c r="X1801" i="12"/>
  <c r="X1802" i="12"/>
  <c r="U1803" i="12"/>
  <c r="V1804" i="12"/>
  <c r="W1805" i="12"/>
  <c r="W1806" i="12"/>
  <c r="X1807" i="12"/>
  <c r="U1808" i="12"/>
  <c r="V1809" i="12"/>
  <c r="V1810" i="12"/>
  <c r="W1811" i="12"/>
  <c r="X1812" i="12"/>
  <c r="U1813" i="12"/>
  <c r="U1814" i="12"/>
  <c r="V1815" i="12"/>
  <c r="W1816" i="12"/>
  <c r="X1817" i="12"/>
  <c r="U1818" i="12"/>
  <c r="V1819" i="12"/>
  <c r="W1820" i="12"/>
  <c r="X1821" i="12"/>
  <c r="U1822" i="12"/>
  <c r="V1823" i="12"/>
  <c r="W1824" i="12"/>
  <c r="X1825" i="12"/>
  <c r="U1826" i="12"/>
  <c r="V1827" i="12"/>
  <c r="W1828" i="12"/>
  <c r="X1829" i="12"/>
  <c r="U1830" i="12"/>
  <c r="V1831" i="12"/>
  <c r="W1832" i="12"/>
  <c r="X1833" i="12"/>
  <c r="U1834" i="12"/>
  <c r="V1835" i="12"/>
  <c r="W1836" i="12"/>
  <c r="X1837" i="12"/>
  <c r="U1838" i="12"/>
  <c r="V1839" i="12"/>
  <c r="W1840" i="12"/>
  <c r="X1841" i="12"/>
  <c r="W1842" i="12"/>
  <c r="X1843" i="12"/>
  <c r="W1844" i="12"/>
  <c r="X1845" i="12"/>
  <c r="W1846" i="12"/>
  <c r="X1847" i="12"/>
  <c r="W1848" i="12"/>
  <c r="X1849" i="12"/>
  <c r="W1850" i="12"/>
  <c r="V1851" i="12"/>
  <c r="V1852" i="12"/>
  <c r="X1852" i="12"/>
  <c r="X1853" i="12"/>
  <c r="U1854" i="12"/>
  <c r="X1854" i="12"/>
  <c r="U1855" i="12"/>
  <c r="X1855" i="12"/>
  <c r="U1856" i="12"/>
  <c r="X1856" i="12"/>
  <c r="U1857" i="12"/>
  <c r="X1857" i="12"/>
  <c r="U1858" i="12"/>
  <c r="V1859" i="12"/>
  <c r="W1860" i="12"/>
  <c r="X1861" i="12"/>
  <c r="U1862" i="12"/>
  <c r="V1863" i="12"/>
  <c r="W1864" i="12"/>
  <c r="X1865" i="12"/>
  <c r="U1866" i="12"/>
  <c r="W1867" i="12"/>
  <c r="V1868" i="12"/>
  <c r="X1869" i="12"/>
  <c r="U1870" i="12"/>
  <c r="V1871" i="12"/>
  <c r="W1872" i="12"/>
  <c r="X1873" i="12"/>
  <c r="U1874" i="12"/>
  <c r="V1875" i="12"/>
  <c r="W1876" i="12"/>
  <c r="X1877" i="12"/>
  <c r="U1878" i="12"/>
  <c r="V1879" i="12"/>
  <c r="W1880" i="12"/>
  <c r="X1881" i="12"/>
  <c r="U1882" i="12"/>
  <c r="V1883" i="12"/>
  <c r="W1884" i="12"/>
  <c r="X1885" i="12"/>
  <c r="U1886" i="12"/>
  <c r="V1887" i="12"/>
  <c r="W1888" i="12"/>
  <c r="X1889" i="12"/>
  <c r="U1890" i="12"/>
  <c r="V1891" i="12"/>
  <c r="W1892" i="12"/>
  <c r="X1893" i="12"/>
  <c r="U1894" i="12"/>
  <c r="V1895" i="12"/>
  <c r="W1896" i="12"/>
  <c r="X1897" i="12"/>
  <c r="U1898" i="12"/>
  <c r="V1899" i="12"/>
  <c r="W1900" i="12"/>
  <c r="X1901" i="12"/>
  <c r="U1902" i="12"/>
  <c r="V1903" i="12"/>
  <c r="W1904" i="12"/>
  <c r="X1905" i="12"/>
  <c r="U1906" i="12"/>
  <c r="V1907" i="12"/>
  <c r="W1908" i="12"/>
  <c r="X1909" i="12"/>
  <c r="U1910" i="12"/>
  <c r="V1911" i="12"/>
  <c r="W1912" i="12"/>
  <c r="X1913" i="12"/>
  <c r="U1914" i="12"/>
  <c r="V1915" i="12"/>
  <c r="W1916" i="12"/>
  <c r="X1917" i="12"/>
  <c r="U1918" i="12"/>
  <c r="V1919" i="12"/>
  <c r="W1920" i="12"/>
  <c r="X1921" i="12"/>
  <c r="U1922" i="12"/>
  <c r="X1923" i="12"/>
  <c r="U1924" i="12"/>
  <c r="X1925" i="12"/>
  <c r="U1926" i="12"/>
  <c r="X1927" i="12"/>
  <c r="U1928" i="12"/>
  <c r="X1929" i="12"/>
  <c r="U1930" i="12"/>
  <c r="X1931" i="12"/>
  <c r="U1932" i="12"/>
  <c r="X1933" i="12"/>
  <c r="U1934" i="12"/>
  <c r="X1935" i="12"/>
  <c r="U1936" i="12"/>
  <c r="X1937" i="12"/>
  <c r="U1938" i="12"/>
  <c r="X1939" i="12"/>
  <c r="U1940" i="12"/>
  <c r="V1719" i="12"/>
  <c r="Y1719" i="12" s="1"/>
  <c r="W1720" i="12"/>
  <c r="X1721" i="12"/>
  <c r="U1722" i="12"/>
  <c r="V1723" i="12"/>
  <c r="Y1723" i="12" s="1"/>
  <c r="W1724" i="12"/>
  <c r="X1725" i="12"/>
  <c r="U1726" i="12"/>
  <c r="V1727" i="12"/>
  <c r="Y1727" i="12" s="1"/>
  <c r="W1728" i="12"/>
  <c r="X1729" i="12"/>
  <c r="U1730" i="12"/>
  <c r="V1731" i="12"/>
  <c r="Y1731" i="12" s="1"/>
  <c r="W1732" i="12"/>
  <c r="X1733" i="12"/>
  <c r="U1734" i="12"/>
  <c r="V1735" i="12"/>
  <c r="Y1735" i="12" s="1"/>
  <c r="W1736" i="12"/>
  <c r="X1737" i="12"/>
  <c r="U1738" i="12"/>
  <c r="V1739" i="12"/>
  <c r="Y1739" i="12" s="1"/>
  <c r="W1740" i="12"/>
  <c r="X1741" i="12"/>
  <c r="U1742" i="12"/>
  <c r="V1743" i="12"/>
  <c r="Y1743" i="12" s="1"/>
  <c r="W1744" i="12"/>
  <c r="X1745" i="12"/>
  <c r="U1746" i="12"/>
  <c r="V1747" i="12"/>
  <c r="W1748" i="12"/>
  <c r="X1749" i="12"/>
  <c r="U1750" i="12"/>
  <c r="V1751" i="12"/>
  <c r="Y1751" i="12" s="1"/>
  <c r="W1752" i="12"/>
  <c r="X1753" i="12"/>
  <c r="U1754" i="12"/>
  <c r="V1755" i="12"/>
  <c r="Y1755" i="12" s="1"/>
  <c r="W1756" i="12"/>
  <c r="X1757" i="12"/>
  <c r="U1758" i="12"/>
  <c r="V1759" i="12"/>
  <c r="Y1759" i="12" s="1"/>
  <c r="W1760" i="12"/>
  <c r="X1761" i="12"/>
  <c r="U1762" i="12"/>
  <c r="V1763" i="12"/>
  <c r="W1764" i="12"/>
  <c r="X1765" i="12"/>
  <c r="U1766" i="12"/>
  <c r="V1767" i="12"/>
  <c r="Y1767" i="12" s="1"/>
  <c r="W1768" i="12"/>
  <c r="X1769" i="12"/>
  <c r="U1770" i="12"/>
  <c r="V1771" i="12"/>
  <c r="Y1771" i="12" s="1"/>
  <c r="W1772" i="12"/>
  <c r="X1773" i="12"/>
  <c r="U1774" i="12"/>
  <c r="V1775" i="12"/>
  <c r="Y1775" i="12" s="1"/>
  <c r="W1776" i="12"/>
  <c r="X1777" i="12"/>
  <c r="U1778" i="12"/>
  <c r="V1779" i="12"/>
  <c r="Y1779" i="12" s="1"/>
  <c r="W1780" i="12"/>
  <c r="X1781" i="12"/>
  <c r="U1782" i="12"/>
  <c r="V1783" i="12"/>
  <c r="Y1783" i="12" s="1"/>
  <c r="W1784" i="12"/>
  <c r="X1785" i="12"/>
  <c r="U1786" i="12"/>
  <c r="V1787" i="12"/>
  <c r="Y1787" i="12" s="1"/>
  <c r="W1788" i="12"/>
  <c r="X1789" i="12"/>
  <c r="U1790" i="12"/>
  <c r="V1791" i="12"/>
  <c r="Y1791" i="12" s="1"/>
  <c r="V1793" i="12"/>
  <c r="V1795" i="12"/>
  <c r="V1797" i="12"/>
  <c r="V1798" i="12"/>
  <c r="W1799" i="12"/>
  <c r="X1800" i="12"/>
  <c r="U1801" i="12"/>
  <c r="U1802" i="12"/>
  <c r="V1803" i="12"/>
  <c r="W1804" i="12"/>
  <c r="X1805" i="12"/>
  <c r="X1806" i="12"/>
  <c r="U1807" i="12"/>
  <c r="V1808" i="12"/>
  <c r="W1809" i="12"/>
  <c r="W1810" i="12"/>
  <c r="X1811" i="12"/>
  <c r="U1812" i="12"/>
  <c r="V1813" i="12"/>
  <c r="V1814" i="12"/>
  <c r="W1815" i="12"/>
  <c r="X1816" i="12"/>
  <c r="U1817" i="12"/>
  <c r="V1818" i="12"/>
  <c r="W1819" i="12"/>
  <c r="X1820" i="12"/>
  <c r="U1821" i="12"/>
  <c r="V1822" i="12"/>
  <c r="W1823" i="12"/>
  <c r="X1824" i="12"/>
  <c r="U1825" i="12"/>
  <c r="V1826" i="12"/>
  <c r="W1827" i="12"/>
  <c r="X1828" i="12"/>
  <c r="U1829" i="12"/>
  <c r="V1830" i="12"/>
  <c r="W1831" i="12"/>
  <c r="X1832" i="12"/>
  <c r="U1833" i="12"/>
  <c r="V1834" i="12"/>
  <c r="W1835" i="12"/>
  <c r="X1836" i="12"/>
  <c r="U1837" i="12"/>
  <c r="V1838" i="12"/>
  <c r="W1839" i="12"/>
  <c r="X1840" i="12"/>
  <c r="U1841" i="12"/>
  <c r="U1842" i="12"/>
  <c r="X1842" i="12"/>
  <c r="U1843" i="12"/>
  <c r="U1844" i="12"/>
  <c r="X1844" i="12"/>
  <c r="Y1844" i="12" s="1"/>
  <c r="U1845" i="12"/>
  <c r="U1846" i="12"/>
  <c r="X1846" i="12"/>
  <c r="U1847" i="12"/>
  <c r="Y1847" i="12" s="1"/>
  <c r="U1848" i="12"/>
  <c r="X1848" i="12"/>
  <c r="U1849" i="12"/>
  <c r="U1850" i="12"/>
  <c r="W1851" i="12"/>
  <c r="U1853" i="12"/>
  <c r="V1854" i="12"/>
  <c r="V1855" i="12"/>
  <c r="Y1855" i="12" s="1"/>
  <c r="V1856" i="12"/>
  <c r="V1857" i="12"/>
  <c r="V1858" i="12"/>
  <c r="Y1858" i="12" s="1"/>
  <c r="W1859" i="12"/>
  <c r="X1860" i="12"/>
  <c r="U1861" i="12"/>
  <c r="V1862" i="12"/>
  <c r="Y1862" i="12" s="1"/>
  <c r="W1863" i="12"/>
  <c r="X1864" i="12"/>
  <c r="U1865" i="12"/>
  <c r="V1866" i="12"/>
  <c r="W1868" i="12"/>
  <c r="V1870" i="12"/>
  <c r="W1871" i="12"/>
  <c r="X1872" i="12"/>
  <c r="U1873" i="12"/>
  <c r="Y1873" i="12" s="1"/>
  <c r="V1874" i="12"/>
  <c r="W1875" i="12"/>
  <c r="X1876" i="12"/>
  <c r="U1877" i="12"/>
  <c r="Y1877" i="12" s="1"/>
  <c r="V1878" i="12"/>
  <c r="W1879" i="12"/>
  <c r="X1880" i="12"/>
  <c r="U1881" i="12"/>
  <c r="Y1881" i="12" s="1"/>
  <c r="V1882" i="12"/>
  <c r="W1883" i="12"/>
  <c r="X1884" i="12"/>
  <c r="U1885" i="12"/>
  <c r="Y1885" i="12" s="1"/>
  <c r="V1886" i="12"/>
  <c r="W1887" i="12"/>
  <c r="X1888" i="12"/>
  <c r="U1889" i="12"/>
  <c r="Y1889" i="12" s="1"/>
  <c r="V1890" i="12"/>
  <c r="W1891" i="12"/>
  <c r="X1892" i="12"/>
  <c r="U1893" i="12"/>
  <c r="Y1893" i="12" s="1"/>
  <c r="V1894" i="12"/>
  <c r="W1895" i="12"/>
  <c r="X1896" i="12"/>
  <c r="U1897" i="12"/>
  <c r="Y1897" i="12" s="1"/>
  <c r="V1898" i="12"/>
  <c r="W1899" i="12"/>
  <c r="X1900" i="12"/>
  <c r="U1901" i="12"/>
  <c r="Y1901" i="12" s="1"/>
  <c r="V1902" i="12"/>
  <c r="W1903" i="12"/>
  <c r="X1904" i="12"/>
  <c r="U1905" i="12"/>
  <c r="Y1905" i="12" s="1"/>
  <c r="V1906" i="12"/>
  <c r="W1907" i="12"/>
  <c r="X1908" i="12"/>
  <c r="U1909" i="12"/>
  <c r="Y1909" i="12" s="1"/>
  <c r="V1910" i="12"/>
  <c r="W1911" i="12"/>
  <c r="X1912" i="12"/>
  <c r="U1913" i="12"/>
  <c r="Y1913" i="12" s="1"/>
  <c r="V1914" i="12"/>
  <c r="W1915" i="12"/>
  <c r="X1916" i="12"/>
  <c r="U1917" i="12"/>
  <c r="Y1917" i="12" s="1"/>
  <c r="V1918" i="12"/>
  <c r="W1919" i="12"/>
  <c r="X1920" i="12"/>
  <c r="U1921" i="12"/>
  <c r="Y1921" i="12" s="1"/>
  <c r="V1922" i="12"/>
  <c r="V1924" i="12"/>
  <c r="V1926" i="12"/>
  <c r="V1928" i="12"/>
  <c r="V1930" i="12"/>
  <c r="V1932" i="12"/>
  <c r="V1934" i="12"/>
  <c r="Y1934" i="12" s="1"/>
  <c r="V1936" i="12"/>
  <c r="V1938" i="12"/>
  <c r="V1940" i="12"/>
  <c r="U1685" i="12"/>
  <c r="V1686" i="12"/>
  <c r="Y1686" i="12" s="1"/>
  <c r="W1687" i="12"/>
  <c r="X1688" i="12"/>
  <c r="U1689" i="12"/>
  <c r="Y1689" i="12" s="1"/>
  <c r="V1690" i="12"/>
  <c r="Y1690" i="12" s="1"/>
  <c r="W1691" i="12"/>
  <c r="X1692" i="12"/>
  <c r="U1693" i="12"/>
  <c r="V1694" i="12"/>
  <c r="Y1694" i="12" s="1"/>
  <c r="W1695" i="12"/>
  <c r="X1696" i="12"/>
  <c r="U1697" i="12"/>
  <c r="V1698" i="12"/>
  <c r="Y1698" i="12" s="1"/>
  <c r="W1699" i="12"/>
  <c r="X1700" i="12"/>
  <c r="U1701" i="12"/>
  <c r="V1702" i="12"/>
  <c r="Y1702" i="12" s="1"/>
  <c r="W1703" i="12"/>
  <c r="X1704" i="12"/>
  <c r="U1705" i="12"/>
  <c r="Y1705" i="12" s="1"/>
  <c r="V1706" i="12"/>
  <c r="Y1706" i="12" s="1"/>
  <c r="W1707" i="12"/>
  <c r="X1708" i="12"/>
  <c r="U1709" i="12"/>
  <c r="V1710" i="12"/>
  <c r="Y1710" i="12" s="1"/>
  <c r="W1711" i="12"/>
  <c r="X1712" i="12"/>
  <c r="U1713" i="12"/>
  <c r="Y1713" i="12" s="1"/>
  <c r="V1714" i="12"/>
  <c r="Y1714" i="12" s="1"/>
  <c r="W1715" i="12"/>
  <c r="X1716" i="12"/>
  <c r="U1717" i="12"/>
  <c r="V1718" i="12"/>
  <c r="Y1718" i="12" s="1"/>
  <c r="W1719" i="12"/>
  <c r="X1720" i="12"/>
  <c r="U1721" i="12"/>
  <c r="V1722" i="12"/>
  <c r="Y1722" i="12" s="1"/>
  <c r="W1723" i="12"/>
  <c r="X1724" i="12"/>
  <c r="U1725" i="12"/>
  <c r="Y1725" i="12" s="1"/>
  <c r="V1726" i="12"/>
  <c r="Y1726" i="12" s="1"/>
  <c r="W1727" i="12"/>
  <c r="X1728" i="12"/>
  <c r="U1729" i="12"/>
  <c r="Y1729" i="12" s="1"/>
  <c r="V1730" i="12"/>
  <c r="Y1730" i="12" s="1"/>
  <c r="W1731" i="12"/>
  <c r="X1732" i="12"/>
  <c r="U1733" i="12"/>
  <c r="Y1733" i="12" s="1"/>
  <c r="V1734" i="12"/>
  <c r="Y1734" i="12" s="1"/>
  <c r="W1735" i="12"/>
  <c r="X1736" i="12"/>
  <c r="U1737" i="12"/>
  <c r="Y1737" i="12" s="1"/>
  <c r="V1738" i="12"/>
  <c r="Y1738" i="12" s="1"/>
  <c r="W1739" i="12"/>
  <c r="X1740" i="12"/>
  <c r="U1741" i="12"/>
  <c r="Y1741" i="12" s="1"/>
  <c r="V1742" i="12"/>
  <c r="Y1742" i="12" s="1"/>
  <c r="W1743" i="12"/>
  <c r="X1744" i="12"/>
  <c r="U1745" i="12"/>
  <c r="Y1745" i="12" s="1"/>
  <c r="V1746" i="12"/>
  <c r="Y1746" i="12" s="1"/>
  <c r="W1747" i="12"/>
  <c r="X1748" i="12"/>
  <c r="U1749" i="12"/>
  <c r="Y1749" i="12" s="1"/>
  <c r="V1750" i="12"/>
  <c r="Y1750" i="12" s="1"/>
  <c r="W1751" i="12"/>
  <c r="X1752" i="12"/>
  <c r="U1753" i="12"/>
  <c r="Y1753" i="12" s="1"/>
  <c r="V1754" i="12"/>
  <c r="Y1754" i="12" s="1"/>
  <c r="W1755" i="12"/>
  <c r="X1756" i="12"/>
  <c r="U1757" i="12"/>
  <c r="Y1757" i="12" s="1"/>
  <c r="V1758" i="12"/>
  <c r="W1759" i="12"/>
  <c r="X1760" i="12"/>
  <c r="U1761" i="12"/>
  <c r="Y1761" i="12" s="1"/>
  <c r="V1762" i="12"/>
  <c r="Y1762" i="12" s="1"/>
  <c r="W1763" i="12"/>
  <c r="X1764" i="12"/>
  <c r="U1765" i="12"/>
  <c r="Y1765" i="12" s="1"/>
  <c r="V1766" i="12"/>
  <c r="Y1766" i="12" s="1"/>
  <c r="W1767" i="12"/>
  <c r="X1768" i="12"/>
  <c r="U1769" i="12"/>
  <c r="Y1769" i="12" s="1"/>
  <c r="V1770" i="12"/>
  <c r="Y1770" i="12" s="1"/>
  <c r="W1771" i="12"/>
  <c r="X1772" i="12"/>
  <c r="U1773" i="12"/>
  <c r="Y1773" i="12" s="1"/>
  <c r="V1774" i="12"/>
  <c r="W1775" i="12"/>
  <c r="X1776" i="12"/>
  <c r="U1777" i="12"/>
  <c r="Y1777" i="12" s="1"/>
  <c r="V1778" i="12"/>
  <c r="Y1778" i="12" s="1"/>
  <c r="W1779" i="12"/>
  <c r="X1780" i="12"/>
  <c r="U1781" i="12"/>
  <c r="Y1781" i="12" s="1"/>
  <c r="V1782" i="12"/>
  <c r="Y1782" i="12" s="1"/>
  <c r="W1783" i="12"/>
  <c r="X1784" i="12"/>
  <c r="U1785" i="12"/>
  <c r="Y1785" i="12" s="1"/>
  <c r="V1786" i="12"/>
  <c r="Y1786" i="12" s="1"/>
  <c r="W1787" i="12"/>
  <c r="X1788" i="12"/>
  <c r="U1789" i="12"/>
  <c r="V1790" i="12"/>
  <c r="Y1790" i="12" s="1"/>
  <c r="W1791" i="12"/>
  <c r="V1792" i="12"/>
  <c r="W1793" i="12"/>
  <c r="V1794" i="12"/>
  <c r="W1795" i="12"/>
  <c r="V1796" i="12"/>
  <c r="W1797" i="12"/>
  <c r="W1798" i="12"/>
  <c r="X1799" i="12"/>
  <c r="U1800" i="12"/>
  <c r="V1801" i="12"/>
  <c r="V1802" i="12"/>
  <c r="W1803" i="12"/>
  <c r="X1804" i="12"/>
  <c r="U1805" i="12"/>
  <c r="Y1805" i="12" s="1"/>
  <c r="U1806" i="12"/>
  <c r="Y1806" i="12" s="1"/>
  <c r="V1807" i="12"/>
  <c r="W1808" i="12"/>
  <c r="X1809" i="12"/>
  <c r="Y1809" i="12" s="1"/>
  <c r="X1810" i="12"/>
  <c r="U1811" i="12"/>
  <c r="V1812" i="12"/>
  <c r="W1813" i="12"/>
  <c r="Y1813" i="12" s="1"/>
  <c r="W1814" i="12"/>
  <c r="X1815" i="12"/>
  <c r="U1816" i="12"/>
  <c r="Y1816" i="12" s="1"/>
  <c r="V1817" i="12"/>
  <c r="W1818" i="12"/>
  <c r="X1819" i="12"/>
  <c r="U1820" i="12"/>
  <c r="V1821" i="12"/>
  <c r="Y1821" i="12" s="1"/>
  <c r="W1822" i="12"/>
  <c r="X1823" i="12"/>
  <c r="U1824" i="12"/>
  <c r="V1825" i="12"/>
  <c r="W1826" i="12"/>
  <c r="X1827" i="12"/>
  <c r="U1828" i="12"/>
  <c r="V1829" i="12"/>
  <c r="W1830" i="12"/>
  <c r="X1831" i="12"/>
  <c r="U1832" i="12"/>
  <c r="Y1832" i="12" s="1"/>
  <c r="V1833" i="12"/>
  <c r="W1834" i="12"/>
  <c r="X1835" i="12"/>
  <c r="U1836" i="12"/>
  <c r="V1837" i="12"/>
  <c r="W1838" i="12"/>
  <c r="X1839" i="12"/>
  <c r="U1840" i="12"/>
  <c r="V1841" i="12"/>
  <c r="Y1841" i="12" s="1"/>
  <c r="V1842" i="12"/>
  <c r="V1843" i="12"/>
  <c r="V1844" i="12"/>
  <c r="V1845" i="12"/>
  <c r="V1846" i="12"/>
  <c r="V1847" i="12"/>
  <c r="V1848" i="12"/>
  <c r="V1849" i="12"/>
  <c r="V1850" i="12"/>
  <c r="X1850" i="12"/>
  <c r="X1851" i="12"/>
  <c r="U1852" i="12"/>
  <c r="W1852" i="12"/>
  <c r="V1853" i="12"/>
  <c r="W1858" i="12"/>
  <c r="X1859" i="12"/>
  <c r="U1860" i="12"/>
  <c r="Y1860" i="12" s="1"/>
  <c r="V1861" i="12"/>
  <c r="W1862" i="12"/>
  <c r="X1863" i="12"/>
  <c r="U1864" i="12"/>
  <c r="Y1864" i="12" s="1"/>
  <c r="V1865" i="12"/>
  <c r="X1866" i="12"/>
  <c r="U1867" i="12"/>
  <c r="X1868" i="12"/>
  <c r="U1869" i="12"/>
  <c r="W1870" i="12"/>
  <c r="X1871" i="12"/>
  <c r="U1872" i="12"/>
  <c r="Y1872" i="12" s="1"/>
  <c r="V1873" i="12"/>
  <c r="W1874" i="12"/>
  <c r="X1875" i="12"/>
  <c r="U1876" i="12"/>
  <c r="Y1876" i="12" s="1"/>
  <c r="V1877" i="12"/>
  <c r="W1878" i="12"/>
  <c r="X1879" i="12"/>
  <c r="U1880" i="12"/>
  <c r="Y1880" i="12" s="1"/>
  <c r="V1881" i="12"/>
  <c r="W1882" i="12"/>
  <c r="X1883" i="12"/>
  <c r="U1884" i="12"/>
  <c r="Y1884" i="12" s="1"/>
  <c r="V1885" i="12"/>
  <c r="W1886" i="12"/>
  <c r="X1887" i="12"/>
  <c r="U1888" i="12"/>
  <c r="Y1888" i="12" s="1"/>
  <c r="V1889" i="12"/>
  <c r="W1890" i="12"/>
  <c r="X1891" i="12"/>
  <c r="U1892" i="12"/>
  <c r="Y1892" i="12" s="1"/>
  <c r="V1893" i="12"/>
  <c r="W1894" i="12"/>
  <c r="X1895" i="12"/>
  <c r="U1896" i="12"/>
  <c r="Y1896" i="12" s="1"/>
  <c r="V1897" i="12"/>
  <c r="W1898" i="12"/>
  <c r="X1899" i="12"/>
  <c r="U1900" i="12"/>
  <c r="Y1900" i="12" s="1"/>
  <c r="V1901" i="12"/>
  <c r="W1902" i="12"/>
  <c r="X1903" i="12"/>
  <c r="U1904" i="12"/>
  <c r="Y1904" i="12" s="1"/>
  <c r="V1905" i="12"/>
  <c r="W1906" i="12"/>
  <c r="X1907" i="12"/>
  <c r="U1908" i="12"/>
  <c r="Y1908" i="12" s="1"/>
  <c r="V1909" i="12"/>
  <c r="W1910" i="12"/>
  <c r="X1911" i="12"/>
  <c r="U1912" i="12"/>
  <c r="Y1912" i="12" s="1"/>
  <c r="V1913" i="12"/>
  <c r="W1914" i="12"/>
  <c r="X1915" i="12"/>
  <c r="U1916" i="12"/>
  <c r="Y1916" i="12" s="1"/>
  <c r="V1917" i="12"/>
  <c r="W1918" i="12"/>
  <c r="X1919" i="12"/>
  <c r="U1920" i="12"/>
  <c r="Y1920" i="12" s="1"/>
  <c r="V1921" i="12"/>
  <c r="X1922" i="12"/>
  <c r="U1923" i="12"/>
  <c r="X1924" i="12"/>
  <c r="Y1924" i="12" s="1"/>
  <c r="U1925" i="12"/>
  <c r="X1926" i="12"/>
  <c r="U1927" i="12"/>
  <c r="Y1927" i="12" s="1"/>
  <c r="X1928" i="12"/>
  <c r="U1929" i="12"/>
  <c r="X1930" i="12"/>
  <c r="U1931" i="12"/>
  <c r="Y1931" i="12" s="1"/>
  <c r="X1932" i="12"/>
  <c r="Y1932" i="12" s="1"/>
  <c r="U1933" i="12"/>
  <c r="X1934" i="12"/>
  <c r="U1935" i="12"/>
  <c r="Y1935" i="12" s="1"/>
  <c r="X1936" i="12"/>
  <c r="U1937" i="12"/>
  <c r="X1938" i="12"/>
  <c r="U1939" i="12"/>
  <c r="X1940" i="12"/>
  <c r="Y1940" i="12" s="1"/>
  <c r="U1941" i="12"/>
  <c r="V1941" i="12"/>
  <c r="V1942" i="12"/>
  <c r="V1943" i="12"/>
  <c r="V1944" i="12"/>
  <c r="V1945" i="12"/>
  <c r="V1946" i="12"/>
  <c r="V1947" i="12"/>
  <c r="V1948" i="12"/>
  <c r="V1949" i="12"/>
  <c r="V1950" i="12"/>
  <c r="V1951" i="12"/>
  <c r="V1952" i="12"/>
  <c r="V1953" i="12"/>
  <c r="V1954" i="12"/>
  <c r="V1955" i="12"/>
  <c r="V1956" i="12"/>
  <c r="V1957" i="12"/>
  <c r="U1958" i="12"/>
  <c r="V1959" i="12"/>
  <c r="V1960" i="12"/>
  <c r="W1961" i="12"/>
  <c r="W1962" i="12"/>
  <c r="W1963" i="12"/>
  <c r="Y1963" i="12" s="1"/>
  <c r="W1964" i="12"/>
  <c r="W1965" i="12"/>
  <c r="W1966" i="12"/>
  <c r="X1967" i="12"/>
  <c r="U1968" i="12"/>
  <c r="V1969" i="12"/>
  <c r="W1970" i="12"/>
  <c r="X1971" i="12"/>
  <c r="U1972" i="12"/>
  <c r="X1972" i="12"/>
  <c r="U1973" i="12"/>
  <c r="V1974" i="12"/>
  <c r="W1975" i="12"/>
  <c r="W1976" i="12"/>
  <c r="X1977" i="12"/>
  <c r="U1978" i="12"/>
  <c r="X1978" i="12"/>
  <c r="U1979" i="12"/>
  <c r="V1980" i="12"/>
  <c r="V1981" i="12"/>
  <c r="Y1981" i="12" s="1"/>
  <c r="W1983" i="12"/>
  <c r="W1984" i="12"/>
  <c r="X1985" i="12"/>
  <c r="U1986" i="12"/>
  <c r="X1986" i="12"/>
  <c r="U1987" i="12"/>
  <c r="V1988" i="12"/>
  <c r="V1989" i="12"/>
  <c r="Y1989" i="12" s="1"/>
  <c r="W1991" i="12"/>
  <c r="W1992" i="12"/>
  <c r="X1993" i="12"/>
  <c r="U1994" i="12"/>
  <c r="X1994" i="12"/>
  <c r="U1995" i="12"/>
  <c r="V1996" i="12"/>
  <c r="V1997" i="12"/>
  <c r="Y1997" i="12" s="1"/>
  <c r="W1999" i="12"/>
  <c r="W2000" i="12"/>
  <c r="X2001" i="12"/>
  <c r="U2002" i="12"/>
  <c r="X2002" i="12"/>
  <c r="U2003" i="12"/>
  <c r="V2004" i="12"/>
  <c r="W2005" i="12"/>
  <c r="X2006" i="12"/>
  <c r="U2007" i="12"/>
  <c r="V2008" i="12"/>
  <c r="V2009" i="12"/>
  <c r="Y2009" i="12" s="1"/>
  <c r="W2011" i="12"/>
  <c r="X2012" i="12"/>
  <c r="U2013" i="12"/>
  <c r="V2014" i="12"/>
  <c r="W2015" i="12"/>
  <c r="W2016" i="12"/>
  <c r="X2017" i="12"/>
  <c r="U2018" i="12"/>
  <c r="X2018" i="12"/>
  <c r="U2019" i="12"/>
  <c r="V2020" i="12"/>
  <c r="W2021" i="12"/>
  <c r="X2022" i="12"/>
  <c r="U2023" i="12"/>
  <c r="V2024" i="12"/>
  <c r="V2025" i="12"/>
  <c r="Y2025" i="12" s="1"/>
  <c r="W2027" i="12"/>
  <c r="X2028" i="12"/>
  <c r="U2029" i="12"/>
  <c r="V2030" i="12"/>
  <c r="W2031" i="12"/>
  <c r="W2032" i="12"/>
  <c r="X2033" i="12"/>
  <c r="U2034" i="12"/>
  <c r="X2034" i="12"/>
  <c r="U2035" i="12"/>
  <c r="V2036" i="12"/>
  <c r="W2037" i="12"/>
  <c r="V2039" i="12"/>
  <c r="X2040" i="12"/>
  <c r="U2041" i="12"/>
  <c r="W2042" i="12"/>
  <c r="V2043" i="12"/>
  <c r="W2044" i="12"/>
  <c r="V2046" i="12"/>
  <c r="W2048" i="12"/>
  <c r="Y2048" i="12" s="1"/>
  <c r="V2050" i="12"/>
  <c r="W2052" i="12"/>
  <c r="V2054" i="12"/>
  <c r="W2056" i="12"/>
  <c r="V2058" i="12"/>
  <c r="V2059" i="12"/>
  <c r="V2062" i="12"/>
  <c r="W2063" i="12"/>
  <c r="X2064" i="12"/>
  <c r="U2065" i="12"/>
  <c r="V2066" i="12"/>
  <c r="W2067" i="12"/>
  <c r="X2068" i="12"/>
  <c r="U2069" i="12"/>
  <c r="V2070" i="12"/>
  <c r="W2071" i="12"/>
  <c r="X2072" i="12"/>
  <c r="U2073" i="12"/>
  <c r="V2074" i="12"/>
  <c r="W2075" i="12"/>
  <c r="X2076" i="12"/>
  <c r="U2077" i="12"/>
  <c r="V2078" i="12"/>
  <c r="W2079" i="12"/>
  <c r="X2080" i="12"/>
  <c r="U2081" i="12"/>
  <c r="V2082" i="12"/>
  <c r="W2083" i="12"/>
  <c r="X2084" i="12"/>
  <c r="U2085" i="12"/>
  <c r="V2086" i="12"/>
  <c r="W2087" i="12"/>
  <c r="X2088" i="12"/>
  <c r="U2089" i="12"/>
  <c r="V2090" i="12"/>
  <c r="W2091" i="12"/>
  <c r="X2092" i="12"/>
  <c r="U2093" i="12"/>
  <c r="W1866" i="12"/>
  <c r="Y1866" i="12" s="1"/>
  <c r="X1867" i="12"/>
  <c r="U1868" i="12"/>
  <c r="V1869" i="12"/>
  <c r="V1958" i="12"/>
  <c r="W1959" i="12"/>
  <c r="W1960" i="12"/>
  <c r="X1961" i="12"/>
  <c r="U1962" i="12"/>
  <c r="X1962" i="12"/>
  <c r="Y1962" i="12" s="1"/>
  <c r="U1963" i="12"/>
  <c r="X1963" i="12"/>
  <c r="U1964" i="12"/>
  <c r="X1964" i="12"/>
  <c r="Y1964" i="12" s="1"/>
  <c r="U1965" i="12"/>
  <c r="X1965" i="12"/>
  <c r="X1966" i="12"/>
  <c r="U1967" i="12"/>
  <c r="Y1967" i="12" s="1"/>
  <c r="V1968" i="12"/>
  <c r="W1969" i="12"/>
  <c r="X1970" i="12"/>
  <c r="U1971" i="12"/>
  <c r="Y1971" i="12" s="1"/>
  <c r="V1972" i="12"/>
  <c r="V1973" i="12"/>
  <c r="W1974" i="12"/>
  <c r="X1975" i="12"/>
  <c r="Y1975" i="12" s="1"/>
  <c r="U1976" i="12"/>
  <c r="X1976" i="12"/>
  <c r="U1977" i="12"/>
  <c r="V1978" i="12"/>
  <c r="V1979" i="12"/>
  <c r="W1981" i="12"/>
  <c r="W1982" i="12"/>
  <c r="X1983" i="12"/>
  <c r="Y1983" i="12" s="1"/>
  <c r="U1984" i="12"/>
  <c r="X1984" i="12"/>
  <c r="U1985" i="12"/>
  <c r="V1986" i="12"/>
  <c r="V1987" i="12"/>
  <c r="W1989" i="12"/>
  <c r="W1990" i="12"/>
  <c r="X1991" i="12"/>
  <c r="Y1991" i="12" s="1"/>
  <c r="U1992" i="12"/>
  <c r="X1992" i="12"/>
  <c r="U1993" i="12"/>
  <c r="V1994" i="12"/>
  <c r="V1995" i="12"/>
  <c r="W1997" i="12"/>
  <c r="W1998" i="12"/>
  <c r="X1999" i="12"/>
  <c r="Y1999" i="12" s="1"/>
  <c r="U2000" i="12"/>
  <c r="X2000" i="12"/>
  <c r="U2001" i="12"/>
  <c r="V2002" i="12"/>
  <c r="V2003" i="12"/>
  <c r="W2004" i="12"/>
  <c r="X2005" i="12"/>
  <c r="U2006" i="12"/>
  <c r="Y2006" i="12" s="1"/>
  <c r="V2007" i="12"/>
  <c r="W2009" i="12"/>
  <c r="W2010" i="12"/>
  <c r="X2011" i="12"/>
  <c r="Y2011" i="12" s="1"/>
  <c r="U2012" i="12"/>
  <c r="V2013" i="12"/>
  <c r="W2014" i="12"/>
  <c r="X2015" i="12"/>
  <c r="Y2015" i="12" s="1"/>
  <c r="U2016" i="12"/>
  <c r="X2016" i="12"/>
  <c r="U2017" i="12"/>
  <c r="V2018" i="12"/>
  <c r="V2019" i="12"/>
  <c r="W2020" i="12"/>
  <c r="X2021" i="12"/>
  <c r="U2022" i="12"/>
  <c r="Y2022" i="12" s="1"/>
  <c r="V2023" i="12"/>
  <c r="W2025" i="12"/>
  <c r="W2026" i="12"/>
  <c r="X2027" i="12"/>
  <c r="Y2027" i="12" s="1"/>
  <c r="U2028" i="12"/>
  <c r="V2029" i="12"/>
  <c r="W2030" i="12"/>
  <c r="X2031" i="12"/>
  <c r="Y2031" i="12" s="1"/>
  <c r="U2032" i="12"/>
  <c r="X2032" i="12"/>
  <c r="U2033" i="12"/>
  <c r="V2034" i="12"/>
  <c r="V2035" i="12"/>
  <c r="W2036" i="12"/>
  <c r="X2037" i="12"/>
  <c r="U2038" i="12"/>
  <c r="X2039" i="12"/>
  <c r="U2040" i="12"/>
  <c r="V2041" i="12"/>
  <c r="W2043" i="12"/>
  <c r="Y2043" i="12" s="1"/>
  <c r="X2044" i="12"/>
  <c r="U2045" i="12"/>
  <c r="X2046" i="12"/>
  <c r="U2047" i="12"/>
  <c r="Y2047" i="12" s="1"/>
  <c r="X2048" i="12"/>
  <c r="U2049" i="12"/>
  <c r="X2050" i="12"/>
  <c r="U2051" i="12"/>
  <c r="X2052" i="12"/>
  <c r="U2053" i="12"/>
  <c r="X2054" i="12"/>
  <c r="U2055" i="12"/>
  <c r="Y2055" i="12" s="1"/>
  <c r="X2056" i="12"/>
  <c r="U2057" i="12"/>
  <c r="W2059" i="12"/>
  <c r="W2060" i="12"/>
  <c r="W1922" i="12"/>
  <c r="W1923" i="12"/>
  <c r="W1924" i="12"/>
  <c r="W1925" i="12"/>
  <c r="Y1925" i="12" s="1"/>
  <c r="W1926" i="12"/>
  <c r="W1927" i="12"/>
  <c r="W1928" i="12"/>
  <c r="W1929" i="12"/>
  <c r="Y1929" i="12" s="1"/>
  <c r="W1930" i="12"/>
  <c r="W1931" i="12"/>
  <c r="W1932" i="12"/>
  <c r="W1933" i="12"/>
  <c r="Y1933" i="12" s="1"/>
  <c r="W1934" i="12"/>
  <c r="W1935" i="12"/>
  <c r="W1936" i="12"/>
  <c r="W1937" i="12"/>
  <c r="Y1937" i="12" s="1"/>
  <c r="W1938" i="12"/>
  <c r="W1939" i="12"/>
  <c r="W1940" i="12"/>
  <c r="W1941" i="12"/>
  <c r="Y1941" i="12" s="1"/>
  <c r="W1942" i="12"/>
  <c r="W1943" i="12"/>
  <c r="W1944" i="12"/>
  <c r="W1945" i="12"/>
  <c r="W1946" i="12"/>
  <c r="W1947" i="12"/>
  <c r="W1948" i="12"/>
  <c r="W1949" i="12"/>
  <c r="W1950" i="12"/>
  <c r="W1951" i="12"/>
  <c r="W1952" i="12"/>
  <c r="W1953" i="12"/>
  <c r="W1954" i="12"/>
  <c r="W1955" i="12"/>
  <c r="W1956" i="12"/>
  <c r="W1957" i="12"/>
  <c r="W1958" i="12"/>
  <c r="X1959" i="12"/>
  <c r="X1960" i="12"/>
  <c r="U1961" i="12"/>
  <c r="Y1961" i="12" s="1"/>
  <c r="V1962" i="12"/>
  <c r="V1963" i="12"/>
  <c r="V1964" i="12"/>
  <c r="V1965" i="12"/>
  <c r="Y1965" i="12" s="1"/>
  <c r="U1966" i="12"/>
  <c r="V1967" i="12"/>
  <c r="W1968" i="12"/>
  <c r="X1969" i="12"/>
  <c r="Y1969" i="12" s="1"/>
  <c r="U1970" i="12"/>
  <c r="V1971" i="12"/>
  <c r="W1973" i="12"/>
  <c r="Y1973" i="12" s="1"/>
  <c r="X1974" i="12"/>
  <c r="U1975" i="12"/>
  <c r="V1976" i="12"/>
  <c r="V1977" i="12"/>
  <c r="W1979" i="12"/>
  <c r="Y1979" i="12" s="1"/>
  <c r="W1980" i="12"/>
  <c r="X1981" i="12"/>
  <c r="U1982" i="12"/>
  <c r="X1982" i="12"/>
  <c r="Y1982" i="12" s="1"/>
  <c r="U1983" i="12"/>
  <c r="V1984" i="12"/>
  <c r="V1985" i="12"/>
  <c r="W1987" i="12"/>
  <c r="Y1987" i="12" s="1"/>
  <c r="W1988" i="12"/>
  <c r="X1989" i="12"/>
  <c r="U1990" i="12"/>
  <c r="X1990" i="12"/>
  <c r="Y1990" i="12" s="1"/>
  <c r="U1991" i="12"/>
  <c r="V1992" i="12"/>
  <c r="V1993" i="12"/>
  <c r="W1995" i="12"/>
  <c r="Y1995" i="12" s="1"/>
  <c r="W1996" i="12"/>
  <c r="X1997" i="12"/>
  <c r="U1998" i="12"/>
  <c r="X1998" i="12"/>
  <c r="Y1998" i="12" s="1"/>
  <c r="U1999" i="12"/>
  <c r="V2000" i="12"/>
  <c r="V2001" i="12"/>
  <c r="W2003" i="12"/>
  <c r="Y2003" i="12" s="1"/>
  <c r="X2004" i="12"/>
  <c r="U2005" i="12"/>
  <c r="V2006" i="12"/>
  <c r="W2007" i="12"/>
  <c r="Y2007" i="12" s="1"/>
  <c r="W2008" i="12"/>
  <c r="X2009" i="12"/>
  <c r="U2010" i="12"/>
  <c r="X2010" i="12"/>
  <c r="Y2010" i="12" s="1"/>
  <c r="U2011" i="12"/>
  <c r="V2012" i="12"/>
  <c r="W2013" i="12"/>
  <c r="X2014" i="12"/>
  <c r="U2015" i="12"/>
  <c r="V2016" i="12"/>
  <c r="V2017" i="12"/>
  <c r="W2019" i="12"/>
  <c r="Y2019" i="12" s="1"/>
  <c r="X2020" i="12"/>
  <c r="U2021" i="12"/>
  <c r="V2022" i="12"/>
  <c r="W2023" i="12"/>
  <c r="Y2023" i="12" s="1"/>
  <c r="W2024" i="12"/>
  <c r="X2025" i="12"/>
  <c r="U2026" i="12"/>
  <c r="X2026" i="12"/>
  <c r="Y2026" i="12" s="1"/>
  <c r="U2027" i="12"/>
  <c r="V2028" i="12"/>
  <c r="W2029" i="12"/>
  <c r="X2030" i="12"/>
  <c r="U2031" i="12"/>
  <c r="V2032" i="12"/>
  <c r="V2033" i="12"/>
  <c r="W2035" i="12"/>
  <c r="Y2035" i="12" s="1"/>
  <c r="X2036" i="12"/>
  <c r="U2037" i="12"/>
  <c r="W2038" i="12"/>
  <c r="V2040" i="12"/>
  <c r="Y2040" i="12" s="1"/>
  <c r="W2041" i="12"/>
  <c r="V2042" i="12"/>
  <c r="X2043" i="12"/>
  <c r="U2044" i="12"/>
  <c r="Y2044" i="12" s="1"/>
  <c r="W2045" i="12"/>
  <c r="V2047" i="12"/>
  <c r="W2049" i="12"/>
  <c r="V2051" i="12"/>
  <c r="W2053" i="12"/>
  <c r="V2055" i="12"/>
  <c r="W2057" i="12"/>
  <c r="X2060" i="12"/>
  <c r="U2061" i="12"/>
  <c r="U1942" i="12"/>
  <c r="X1942" i="12"/>
  <c r="U1943" i="12"/>
  <c r="Y1943" i="12" s="1"/>
  <c r="X1943" i="12"/>
  <c r="U1944" i="12"/>
  <c r="X1944" i="12"/>
  <c r="U1945" i="12"/>
  <c r="Y1945" i="12" s="1"/>
  <c r="X1945" i="12"/>
  <c r="U1946" i="12"/>
  <c r="X1946" i="12"/>
  <c r="Y1946" i="12" s="1"/>
  <c r="U1947" i="12"/>
  <c r="Y1947" i="12" s="1"/>
  <c r="X1947" i="12"/>
  <c r="U1948" i="12"/>
  <c r="X1948" i="12"/>
  <c r="Y1948" i="12" s="1"/>
  <c r="U1949" i="12"/>
  <c r="Y1949" i="12" s="1"/>
  <c r="X1949" i="12"/>
  <c r="U1950" i="12"/>
  <c r="X1950" i="12"/>
  <c r="U1951" i="12"/>
  <c r="Y1951" i="12" s="1"/>
  <c r="X1951" i="12"/>
  <c r="U1952" i="12"/>
  <c r="X1952" i="12"/>
  <c r="U1953" i="12"/>
  <c r="Y1953" i="12" s="1"/>
  <c r="X1953" i="12"/>
  <c r="U1954" i="12"/>
  <c r="X1954" i="12"/>
  <c r="U1955" i="12"/>
  <c r="X1955" i="12"/>
  <c r="U1956" i="12"/>
  <c r="X1956" i="12"/>
  <c r="U1957" i="12"/>
  <c r="X1957" i="12"/>
  <c r="X1958" i="12"/>
  <c r="U1959" i="12"/>
  <c r="U1960" i="12"/>
  <c r="Y1960" i="12" s="1"/>
  <c r="V1961" i="12"/>
  <c r="V1966" i="12"/>
  <c r="W1967" i="12"/>
  <c r="X1968" i="12"/>
  <c r="U1969" i="12"/>
  <c r="V1970" i="12"/>
  <c r="W1971" i="12"/>
  <c r="W1972" i="12"/>
  <c r="Y1972" i="12" s="1"/>
  <c r="X1973" i="12"/>
  <c r="U1974" i="12"/>
  <c r="V1975" i="12"/>
  <c r="W1977" i="12"/>
  <c r="Y1977" i="12" s="1"/>
  <c r="W1978" i="12"/>
  <c r="X1979" i="12"/>
  <c r="U1980" i="12"/>
  <c r="X1980" i="12"/>
  <c r="U1981" i="12"/>
  <c r="V1982" i="12"/>
  <c r="V1983" i="12"/>
  <c r="W1985" i="12"/>
  <c r="Y1985" i="12" s="1"/>
  <c r="W1986" i="12"/>
  <c r="X1987" i="12"/>
  <c r="U1988" i="12"/>
  <c r="X1988" i="12"/>
  <c r="U1989" i="12"/>
  <c r="V1990" i="12"/>
  <c r="V1991" i="12"/>
  <c r="W1993" i="12"/>
  <c r="Y1993" i="12" s="1"/>
  <c r="W1994" i="12"/>
  <c r="X1995" i="12"/>
  <c r="U1996" i="12"/>
  <c r="X1996" i="12"/>
  <c r="Y1996" i="12" s="1"/>
  <c r="U1997" i="12"/>
  <c r="V1998" i="12"/>
  <c r="V1999" i="12"/>
  <c r="W2001" i="12"/>
  <c r="Y2001" i="12" s="1"/>
  <c r="W2002" i="12"/>
  <c r="X2003" i="12"/>
  <c r="U2004" i="12"/>
  <c r="V2005" i="12"/>
  <c r="W2006" i="12"/>
  <c r="X2007" i="12"/>
  <c r="U2008" i="12"/>
  <c r="X2008" i="12"/>
  <c r="Y2008" i="12" s="1"/>
  <c r="U2009" i="12"/>
  <c r="V2010" i="12"/>
  <c r="V2011" i="12"/>
  <c r="W2012" i="12"/>
  <c r="Y2012" i="12" s="1"/>
  <c r="X2013" i="12"/>
  <c r="U2014" i="12"/>
  <c r="V2015" i="12"/>
  <c r="W2017" i="12"/>
  <c r="Y2017" i="12" s="1"/>
  <c r="W2018" i="12"/>
  <c r="X2019" i="12"/>
  <c r="U2020" i="12"/>
  <c r="V2021" i="12"/>
  <c r="W2022" i="12"/>
  <c r="X2023" i="12"/>
  <c r="U2024" i="12"/>
  <c r="X2024" i="12"/>
  <c r="Y2024" i="12" s="1"/>
  <c r="U2025" i="12"/>
  <c r="V2026" i="12"/>
  <c r="V2027" i="12"/>
  <c r="W2028" i="12"/>
  <c r="Y2028" i="12" s="1"/>
  <c r="X2029" i="12"/>
  <c r="U2030" i="12"/>
  <c r="V2031" i="12"/>
  <c r="W2033" i="12"/>
  <c r="Y2033" i="12" s="1"/>
  <c r="W2034" i="12"/>
  <c r="X2035" i="12"/>
  <c r="U2036" i="12"/>
  <c r="V2037" i="12"/>
  <c r="X2038" i="12"/>
  <c r="U2039" i="12"/>
  <c r="X2045" i="12"/>
  <c r="U2046" i="12"/>
  <c r="W2047" i="12"/>
  <c r="V2048" i="12"/>
  <c r="X2049" i="12"/>
  <c r="U2050" i="12"/>
  <c r="W2051" i="12"/>
  <c r="V2052" i="12"/>
  <c r="X2053" i="12"/>
  <c r="U2054" i="12"/>
  <c r="W2055" i="12"/>
  <c r="V2056" i="12"/>
  <c r="X2057" i="12"/>
  <c r="U2058" i="12"/>
  <c r="X2061" i="12"/>
  <c r="U2062" i="12"/>
  <c r="X2058" i="12"/>
  <c r="U2059" i="12"/>
  <c r="Y2059" i="12" s="1"/>
  <c r="V2060" i="12"/>
  <c r="W2061" i="12"/>
  <c r="X2062" i="12"/>
  <c r="U2063" i="12"/>
  <c r="V2064" i="12"/>
  <c r="W2065" i="12"/>
  <c r="X2066" i="12"/>
  <c r="U2067" i="12"/>
  <c r="V2068" i="12"/>
  <c r="W2069" i="12"/>
  <c r="X2070" i="12"/>
  <c r="U2071" i="12"/>
  <c r="V2072" i="12"/>
  <c r="W2073" i="12"/>
  <c r="X2074" i="12"/>
  <c r="U2075" i="12"/>
  <c r="V2076" i="12"/>
  <c r="W2077" i="12"/>
  <c r="X2078" i="12"/>
  <c r="U2079" i="12"/>
  <c r="V2080" i="12"/>
  <c r="W2081" i="12"/>
  <c r="X2082" i="12"/>
  <c r="U2083" i="12"/>
  <c r="V2084" i="12"/>
  <c r="W2085" i="12"/>
  <c r="X2086" i="12"/>
  <c r="U2087" i="12"/>
  <c r="V2088" i="12"/>
  <c r="W2089" i="12"/>
  <c r="X2090" i="12"/>
  <c r="U2091" i="12"/>
  <c r="V2092" i="12"/>
  <c r="W2093" i="12"/>
  <c r="X2094" i="12"/>
  <c r="U2095" i="12"/>
  <c r="V2096" i="12"/>
  <c r="W2097" i="12"/>
  <c r="X2098" i="12"/>
  <c r="U2099" i="12"/>
  <c r="V2100" i="12"/>
  <c r="W2101" i="12"/>
  <c r="X2102" i="12"/>
  <c r="U2103" i="12"/>
  <c r="V2104" i="12"/>
  <c r="W2105" i="12"/>
  <c r="X2106" i="12"/>
  <c r="U2107" i="12"/>
  <c r="V2108" i="12"/>
  <c r="W2109" i="12"/>
  <c r="X2110" i="12"/>
  <c r="U2111" i="12"/>
  <c r="V2112" i="12"/>
  <c r="W2113" i="12"/>
  <c r="X2114" i="12"/>
  <c r="U2115" i="12"/>
  <c r="V2116" i="12"/>
  <c r="W2117" i="12"/>
  <c r="X2118" i="12"/>
  <c r="U2119" i="12"/>
  <c r="V2120" i="12"/>
  <c r="W2121" i="12"/>
  <c r="X2122" i="12"/>
  <c r="U2123" i="12"/>
  <c r="V2124" i="12"/>
  <c r="W2125" i="12"/>
  <c r="X2126" i="12"/>
  <c r="U2127" i="12"/>
  <c r="V2128" i="12"/>
  <c r="W2129" i="12"/>
  <c r="X2130" i="12"/>
  <c r="U2131" i="12"/>
  <c r="V2132" i="12"/>
  <c r="W2133" i="12"/>
  <c r="X2134" i="12"/>
  <c r="U2135" i="12"/>
  <c r="V2136" i="12"/>
  <c r="W2137" i="12"/>
  <c r="X2138" i="12"/>
  <c r="U2139" i="12"/>
  <c r="V2140" i="12"/>
  <c r="W2141" i="12"/>
  <c r="X2142" i="12"/>
  <c r="U2143" i="12"/>
  <c r="V2144" i="12"/>
  <c r="W2145" i="12"/>
  <c r="X2146" i="12"/>
  <c r="U2147" i="12"/>
  <c r="V2148" i="12"/>
  <c r="W2149" i="12"/>
  <c r="W2150" i="12"/>
  <c r="X2151" i="12"/>
  <c r="Y2151" i="12" s="1"/>
  <c r="U2152" i="12"/>
  <c r="X2152" i="12"/>
  <c r="X2153" i="12"/>
  <c r="X2154" i="12"/>
  <c r="X2155" i="12"/>
  <c r="X2156" i="12"/>
  <c r="U2157" i="12"/>
  <c r="V2158" i="12"/>
  <c r="V2159" i="12"/>
  <c r="V2161" i="12"/>
  <c r="V2162" i="12"/>
  <c r="V2163" i="12"/>
  <c r="V2164" i="12"/>
  <c r="W2165" i="12"/>
  <c r="W2166" i="12"/>
  <c r="X2167" i="12"/>
  <c r="Y2167" i="12" s="1"/>
  <c r="U2168" i="12"/>
  <c r="V2169" i="12"/>
  <c r="W2170" i="12"/>
  <c r="W2171" i="12"/>
  <c r="Y2171" i="12" s="1"/>
  <c r="W2172" i="12"/>
  <c r="W2173" i="12"/>
  <c r="W2174" i="12"/>
  <c r="W2175" i="12"/>
  <c r="W2176" i="12"/>
  <c r="W2177" i="12"/>
  <c r="W2178" i="12"/>
  <c r="W2179" i="12"/>
  <c r="Y2179" i="12" s="1"/>
  <c r="W2180" i="12"/>
  <c r="W2181" i="12"/>
  <c r="X2182" i="12"/>
  <c r="U2183" i="12"/>
  <c r="V2184" i="12"/>
  <c r="W2185" i="12"/>
  <c r="X2186" i="12"/>
  <c r="U2187" i="12"/>
  <c r="V2188" i="12"/>
  <c r="W2189" i="12"/>
  <c r="X2190" i="12"/>
  <c r="U2191" i="12"/>
  <c r="V2192" i="12"/>
  <c r="W2193" i="12"/>
  <c r="X2194" i="12"/>
  <c r="U2195" i="12"/>
  <c r="V2196" i="12"/>
  <c r="W2197" i="12"/>
  <c r="X2198" i="12"/>
  <c r="U2199" i="12"/>
  <c r="V2200" i="12"/>
  <c r="W2201" i="12"/>
  <c r="X2202" i="12"/>
  <c r="U2203" i="12"/>
  <c r="V2204" i="12"/>
  <c r="W2205" i="12"/>
  <c r="X2206" i="12"/>
  <c r="U2207" i="12"/>
  <c r="V2208" i="12"/>
  <c r="W2209" i="12"/>
  <c r="X2210" i="12"/>
  <c r="U2211" i="12"/>
  <c r="V2212" i="12"/>
  <c r="W2213" i="12"/>
  <c r="V2215" i="12"/>
  <c r="W2217" i="12"/>
  <c r="V2219" i="12"/>
  <c r="W2221" i="12"/>
  <c r="V2223" i="12"/>
  <c r="W2225" i="12"/>
  <c r="V2227" i="12"/>
  <c r="W2229" i="12"/>
  <c r="V2231" i="12"/>
  <c r="W2233" i="12"/>
  <c r="V2235" i="12"/>
  <c r="W2237" i="12"/>
  <c r="V2239" i="12"/>
  <c r="W2241" i="12"/>
  <c r="V2243" i="12"/>
  <c r="W2245" i="12"/>
  <c r="V2247" i="12"/>
  <c r="W2249" i="12"/>
  <c r="V2251" i="12"/>
  <c r="W2253" i="12"/>
  <c r="V2255" i="12"/>
  <c r="W2257" i="12"/>
  <c r="V2259" i="12"/>
  <c r="W2261" i="12"/>
  <c r="V2263" i="12"/>
  <c r="X2264" i="12"/>
  <c r="Y2264" i="12" s="1"/>
  <c r="U2265" i="12"/>
  <c r="U2266" i="12"/>
  <c r="U2267" i="12"/>
  <c r="W2268" i="12"/>
  <c r="W2269" i="12"/>
  <c r="V2272" i="12"/>
  <c r="X2275" i="12"/>
  <c r="U2276" i="12"/>
  <c r="X2277" i="12"/>
  <c r="U2278" i="12"/>
  <c r="X2279" i="12"/>
  <c r="U2280" i="12"/>
  <c r="X2281" i="12"/>
  <c r="U2282" i="12"/>
  <c r="X2283" i="12"/>
  <c r="U2284" i="12"/>
  <c r="X2285" i="12"/>
  <c r="U2286" i="12"/>
  <c r="X2287" i="12"/>
  <c r="W2288" i="12"/>
  <c r="W2289" i="12"/>
  <c r="W2290" i="12"/>
  <c r="W2291" i="12"/>
  <c r="W2292" i="12"/>
  <c r="W2293" i="12"/>
  <c r="W2294" i="12"/>
  <c r="W2295" i="12"/>
  <c r="W2296" i="12"/>
  <c r="W2297" i="12"/>
  <c r="W2298" i="12"/>
  <c r="W2299" i="12"/>
  <c r="W2300" i="12"/>
  <c r="W2301" i="12"/>
  <c r="W2302" i="12"/>
  <c r="W2303" i="12"/>
  <c r="W2304" i="12"/>
  <c r="W2305" i="12"/>
  <c r="W2306" i="12"/>
  <c r="W2307" i="12"/>
  <c r="W2308" i="12"/>
  <c r="W2309" i="12"/>
  <c r="W2310" i="12"/>
  <c r="W2311" i="12"/>
  <c r="W2312" i="12"/>
  <c r="X2313" i="12"/>
  <c r="U2314" i="12"/>
  <c r="V2315" i="12"/>
  <c r="W2316" i="12"/>
  <c r="X2317" i="12"/>
  <c r="U2318" i="12"/>
  <c r="V2319" i="12"/>
  <c r="W2321" i="12"/>
  <c r="X2322" i="12"/>
  <c r="U2323" i="12"/>
  <c r="V2324" i="12"/>
  <c r="W2325" i="12"/>
  <c r="W2326" i="12"/>
  <c r="X2327" i="12"/>
  <c r="U2328" i="12"/>
  <c r="V2063" i="12"/>
  <c r="W2064" i="12"/>
  <c r="X2065" i="12"/>
  <c r="U2066" i="12"/>
  <c r="V2067" i="12"/>
  <c r="W2068" i="12"/>
  <c r="X2069" i="12"/>
  <c r="U2070" i="12"/>
  <c r="V2071" i="12"/>
  <c r="W2072" i="12"/>
  <c r="X2073" i="12"/>
  <c r="U2074" i="12"/>
  <c r="V2075" i="12"/>
  <c r="W2076" i="12"/>
  <c r="X2077" i="12"/>
  <c r="U2078" i="12"/>
  <c r="V2079" i="12"/>
  <c r="W2080" i="12"/>
  <c r="X2081" i="12"/>
  <c r="U2082" i="12"/>
  <c r="V2083" i="12"/>
  <c r="W2084" i="12"/>
  <c r="X2085" i="12"/>
  <c r="U2086" i="12"/>
  <c r="V2087" i="12"/>
  <c r="W2088" i="12"/>
  <c r="X2089" i="12"/>
  <c r="U2090" i="12"/>
  <c r="V2091" i="12"/>
  <c r="W2092" i="12"/>
  <c r="X2093" i="12"/>
  <c r="U2094" i="12"/>
  <c r="V2095" i="12"/>
  <c r="W2096" i="12"/>
  <c r="X2097" i="12"/>
  <c r="U2098" i="12"/>
  <c r="V2099" i="12"/>
  <c r="W2100" i="12"/>
  <c r="X2101" i="12"/>
  <c r="U2102" i="12"/>
  <c r="V2103" i="12"/>
  <c r="W2104" i="12"/>
  <c r="X2105" i="12"/>
  <c r="U2106" i="12"/>
  <c r="V2107" i="12"/>
  <c r="W2108" i="12"/>
  <c r="X2109" i="12"/>
  <c r="U2110" i="12"/>
  <c r="V2111" i="12"/>
  <c r="W2112" i="12"/>
  <c r="X2113" i="12"/>
  <c r="U2114" i="12"/>
  <c r="V2115" i="12"/>
  <c r="W2116" i="12"/>
  <c r="X2117" i="12"/>
  <c r="U2118" i="12"/>
  <c r="V2119" i="12"/>
  <c r="W2120" i="12"/>
  <c r="X2121" i="12"/>
  <c r="U2122" i="12"/>
  <c r="V2123" i="12"/>
  <c r="W2124" i="12"/>
  <c r="X2125" i="12"/>
  <c r="U2126" i="12"/>
  <c r="V2127" i="12"/>
  <c r="W2128" i="12"/>
  <c r="X2129" i="12"/>
  <c r="U2130" i="12"/>
  <c r="V2131" i="12"/>
  <c r="W2132" i="12"/>
  <c r="X2133" i="12"/>
  <c r="U2134" i="12"/>
  <c r="V2135" i="12"/>
  <c r="W2136" i="12"/>
  <c r="X2137" i="12"/>
  <c r="U2138" i="12"/>
  <c r="V2139" i="12"/>
  <c r="W2140" i="12"/>
  <c r="X2141" i="12"/>
  <c r="U2142" i="12"/>
  <c r="Y2142" i="12" s="1"/>
  <c r="V2143" i="12"/>
  <c r="W2144" i="12"/>
  <c r="X2145" i="12"/>
  <c r="U2146" i="12"/>
  <c r="Y2146" i="12" s="1"/>
  <c r="V2147" i="12"/>
  <c r="W2148" i="12"/>
  <c r="X2149" i="12"/>
  <c r="U2150" i="12"/>
  <c r="X2150" i="12"/>
  <c r="U2151" i="12"/>
  <c r="V2152" i="12"/>
  <c r="U2153" i="12"/>
  <c r="U2154" i="12"/>
  <c r="U2155" i="12"/>
  <c r="U2156" i="12"/>
  <c r="V2157" i="12"/>
  <c r="W2159" i="12"/>
  <c r="Y2159" i="12" s="1"/>
  <c r="W2160" i="12"/>
  <c r="W2161" i="12"/>
  <c r="W2162" i="12"/>
  <c r="Y2162" i="12" s="1"/>
  <c r="W2163" i="12"/>
  <c r="W2164" i="12"/>
  <c r="X2165" i="12"/>
  <c r="U2166" i="12"/>
  <c r="X2166" i="12"/>
  <c r="U2167" i="12"/>
  <c r="V2168" i="12"/>
  <c r="W2169" i="12"/>
  <c r="X2170" i="12"/>
  <c r="U2171" i="12"/>
  <c r="X2171" i="12"/>
  <c r="X2172" i="12"/>
  <c r="X2173" i="12"/>
  <c r="U2174" i="12"/>
  <c r="X2174" i="12"/>
  <c r="U2175" i="12"/>
  <c r="X2175" i="12"/>
  <c r="X2176" i="12"/>
  <c r="X2177" i="12"/>
  <c r="U2178" i="12"/>
  <c r="X2178" i="12"/>
  <c r="U2179" i="12"/>
  <c r="X2179" i="12"/>
  <c r="X2180" i="12"/>
  <c r="X2181" i="12"/>
  <c r="U2182" i="12"/>
  <c r="V2183" i="12"/>
  <c r="W2184" i="12"/>
  <c r="X2185" i="12"/>
  <c r="U2186" i="12"/>
  <c r="V2187" i="12"/>
  <c r="W2188" i="12"/>
  <c r="X2189" i="12"/>
  <c r="U2190" i="12"/>
  <c r="V2191" i="12"/>
  <c r="W2192" i="12"/>
  <c r="X2193" i="12"/>
  <c r="U2194" i="12"/>
  <c r="V2195" i="12"/>
  <c r="W2196" i="12"/>
  <c r="X2197" i="12"/>
  <c r="U2198" i="12"/>
  <c r="V2199" i="12"/>
  <c r="W2200" i="12"/>
  <c r="X2201" i="12"/>
  <c r="U2202" i="12"/>
  <c r="V2203" i="12"/>
  <c r="W2204" i="12"/>
  <c r="X2205" i="12"/>
  <c r="U2206" i="12"/>
  <c r="V2207" i="12"/>
  <c r="W2208" i="12"/>
  <c r="X2209" i="12"/>
  <c r="U2210" i="12"/>
  <c r="V2211" i="12"/>
  <c r="W2212" i="12"/>
  <c r="X2213" i="12"/>
  <c r="U2214" i="12"/>
  <c r="X2215" i="12"/>
  <c r="U2216" i="12"/>
  <c r="X2217" i="12"/>
  <c r="U2218" i="12"/>
  <c r="X2219" i="12"/>
  <c r="U2220" i="12"/>
  <c r="X2221" i="12"/>
  <c r="U2222" i="12"/>
  <c r="X2223" i="12"/>
  <c r="U2224" i="12"/>
  <c r="X2225" i="12"/>
  <c r="U2226" i="12"/>
  <c r="X2227" i="12"/>
  <c r="U2228" i="12"/>
  <c r="X2229" i="12"/>
  <c r="U2230" i="12"/>
  <c r="X2231" i="12"/>
  <c r="U2232" i="12"/>
  <c r="X2233" i="12"/>
  <c r="U2234" i="12"/>
  <c r="X2235" i="12"/>
  <c r="U2236" i="12"/>
  <c r="X2237" i="12"/>
  <c r="U2238" i="12"/>
  <c r="X2239" i="12"/>
  <c r="U2240" i="12"/>
  <c r="X2241" i="12"/>
  <c r="U2242" i="12"/>
  <c r="X2243" i="12"/>
  <c r="U2244" i="12"/>
  <c r="X2245" i="12"/>
  <c r="U2246" i="12"/>
  <c r="X2247" i="12"/>
  <c r="U2248" i="12"/>
  <c r="X2249" i="12"/>
  <c r="U2250" i="12"/>
  <c r="X2251" i="12"/>
  <c r="U2252" i="12"/>
  <c r="X2253" i="12"/>
  <c r="U2254" i="12"/>
  <c r="X2255" i="12"/>
  <c r="U2256" i="12"/>
  <c r="X2257" i="12"/>
  <c r="U2258" i="12"/>
  <c r="X2259" i="12"/>
  <c r="U2260" i="12"/>
  <c r="X2261" i="12"/>
  <c r="U2262" i="12"/>
  <c r="X2263" i="12"/>
  <c r="U2264" i="12"/>
  <c r="V2265" i="12"/>
  <c r="V2266" i="12"/>
  <c r="W2267" i="12"/>
  <c r="X2269" i="12"/>
  <c r="W2270" i="12"/>
  <c r="X2272" i="12"/>
  <c r="U2273" i="12"/>
  <c r="W2274" i="12"/>
  <c r="W2276" i="12"/>
  <c r="W2278" i="12"/>
  <c r="W2280" i="12"/>
  <c r="W2282" i="12"/>
  <c r="W2284" i="12"/>
  <c r="W2286" i="12"/>
  <c r="X2328" i="12"/>
  <c r="U2329" i="12"/>
  <c r="V2330" i="12"/>
  <c r="W2331" i="12"/>
  <c r="W2332" i="12"/>
  <c r="X2333" i="12"/>
  <c r="Y2333" i="12" s="1"/>
  <c r="U2334" i="12"/>
  <c r="Y2334" i="12" s="1"/>
  <c r="V2094" i="12"/>
  <c r="W2095" i="12"/>
  <c r="X2096" i="12"/>
  <c r="U2097" i="12"/>
  <c r="V2098" i="12"/>
  <c r="W2099" i="12"/>
  <c r="X2100" i="12"/>
  <c r="U2101" i="12"/>
  <c r="V2102" i="12"/>
  <c r="W2103" i="12"/>
  <c r="X2104" i="12"/>
  <c r="U2105" i="12"/>
  <c r="V2106" i="12"/>
  <c r="W2107" i="12"/>
  <c r="X2108" i="12"/>
  <c r="U2109" i="12"/>
  <c r="V2110" i="12"/>
  <c r="W2111" i="12"/>
  <c r="X2112" i="12"/>
  <c r="U2113" i="12"/>
  <c r="V2114" i="12"/>
  <c r="W2115" i="12"/>
  <c r="X2116" i="12"/>
  <c r="U2117" i="12"/>
  <c r="V2118" i="12"/>
  <c r="W2119" i="12"/>
  <c r="X2120" i="12"/>
  <c r="U2121" i="12"/>
  <c r="V2122" i="12"/>
  <c r="W2123" i="12"/>
  <c r="X2124" i="12"/>
  <c r="U2125" i="12"/>
  <c r="V2126" i="12"/>
  <c r="W2127" i="12"/>
  <c r="X2128" i="12"/>
  <c r="U2129" i="12"/>
  <c r="V2130" i="12"/>
  <c r="W2131" i="12"/>
  <c r="X2132" i="12"/>
  <c r="U2133" i="12"/>
  <c r="V2134" i="12"/>
  <c r="W2135" i="12"/>
  <c r="X2136" i="12"/>
  <c r="U2137" i="12"/>
  <c r="V2138" i="12"/>
  <c r="W2139" i="12"/>
  <c r="X2140" i="12"/>
  <c r="U2141" i="12"/>
  <c r="V2142" i="12"/>
  <c r="W2143" i="12"/>
  <c r="X2144" i="12"/>
  <c r="U2145" i="12"/>
  <c r="V2146" i="12"/>
  <c r="W2147" i="12"/>
  <c r="X2148" i="12"/>
  <c r="U2149" i="12"/>
  <c r="V2150" i="12"/>
  <c r="V2151" i="12"/>
  <c r="V2153" i="12"/>
  <c r="V2154" i="12"/>
  <c r="V2155" i="12"/>
  <c r="V2156" i="12"/>
  <c r="W2157" i="12"/>
  <c r="W2158" i="12"/>
  <c r="X2159" i="12"/>
  <c r="U2160" i="12"/>
  <c r="X2160" i="12"/>
  <c r="X2161" i="12"/>
  <c r="X2162" i="12"/>
  <c r="X2163" i="12"/>
  <c r="X2164" i="12"/>
  <c r="U2165" i="12"/>
  <c r="V2166" i="12"/>
  <c r="V2167" i="12"/>
  <c r="W2168" i="12"/>
  <c r="X2169" i="12"/>
  <c r="Y2169" i="12" s="1"/>
  <c r="U2170" i="12"/>
  <c r="V2171" i="12"/>
  <c r="U2172" i="12"/>
  <c r="Y2172" i="12" s="1"/>
  <c r="U2173" i="12"/>
  <c r="Y2173" i="12" s="1"/>
  <c r="V2174" i="12"/>
  <c r="V2175" i="12"/>
  <c r="U2176" i="12"/>
  <c r="U2177" i="12"/>
  <c r="V2178" i="12"/>
  <c r="V2179" i="12"/>
  <c r="U2180" i="12"/>
  <c r="Y2180" i="12" s="1"/>
  <c r="U2181" i="12"/>
  <c r="Y2181" i="12" s="1"/>
  <c r="V2182" i="12"/>
  <c r="W2183" i="12"/>
  <c r="X2184" i="12"/>
  <c r="U2185" i="12"/>
  <c r="Y2185" i="12" s="1"/>
  <c r="V2186" i="12"/>
  <c r="W2187" i="12"/>
  <c r="X2188" i="12"/>
  <c r="Y2188" i="12" s="1"/>
  <c r="U2189" i="12"/>
  <c r="Y2189" i="12" s="1"/>
  <c r="V2190" i="12"/>
  <c r="W2191" i="12"/>
  <c r="X2192" i="12"/>
  <c r="U2193" i="12"/>
  <c r="Y2193" i="12" s="1"/>
  <c r="V2194" i="12"/>
  <c r="W2195" i="12"/>
  <c r="X2196" i="12"/>
  <c r="U2197" i="12"/>
  <c r="Y2197" i="12" s="1"/>
  <c r="V2198" i="12"/>
  <c r="W2199" i="12"/>
  <c r="X2200" i="12"/>
  <c r="U2201" i="12"/>
  <c r="Y2201" i="12" s="1"/>
  <c r="V2202" i="12"/>
  <c r="W2203" i="12"/>
  <c r="X2204" i="12"/>
  <c r="U2205" i="12"/>
  <c r="Y2205" i="12" s="1"/>
  <c r="V2206" i="12"/>
  <c r="W2207" i="12"/>
  <c r="X2208" i="12"/>
  <c r="U2209" i="12"/>
  <c r="Y2209" i="12" s="1"/>
  <c r="V2210" i="12"/>
  <c r="W2211" i="12"/>
  <c r="X2212" i="12"/>
  <c r="U2213" i="12"/>
  <c r="Y2213" i="12" s="1"/>
  <c r="W2214" i="12"/>
  <c r="V2216" i="12"/>
  <c r="W2218" i="12"/>
  <c r="V2220" i="12"/>
  <c r="Y2220" i="12" s="1"/>
  <c r="W2222" i="12"/>
  <c r="V2224" i="12"/>
  <c r="W2226" i="12"/>
  <c r="V2228" i="12"/>
  <c r="W2230" i="12"/>
  <c r="V2232" i="12"/>
  <c r="W2234" i="12"/>
  <c r="V2236" i="12"/>
  <c r="Y2236" i="12" s="1"/>
  <c r="W2238" i="12"/>
  <c r="V2240" i="12"/>
  <c r="W2242" i="12"/>
  <c r="V2244" i="12"/>
  <c r="W2246" i="12"/>
  <c r="V2248" i="12"/>
  <c r="W2250" i="12"/>
  <c r="V2252" i="12"/>
  <c r="Y2252" i="12" s="1"/>
  <c r="W2254" i="12"/>
  <c r="V2256" i="12"/>
  <c r="W2258" i="12"/>
  <c r="V2260" i="12"/>
  <c r="W2262" i="12"/>
  <c r="V2264" i="12"/>
  <c r="W2266" i="12"/>
  <c r="Y2266" i="12" s="1"/>
  <c r="X2267" i="12"/>
  <c r="Y2267" i="12" s="1"/>
  <c r="X2270" i="12"/>
  <c r="U2271" i="12"/>
  <c r="V2273" i="12"/>
  <c r="X2274" i="12"/>
  <c r="Y2274" i="12" s="1"/>
  <c r="U2275" i="12"/>
  <c r="X2276" i="12"/>
  <c r="U2277" i="12"/>
  <c r="X2278" i="12"/>
  <c r="U2279" i="12"/>
  <c r="X2280" i="12"/>
  <c r="U2281" i="12"/>
  <c r="X2282" i="12"/>
  <c r="U2283" i="12"/>
  <c r="X2284" i="12"/>
  <c r="U2285" i="12"/>
  <c r="X2286" i="12"/>
  <c r="U2287" i="12"/>
  <c r="X2334" i="12"/>
  <c r="U2335" i="12"/>
  <c r="V2336" i="12"/>
  <c r="Y2336" i="12" s="1"/>
  <c r="V2337" i="12"/>
  <c r="W2338" i="12"/>
  <c r="X2339" i="12"/>
  <c r="Y2339" i="12" s="1"/>
  <c r="V2038" i="12"/>
  <c r="W2039" i="12"/>
  <c r="W2040" i="12"/>
  <c r="X2041" i="12"/>
  <c r="Y2041" i="12" s="1"/>
  <c r="U2042" i="12"/>
  <c r="Y2042" i="12" s="1"/>
  <c r="X2042" i="12"/>
  <c r="U2043" i="12"/>
  <c r="V2044" i="12"/>
  <c r="V2045" i="12"/>
  <c r="Y2045" i="12" s="1"/>
  <c r="W2046" i="12"/>
  <c r="X2047" i="12"/>
  <c r="U2048" i="12"/>
  <c r="V2049" i="12"/>
  <c r="Y2049" i="12" s="1"/>
  <c r="W2050" i="12"/>
  <c r="X2051" i="12"/>
  <c r="U2052" i="12"/>
  <c r="Y2052" i="12" s="1"/>
  <c r="V2053" i="12"/>
  <c r="Y2053" i="12" s="1"/>
  <c r="W2054" i="12"/>
  <c r="X2055" i="12"/>
  <c r="U2056" i="12"/>
  <c r="V2057" i="12"/>
  <c r="Y2057" i="12" s="1"/>
  <c r="W2058" i="12"/>
  <c r="X2059" i="12"/>
  <c r="U2060" i="12"/>
  <c r="V2061" i="12"/>
  <c r="Y2061" i="12" s="1"/>
  <c r="W2062" i="12"/>
  <c r="X2063" i="12"/>
  <c r="U2064" i="12"/>
  <c r="Y2064" i="12" s="1"/>
  <c r="V2065" i="12"/>
  <c r="Y2065" i="12" s="1"/>
  <c r="W2066" i="12"/>
  <c r="X2067" i="12"/>
  <c r="U2068" i="12"/>
  <c r="Y2068" i="12" s="1"/>
  <c r="V2069" i="12"/>
  <c r="Y2069" i="12" s="1"/>
  <c r="W2070" i="12"/>
  <c r="X2071" i="12"/>
  <c r="U2072" i="12"/>
  <c r="Y2072" i="12" s="1"/>
  <c r="V2073" i="12"/>
  <c r="Y2073" i="12" s="1"/>
  <c r="W2074" i="12"/>
  <c r="X2075" i="12"/>
  <c r="U2076" i="12"/>
  <c r="Y2076" i="12" s="1"/>
  <c r="V2077" i="12"/>
  <c r="Y2077" i="12" s="1"/>
  <c r="W2078" i="12"/>
  <c r="X2079" i="12"/>
  <c r="U2080" i="12"/>
  <c r="Y2080" i="12" s="1"/>
  <c r="V2081" i="12"/>
  <c r="Y2081" i="12" s="1"/>
  <c r="W2082" i="12"/>
  <c r="X2083" i="12"/>
  <c r="U2084" i="12"/>
  <c r="Y2084" i="12" s="1"/>
  <c r="V2085" i="12"/>
  <c r="Y2085" i="12" s="1"/>
  <c r="W2086" i="12"/>
  <c r="X2087" i="12"/>
  <c r="U2088" i="12"/>
  <c r="Y2088" i="12" s="1"/>
  <c r="V2089" i="12"/>
  <c r="Y2089" i="12" s="1"/>
  <c r="W2090" i="12"/>
  <c r="X2091" i="12"/>
  <c r="U2092" i="12"/>
  <c r="Y2092" i="12" s="1"/>
  <c r="V2093" i="12"/>
  <c r="Y2093" i="12" s="1"/>
  <c r="W2094" i="12"/>
  <c r="X2095" i="12"/>
  <c r="U2096" i="12"/>
  <c r="Y2096" i="12" s="1"/>
  <c r="V2097" i="12"/>
  <c r="W2098" i="12"/>
  <c r="X2099" i="12"/>
  <c r="U2100" i="12"/>
  <c r="Y2100" i="12" s="1"/>
  <c r="V2101" i="12"/>
  <c r="W2102" i="12"/>
  <c r="X2103" i="12"/>
  <c r="U2104" i="12"/>
  <c r="Y2104" i="12" s="1"/>
  <c r="V2105" i="12"/>
  <c r="W2106" i="12"/>
  <c r="X2107" i="12"/>
  <c r="U2108" i="12"/>
  <c r="Y2108" i="12" s="1"/>
  <c r="V2109" i="12"/>
  <c r="W2110" i="12"/>
  <c r="X2111" i="12"/>
  <c r="U2112" i="12"/>
  <c r="Y2112" i="12" s="1"/>
  <c r="V2113" i="12"/>
  <c r="W2114" i="12"/>
  <c r="X2115" i="12"/>
  <c r="U2116" i="12"/>
  <c r="Y2116" i="12" s="1"/>
  <c r="V2117" i="12"/>
  <c r="W2118" i="12"/>
  <c r="X2119" i="12"/>
  <c r="U2120" i="12"/>
  <c r="Y2120" i="12" s="1"/>
  <c r="V2121" i="12"/>
  <c r="W2122" i="12"/>
  <c r="X2123" i="12"/>
  <c r="U2124" i="12"/>
  <c r="Y2124" i="12" s="1"/>
  <c r="V2125" i="12"/>
  <c r="W2126" i="12"/>
  <c r="X2127" i="12"/>
  <c r="U2128" i="12"/>
  <c r="Y2128" i="12" s="1"/>
  <c r="V2129" i="12"/>
  <c r="W2130" i="12"/>
  <c r="X2131" i="12"/>
  <c r="U2132" i="12"/>
  <c r="Y2132" i="12" s="1"/>
  <c r="V2133" i="12"/>
  <c r="W2134" i="12"/>
  <c r="X2135" i="12"/>
  <c r="U2136" i="12"/>
  <c r="Y2136" i="12" s="1"/>
  <c r="V2137" i="12"/>
  <c r="W2138" i="12"/>
  <c r="X2139" i="12"/>
  <c r="U2140" i="12"/>
  <c r="Y2140" i="12" s="1"/>
  <c r="V2141" i="12"/>
  <c r="W2142" i="12"/>
  <c r="X2143" i="12"/>
  <c r="U2144" i="12"/>
  <c r="Y2144" i="12" s="1"/>
  <c r="V2145" i="12"/>
  <c r="W2146" i="12"/>
  <c r="X2147" i="12"/>
  <c r="U2148" i="12"/>
  <c r="Y2148" i="12" s="1"/>
  <c r="V2149" i="12"/>
  <c r="W2151" i="12"/>
  <c r="W2152" i="12"/>
  <c r="W2153" i="12"/>
  <c r="W2154" i="12"/>
  <c r="W2155" i="12"/>
  <c r="W2156" i="12"/>
  <c r="X2157" i="12"/>
  <c r="U2158" i="12"/>
  <c r="X2158" i="12"/>
  <c r="U2159" i="12"/>
  <c r="V2160" i="12"/>
  <c r="Y2160" i="12" s="1"/>
  <c r="U2161" i="12"/>
  <c r="Y2161" i="12" s="1"/>
  <c r="U2162" i="12"/>
  <c r="U2163" i="12"/>
  <c r="U2164" i="12"/>
  <c r="Y2164" i="12" s="1"/>
  <c r="V2165" i="12"/>
  <c r="W2167" i="12"/>
  <c r="X2168" i="12"/>
  <c r="U2169" i="12"/>
  <c r="V2170" i="12"/>
  <c r="V2172" i="12"/>
  <c r="V2173" i="12"/>
  <c r="V2176" i="12"/>
  <c r="V2177" i="12"/>
  <c r="V2180" i="12"/>
  <c r="V2181" i="12"/>
  <c r="W2182" i="12"/>
  <c r="Y2182" i="12" s="1"/>
  <c r="X2183" i="12"/>
  <c r="U2184" i="12"/>
  <c r="V2185" i="12"/>
  <c r="W2186" i="12"/>
  <c r="Y2186" i="12" s="1"/>
  <c r="X2187" i="12"/>
  <c r="U2188" i="12"/>
  <c r="V2189" i="12"/>
  <c r="W2190" i="12"/>
  <c r="Y2190" i="12" s="1"/>
  <c r="X2191" i="12"/>
  <c r="U2192" i="12"/>
  <c r="V2193" i="12"/>
  <c r="W2194" i="12"/>
  <c r="Y2194" i="12" s="1"/>
  <c r="X2195" i="12"/>
  <c r="U2196" i="12"/>
  <c r="V2197" i="12"/>
  <c r="W2198" i="12"/>
  <c r="Y2198" i="12" s="1"/>
  <c r="X2199" i="12"/>
  <c r="U2200" i="12"/>
  <c r="V2201" i="12"/>
  <c r="W2202" i="12"/>
  <c r="Y2202" i="12" s="1"/>
  <c r="X2203" i="12"/>
  <c r="U2204" i="12"/>
  <c r="V2205" i="12"/>
  <c r="W2206" i="12"/>
  <c r="Y2206" i="12" s="1"/>
  <c r="X2207" i="12"/>
  <c r="U2208" i="12"/>
  <c r="V2209" i="12"/>
  <c r="W2210" i="12"/>
  <c r="Y2210" i="12" s="1"/>
  <c r="X2211" i="12"/>
  <c r="U2212" i="12"/>
  <c r="V2213" i="12"/>
  <c r="X2214" i="12"/>
  <c r="Y2214" i="12" s="1"/>
  <c r="U2215" i="12"/>
  <c r="Y2215" i="12" s="1"/>
  <c r="W2216" i="12"/>
  <c r="V2217" i="12"/>
  <c r="X2218" i="12"/>
  <c r="U2219" i="12"/>
  <c r="Y2219" i="12" s="1"/>
  <c r="W2220" i="12"/>
  <c r="V2221" i="12"/>
  <c r="X2222" i="12"/>
  <c r="Y2222" i="12" s="1"/>
  <c r="U2223" i="12"/>
  <c r="Y2223" i="12" s="1"/>
  <c r="W2224" i="12"/>
  <c r="V2225" i="12"/>
  <c r="X2226" i="12"/>
  <c r="U2227" i="12"/>
  <c r="Y2227" i="12" s="1"/>
  <c r="W2228" i="12"/>
  <c r="V2229" i="12"/>
  <c r="X2230" i="12"/>
  <c r="Y2230" i="12" s="1"/>
  <c r="U2231" i="12"/>
  <c r="Y2231" i="12" s="1"/>
  <c r="W2232" i="12"/>
  <c r="V2233" i="12"/>
  <c r="X2234" i="12"/>
  <c r="U2235" i="12"/>
  <c r="Y2235" i="12" s="1"/>
  <c r="W2236" i="12"/>
  <c r="V2237" i="12"/>
  <c r="X2238" i="12"/>
  <c r="Y2238" i="12" s="1"/>
  <c r="U2239" i="12"/>
  <c r="Y2239" i="12" s="1"/>
  <c r="W2240" i="12"/>
  <c r="V2241" i="12"/>
  <c r="X2242" i="12"/>
  <c r="U2243" i="12"/>
  <c r="Y2243" i="12" s="1"/>
  <c r="W2244" i="12"/>
  <c r="V2245" i="12"/>
  <c r="X2246" i="12"/>
  <c r="Y2246" i="12" s="1"/>
  <c r="U2247" i="12"/>
  <c r="Y2247" i="12" s="1"/>
  <c r="W2248" i="12"/>
  <c r="V2249" i="12"/>
  <c r="X2250" i="12"/>
  <c r="U2251" i="12"/>
  <c r="Y2251" i="12" s="1"/>
  <c r="W2252" i="12"/>
  <c r="V2253" i="12"/>
  <c r="X2254" i="12"/>
  <c r="Y2254" i="12" s="1"/>
  <c r="U2255" i="12"/>
  <c r="Y2255" i="12" s="1"/>
  <c r="W2256" i="12"/>
  <c r="V2257" i="12"/>
  <c r="X2258" i="12"/>
  <c r="U2259" i="12"/>
  <c r="Y2259" i="12" s="1"/>
  <c r="W2260" i="12"/>
  <c r="V2261" i="12"/>
  <c r="X2262" i="12"/>
  <c r="Y2262" i="12" s="1"/>
  <c r="U2263" i="12"/>
  <c r="Y2263" i="12" s="1"/>
  <c r="X2265" i="12"/>
  <c r="X2266" i="12"/>
  <c r="X2271" i="12"/>
  <c r="Y2271" i="12" s="1"/>
  <c r="U2272" i="12"/>
  <c r="Y2272" i="12" s="1"/>
  <c r="X2273" i="12"/>
  <c r="U2274" i="12"/>
  <c r="W2275" i="12"/>
  <c r="W2277" i="12"/>
  <c r="W2279" i="12"/>
  <c r="W2281" i="12"/>
  <c r="W2283" i="12"/>
  <c r="W2285" i="12"/>
  <c r="W2287" i="12"/>
  <c r="U2340" i="12"/>
  <c r="V2341" i="12"/>
  <c r="W2342" i="12"/>
  <c r="X2343" i="12"/>
  <c r="U2344" i="12"/>
  <c r="V2345" i="12"/>
  <c r="W2346" i="12"/>
  <c r="X2347" i="12"/>
  <c r="X2348" i="12"/>
  <c r="U2349" i="12"/>
  <c r="V2350" i="12"/>
  <c r="W2351" i="12"/>
  <c r="X2352" i="12"/>
  <c r="U2353" i="12"/>
  <c r="V2354" i="12"/>
  <c r="W2355" i="12"/>
  <c r="W2356" i="12"/>
  <c r="W2357" i="12"/>
  <c r="W2358" i="12"/>
  <c r="X2359" i="12"/>
  <c r="X2360" i="12"/>
  <c r="W2361" i="12"/>
  <c r="X2362" i="12"/>
  <c r="Y2362" i="12" s="1"/>
  <c r="U2363" i="12"/>
  <c r="X2363" i="12"/>
  <c r="U2364" i="12"/>
  <c r="V2365" i="12"/>
  <c r="Y2365" i="12" s="1"/>
  <c r="V2366" i="12"/>
  <c r="V2367" i="12"/>
  <c r="W2368" i="12"/>
  <c r="U2370" i="12"/>
  <c r="Y2370" i="12" s="1"/>
  <c r="V2371" i="12"/>
  <c r="X2372" i="12"/>
  <c r="U2373" i="12"/>
  <c r="V2374" i="12"/>
  <c r="W2377" i="12"/>
  <c r="W2381" i="12"/>
  <c r="X2382" i="12"/>
  <c r="X2383" i="12"/>
  <c r="W2384" i="12"/>
  <c r="V2389" i="12"/>
  <c r="V2391" i="12"/>
  <c r="V2393" i="12"/>
  <c r="U2396" i="12"/>
  <c r="X2397" i="12"/>
  <c r="U2438" i="12"/>
  <c r="V2439" i="12"/>
  <c r="W2440" i="12"/>
  <c r="X2441" i="12"/>
  <c r="X2442" i="12"/>
  <c r="U2443" i="12"/>
  <c r="V2444" i="12"/>
  <c r="W2445" i="12"/>
  <c r="W2446" i="12"/>
  <c r="X2447" i="12"/>
  <c r="U2448" i="12"/>
  <c r="V2449" i="12"/>
  <c r="W2450" i="12"/>
  <c r="X2451" i="12"/>
  <c r="U2452" i="12"/>
  <c r="V2453" i="12"/>
  <c r="W2454" i="12"/>
  <c r="X2455" i="12"/>
  <c r="U2456" i="12"/>
  <c r="V2457" i="12"/>
  <c r="W2458" i="12"/>
  <c r="X2459" i="12"/>
  <c r="U2460" i="12"/>
  <c r="W2461" i="12"/>
  <c r="X2572" i="12"/>
  <c r="U2573" i="12"/>
  <c r="Y2573" i="12" s="1"/>
  <c r="X2609" i="12"/>
  <c r="W2610" i="12"/>
  <c r="W2611" i="12"/>
  <c r="X2612" i="12"/>
  <c r="Y2612" i="12" s="1"/>
  <c r="U2613" i="12"/>
  <c r="V2614" i="12"/>
  <c r="W2615" i="12"/>
  <c r="X2616" i="12"/>
  <c r="Y2616" i="12" s="1"/>
  <c r="U2617" i="12"/>
  <c r="V2618" i="12"/>
  <c r="W2619" i="12"/>
  <c r="X2620" i="12"/>
  <c r="Y2620" i="12" s="1"/>
  <c r="U2621" i="12"/>
  <c r="V2622" i="12"/>
  <c r="W2623" i="12"/>
  <c r="X2624" i="12"/>
  <c r="Y2624" i="12" s="1"/>
  <c r="U2625" i="12"/>
  <c r="V2626" i="12"/>
  <c r="W2627" i="12"/>
  <c r="X2628" i="12"/>
  <c r="Y2628" i="12" s="1"/>
  <c r="U2629" i="12"/>
  <c r="V2630" i="12"/>
  <c r="W2631" i="12"/>
  <c r="X2632" i="12"/>
  <c r="Y2632" i="12" s="1"/>
  <c r="U2633" i="12"/>
  <c r="V2634" i="12"/>
  <c r="W2635" i="12"/>
  <c r="X2636" i="12"/>
  <c r="Y2636" i="12" s="1"/>
  <c r="U2637" i="12"/>
  <c r="V2638" i="12"/>
  <c r="W2639" i="12"/>
  <c r="X2640" i="12"/>
  <c r="Y2640" i="12" s="1"/>
  <c r="U2641" i="12"/>
  <c r="V2642" i="12"/>
  <c r="W2643" i="12"/>
  <c r="X2644" i="12"/>
  <c r="Y2644" i="12" s="1"/>
  <c r="U2645" i="12"/>
  <c r="V2646" i="12"/>
  <c r="W2647" i="12"/>
  <c r="X2648" i="12"/>
  <c r="Y2648" i="12" s="1"/>
  <c r="U2649" i="12"/>
  <c r="V2650" i="12"/>
  <c r="W2651" i="12"/>
  <c r="X2653" i="12"/>
  <c r="U2288" i="12"/>
  <c r="X2288" i="12"/>
  <c r="U2289" i="12"/>
  <c r="X2289" i="12"/>
  <c r="Y2289" i="12" s="1"/>
  <c r="U2290" i="12"/>
  <c r="X2290" i="12"/>
  <c r="U2291" i="12"/>
  <c r="X2291" i="12"/>
  <c r="U2292" i="12"/>
  <c r="X2292" i="12"/>
  <c r="U2293" i="12"/>
  <c r="X2293" i="12"/>
  <c r="Y2293" i="12" s="1"/>
  <c r="U2294" i="12"/>
  <c r="X2294" i="12"/>
  <c r="U2295" i="12"/>
  <c r="X2295" i="12"/>
  <c r="U2296" i="12"/>
  <c r="X2296" i="12"/>
  <c r="U2297" i="12"/>
  <c r="X2297" i="12"/>
  <c r="Y2297" i="12" s="1"/>
  <c r="U2298" i="12"/>
  <c r="X2298" i="12"/>
  <c r="U2299" i="12"/>
  <c r="X2299" i="12"/>
  <c r="U2300" i="12"/>
  <c r="X2300" i="12"/>
  <c r="U2301" i="12"/>
  <c r="X2301" i="12"/>
  <c r="Y2301" i="12" s="1"/>
  <c r="U2302" i="12"/>
  <c r="X2302" i="12"/>
  <c r="U2303" i="12"/>
  <c r="X2303" i="12"/>
  <c r="Y2303" i="12" s="1"/>
  <c r="U2304" i="12"/>
  <c r="X2304" i="12"/>
  <c r="U2305" i="12"/>
  <c r="X2305" i="12"/>
  <c r="Y2305" i="12" s="1"/>
  <c r="U2306" i="12"/>
  <c r="X2306" i="12"/>
  <c r="U2307" i="12"/>
  <c r="X2307" i="12"/>
  <c r="Y2307" i="12" s="1"/>
  <c r="U2308" i="12"/>
  <c r="X2308" i="12"/>
  <c r="U2309" i="12"/>
  <c r="X2309" i="12"/>
  <c r="Y2309" i="12" s="1"/>
  <c r="U2310" i="12"/>
  <c r="X2310" i="12"/>
  <c r="U2311" i="12"/>
  <c r="X2311" i="12"/>
  <c r="Y2311" i="12" s="1"/>
  <c r="U2312" i="12"/>
  <c r="X2312" i="12"/>
  <c r="U2313" i="12"/>
  <c r="V2314" i="12"/>
  <c r="Y2314" i="12" s="1"/>
  <c r="W2315" i="12"/>
  <c r="X2316" i="12"/>
  <c r="U2317" i="12"/>
  <c r="V2318" i="12"/>
  <c r="Y2318" i="12" s="1"/>
  <c r="W2319" i="12"/>
  <c r="W2320" i="12"/>
  <c r="X2321" i="12"/>
  <c r="U2322" i="12"/>
  <c r="Y2322" i="12" s="1"/>
  <c r="V2323" i="12"/>
  <c r="W2324" i="12"/>
  <c r="X2325" i="12"/>
  <c r="U2326" i="12"/>
  <c r="X2326" i="12"/>
  <c r="U2327" i="12"/>
  <c r="V2328" i="12"/>
  <c r="V2329" i="12"/>
  <c r="Y2329" i="12" s="1"/>
  <c r="W2330" i="12"/>
  <c r="X2331" i="12"/>
  <c r="U2332" i="12"/>
  <c r="X2332" i="12"/>
  <c r="U2333" i="12"/>
  <c r="V2334" i="12"/>
  <c r="V2335" i="12"/>
  <c r="W2337" i="12"/>
  <c r="X2338" i="12"/>
  <c r="U2339" i="12"/>
  <c r="V2340" i="12"/>
  <c r="W2341" i="12"/>
  <c r="X2342" i="12"/>
  <c r="U2343" i="12"/>
  <c r="V2344" i="12"/>
  <c r="W2345" i="12"/>
  <c r="X2346" i="12"/>
  <c r="U2347" i="12"/>
  <c r="U2348" i="12"/>
  <c r="V2349" i="12"/>
  <c r="W2350" i="12"/>
  <c r="X2351" i="12"/>
  <c r="U2352" i="12"/>
  <c r="V2353" i="12"/>
  <c r="W2354" i="12"/>
  <c r="X2355" i="12"/>
  <c r="X2356" i="12"/>
  <c r="X2357" i="12"/>
  <c r="X2358" i="12"/>
  <c r="U2359" i="12"/>
  <c r="U2360" i="12"/>
  <c r="U2361" i="12"/>
  <c r="X2361" i="12"/>
  <c r="U2362" i="12"/>
  <c r="V2363" i="12"/>
  <c r="V2364" i="12"/>
  <c r="Y2364" i="12" s="1"/>
  <c r="W2365" i="12"/>
  <c r="W2366" i="12"/>
  <c r="X2368" i="12"/>
  <c r="U2369" i="12"/>
  <c r="V2370" i="12"/>
  <c r="W2371" i="12"/>
  <c r="V2373" i="12"/>
  <c r="W2374" i="12"/>
  <c r="X2375" i="12"/>
  <c r="U2376" i="12"/>
  <c r="X2377" i="12"/>
  <c r="V2378" i="12"/>
  <c r="W2379" i="12"/>
  <c r="V2380" i="12"/>
  <c r="X2381" i="12"/>
  <c r="U2383" i="12"/>
  <c r="Y2383" i="12" s="1"/>
  <c r="X2384" i="12"/>
  <c r="U2385" i="12"/>
  <c r="U2388" i="12"/>
  <c r="U2390" i="12"/>
  <c r="Y2390" i="12" s="1"/>
  <c r="U2392" i="12"/>
  <c r="X2393" i="12"/>
  <c r="U2394" i="12"/>
  <c r="Y2394" i="12" s="1"/>
  <c r="V2396" i="12"/>
  <c r="X2398" i="12"/>
  <c r="X2399" i="12"/>
  <c r="U2400" i="12"/>
  <c r="V2401" i="12"/>
  <c r="V2402" i="12"/>
  <c r="W2403" i="12"/>
  <c r="X2404" i="12"/>
  <c r="U2405" i="12"/>
  <c r="W2467" i="12"/>
  <c r="V2468" i="12"/>
  <c r="W2475" i="12"/>
  <c r="V2476" i="12"/>
  <c r="W2483" i="12"/>
  <c r="V2484" i="12"/>
  <c r="W2491" i="12"/>
  <c r="V2492" i="12"/>
  <c r="W2499" i="12"/>
  <c r="V2500" i="12"/>
  <c r="W2507" i="12"/>
  <c r="V2508" i="12"/>
  <c r="Y2508" i="12" s="1"/>
  <c r="W2515" i="12"/>
  <c r="V2516" i="12"/>
  <c r="W2523" i="12"/>
  <c r="V2524" i="12"/>
  <c r="Y2524" i="12" s="1"/>
  <c r="U2268" i="12"/>
  <c r="X2268" i="12"/>
  <c r="U2269" i="12"/>
  <c r="U2270" i="12"/>
  <c r="V2271" i="12"/>
  <c r="V2274" i="12"/>
  <c r="V2275" i="12"/>
  <c r="V2276" i="12"/>
  <c r="V2277" i="12"/>
  <c r="V2278" i="12"/>
  <c r="V2279" i="12"/>
  <c r="V2280" i="12"/>
  <c r="V2281" i="12"/>
  <c r="V2282" i="12"/>
  <c r="V2283" i="12"/>
  <c r="V2284" i="12"/>
  <c r="V2285" i="12"/>
  <c r="V2286" i="12"/>
  <c r="V2287" i="12"/>
  <c r="Y2287" i="12" s="1"/>
  <c r="V2288" i="12"/>
  <c r="V2289" i="12"/>
  <c r="V2290" i="12"/>
  <c r="V2291" i="12"/>
  <c r="V2292" i="12"/>
  <c r="V2293" i="12"/>
  <c r="V2294" i="12"/>
  <c r="V2295" i="12"/>
  <c r="V2296" i="12"/>
  <c r="V2297" i="12"/>
  <c r="V2298" i="12"/>
  <c r="V2299" i="12"/>
  <c r="V2300" i="12"/>
  <c r="V2301" i="12"/>
  <c r="V2302" i="12"/>
  <c r="V2303" i="12"/>
  <c r="V2304" i="12"/>
  <c r="V2305" i="12"/>
  <c r="V2306" i="12"/>
  <c r="V2307" i="12"/>
  <c r="V2308" i="12"/>
  <c r="V2309" i="12"/>
  <c r="V2310" i="12"/>
  <c r="V2311" i="12"/>
  <c r="V2312" i="12"/>
  <c r="V2313" i="12"/>
  <c r="W2314" i="12"/>
  <c r="X2315" i="12"/>
  <c r="Y2315" i="12" s="1"/>
  <c r="U2316" i="12"/>
  <c r="V2317" i="12"/>
  <c r="W2318" i="12"/>
  <c r="X2319" i="12"/>
  <c r="U2320" i="12"/>
  <c r="Y2320" i="12" s="1"/>
  <c r="X2320" i="12"/>
  <c r="U2321" i="12"/>
  <c r="V2322" i="12"/>
  <c r="W2323" i="12"/>
  <c r="Y2323" i="12" s="1"/>
  <c r="X2324" i="12"/>
  <c r="U2325" i="12"/>
  <c r="V2326" i="12"/>
  <c r="V2327" i="12"/>
  <c r="Y2327" i="12" s="1"/>
  <c r="W2329" i="12"/>
  <c r="X2330" i="12"/>
  <c r="U2331" i="12"/>
  <c r="Y2331" i="12" s="1"/>
  <c r="V2332" i="12"/>
  <c r="Y2332" i="12" s="1"/>
  <c r="V2333" i="12"/>
  <c r="W2335" i="12"/>
  <c r="W2336" i="12"/>
  <c r="X2337" i="12"/>
  <c r="U2338" i="12"/>
  <c r="V2339" i="12"/>
  <c r="W2340" i="12"/>
  <c r="Y2340" i="12" s="1"/>
  <c r="X2341" i="12"/>
  <c r="U2342" i="12"/>
  <c r="V2343" i="12"/>
  <c r="W2344" i="12"/>
  <c r="Y2344" i="12" s="1"/>
  <c r="X2345" i="12"/>
  <c r="U2346" i="12"/>
  <c r="V2347" i="12"/>
  <c r="V2348" i="12"/>
  <c r="W2349" i="12"/>
  <c r="X2350" i="12"/>
  <c r="U2351" i="12"/>
  <c r="V2352" i="12"/>
  <c r="W2353" i="12"/>
  <c r="Y2353" i="12" s="1"/>
  <c r="X2354" i="12"/>
  <c r="U2355" i="12"/>
  <c r="U2356" i="12"/>
  <c r="Y2356" i="12" s="1"/>
  <c r="U2357" i="12"/>
  <c r="U2358" i="12"/>
  <c r="V2359" i="12"/>
  <c r="V2360" i="12"/>
  <c r="V2361" i="12"/>
  <c r="V2362" i="12"/>
  <c r="W2364" i="12"/>
  <c r="X2365" i="12"/>
  <c r="X2366" i="12"/>
  <c r="Y2366" i="12" s="1"/>
  <c r="W2367" i="12"/>
  <c r="V2369" i="12"/>
  <c r="X2370" i="12"/>
  <c r="X2371" i="12"/>
  <c r="U2372" i="12"/>
  <c r="W2373" i="12"/>
  <c r="U2375" i="12"/>
  <c r="V2376" i="12"/>
  <c r="W2378" i="12"/>
  <c r="W2380" i="12"/>
  <c r="U2382" i="12"/>
  <c r="X2385" i="12"/>
  <c r="U2386" i="12"/>
  <c r="V2388" i="12"/>
  <c r="V2390" i="12"/>
  <c r="V2392" i="12"/>
  <c r="V2394" i="12"/>
  <c r="V2395" i="12"/>
  <c r="U2397" i="12"/>
  <c r="Y2397" i="12" s="1"/>
  <c r="U2406" i="12"/>
  <c r="V2407" i="12"/>
  <c r="W2408" i="12"/>
  <c r="X2409" i="12"/>
  <c r="X2410" i="12"/>
  <c r="U2411" i="12"/>
  <c r="V2412" i="12"/>
  <c r="W2413" i="12"/>
  <c r="W2414" i="12"/>
  <c r="X2415" i="12"/>
  <c r="U2416" i="12"/>
  <c r="V2417" i="12"/>
  <c r="V2418" i="12"/>
  <c r="W2419" i="12"/>
  <c r="X2420" i="12"/>
  <c r="U2421" i="12"/>
  <c r="V2536" i="12"/>
  <c r="Y2536" i="12" s="1"/>
  <c r="V2214" i="12"/>
  <c r="W2215" i="12"/>
  <c r="X2216" i="12"/>
  <c r="U2217" i="12"/>
  <c r="Y2217" i="12" s="1"/>
  <c r="V2218" i="12"/>
  <c r="W2219" i="12"/>
  <c r="X2220" i="12"/>
  <c r="U2221" i="12"/>
  <c r="Y2221" i="12" s="1"/>
  <c r="V2222" i="12"/>
  <c r="W2223" i="12"/>
  <c r="X2224" i="12"/>
  <c r="U2225" i="12"/>
  <c r="Y2225" i="12" s="1"/>
  <c r="V2226" i="12"/>
  <c r="W2227" i="12"/>
  <c r="X2228" i="12"/>
  <c r="U2229" i="12"/>
  <c r="Y2229" i="12" s="1"/>
  <c r="V2230" i="12"/>
  <c r="W2231" i="12"/>
  <c r="X2232" i="12"/>
  <c r="U2233" i="12"/>
  <c r="Y2233" i="12" s="1"/>
  <c r="V2234" i="12"/>
  <c r="W2235" i="12"/>
  <c r="X2236" i="12"/>
  <c r="U2237" i="12"/>
  <c r="Y2237" i="12" s="1"/>
  <c r="V2238" i="12"/>
  <c r="W2239" i="12"/>
  <c r="X2240" i="12"/>
  <c r="U2241" i="12"/>
  <c r="Y2241" i="12" s="1"/>
  <c r="V2242" i="12"/>
  <c r="W2243" i="12"/>
  <c r="X2244" i="12"/>
  <c r="U2245" i="12"/>
  <c r="Y2245" i="12" s="1"/>
  <c r="V2246" i="12"/>
  <c r="W2247" i="12"/>
  <c r="X2248" i="12"/>
  <c r="U2249" i="12"/>
  <c r="Y2249" i="12" s="1"/>
  <c r="V2250" i="12"/>
  <c r="W2251" i="12"/>
  <c r="X2252" i="12"/>
  <c r="U2253" i="12"/>
  <c r="Y2253" i="12" s="1"/>
  <c r="V2254" i="12"/>
  <c r="W2255" i="12"/>
  <c r="X2256" i="12"/>
  <c r="U2257" i="12"/>
  <c r="Y2257" i="12" s="1"/>
  <c r="V2258" i="12"/>
  <c r="W2259" i="12"/>
  <c r="X2260" i="12"/>
  <c r="U2261" i="12"/>
  <c r="Y2261" i="12" s="1"/>
  <c r="V2262" i="12"/>
  <c r="W2263" i="12"/>
  <c r="W2264" i="12"/>
  <c r="W2265" i="12"/>
  <c r="Y2265" i="12" s="1"/>
  <c r="V2267" i="12"/>
  <c r="V2268" i="12"/>
  <c r="V2269" i="12"/>
  <c r="V2270" i="12"/>
  <c r="W2271" i="12"/>
  <c r="W2272" i="12"/>
  <c r="W2273" i="12"/>
  <c r="Y2273" i="12" s="1"/>
  <c r="W2313" i="12"/>
  <c r="Y2313" i="12" s="1"/>
  <c r="X2314" i="12"/>
  <c r="U2315" i="12"/>
  <c r="V2316" i="12"/>
  <c r="W2317" i="12"/>
  <c r="Y2317" i="12" s="1"/>
  <c r="X2318" i="12"/>
  <c r="U2319" i="12"/>
  <c r="V2320" i="12"/>
  <c r="V2321" i="12"/>
  <c r="W2322" i="12"/>
  <c r="X2323" i="12"/>
  <c r="U2324" i="12"/>
  <c r="V2325" i="12"/>
  <c r="W2327" i="12"/>
  <c r="W2328" i="12"/>
  <c r="X2329" i="12"/>
  <c r="U2330" i="12"/>
  <c r="Y2330" i="12" s="1"/>
  <c r="V2331" i="12"/>
  <c r="W2333" i="12"/>
  <c r="W2334" i="12"/>
  <c r="X2335" i="12"/>
  <c r="Y2335" i="12" s="1"/>
  <c r="U2336" i="12"/>
  <c r="X2336" i="12"/>
  <c r="U2337" i="12"/>
  <c r="V2338" i="12"/>
  <c r="Y2338" i="12" s="1"/>
  <c r="W2339" i="12"/>
  <c r="X2340" i="12"/>
  <c r="U2341" i="12"/>
  <c r="V2342" i="12"/>
  <c r="W2343" i="12"/>
  <c r="X2344" i="12"/>
  <c r="U2345" i="12"/>
  <c r="V2346" i="12"/>
  <c r="W2347" i="12"/>
  <c r="W2348" i="12"/>
  <c r="X2349" i="12"/>
  <c r="U2350" i="12"/>
  <c r="V2351" i="12"/>
  <c r="W2352" i="12"/>
  <c r="X2353" i="12"/>
  <c r="U2354" i="12"/>
  <c r="Y2354" i="12" s="1"/>
  <c r="V2355" i="12"/>
  <c r="V2356" i="12"/>
  <c r="V2357" i="12"/>
  <c r="V2358" i="12"/>
  <c r="W2359" i="12"/>
  <c r="W2360" i="12"/>
  <c r="W2362" i="12"/>
  <c r="W2363" i="12"/>
  <c r="X2364" i="12"/>
  <c r="U2365" i="12"/>
  <c r="U2366" i="12"/>
  <c r="U2367" i="12"/>
  <c r="Y2367" i="12" s="1"/>
  <c r="X2367" i="12"/>
  <c r="U2368" i="12"/>
  <c r="X2369" i="12"/>
  <c r="U2371" i="12"/>
  <c r="Y2371" i="12" s="1"/>
  <c r="V2372" i="12"/>
  <c r="U2374" i="12"/>
  <c r="V2375" i="12"/>
  <c r="W2376" i="12"/>
  <c r="Y2376" i="12" s="1"/>
  <c r="V2377" i="12"/>
  <c r="X2378" i="12"/>
  <c r="V2379" i="12"/>
  <c r="Y2379" i="12" s="1"/>
  <c r="X2380" i="12"/>
  <c r="Y2380" i="12" s="1"/>
  <c r="U2381" i="12"/>
  <c r="W2382" i="12"/>
  <c r="W2383" i="12"/>
  <c r="V2386" i="12"/>
  <c r="Y2386" i="12" s="1"/>
  <c r="V2387" i="12"/>
  <c r="U2389" i="12"/>
  <c r="U2391" i="12"/>
  <c r="U2393" i="12"/>
  <c r="Y2393" i="12" s="1"/>
  <c r="V2397" i="12"/>
  <c r="U2422" i="12"/>
  <c r="V2423" i="12"/>
  <c r="W2424" i="12"/>
  <c r="Y2424" i="12" s="1"/>
  <c r="X2425" i="12"/>
  <c r="X2426" i="12"/>
  <c r="U2427" i="12"/>
  <c r="V2428" i="12"/>
  <c r="Y2428" i="12" s="1"/>
  <c r="W2429" i="12"/>
  <c r="W2430" i="12"/>
  <c r="X2431" i="12"/>
  <c r="U2432" i="12"/>
  <c r="Y2432" i="12" s="1"/>
  <c r="V2433" i="12"/>
  <c r="V2434" i="12"/>
  <c r="W2435" i="12"/>
  <c r="X2436" i="12"/>
  <c r="Y2436" i="12" s="1"/>
  <c r="U2437" i="12"/>
  <c r="W2463" i="12"/>
  <c r="V2464" i="12"/>
  <c r="Y2464" i="12" s="1"/>
  <c r="W2471" i="12"/>
  <c r="V2472" i="12"/>
  <c r="W2479" i="12"/>
  <c r="V2480" i="12"/>
  <c r="W2487" i="12"/>
  <c r="V2488" i="12"/>
  <c r="W2495" i="12"/>
  <c r="V2496" i="12"/>
  <c r="W2503" i="12"/>
  <c r="V2504" i="12"/>
  <c r="W2511" i="12"/>
  <c r="V2512" i="12"/>
  <c r="Y2512" i="12" s="1"/>
  <c r="W2519" i="12"/>
  <c r="V2520" i="12"/>
  <c r="V2544" i="12"/>
  <c r="V2557" i="12"/>
  <c r="X2558" i="12"/>
  <c r="Y2558" i="12" s="1"/>
  <c r="U2559" i="12"/>
  <c r="V2561" i="12"/>
  <c r="X2562" i="12"/>
  <c r="U2563" i="12"/>
  <c r="W2564" i="12"/>
  <c r="X2599" i="12"/>
  <c r="U2600" i="12"/>
  <c r="U2398" i="12"/>
  <c r="Y2398" i="12" s="1"/>
  <c r="U2399" i="12"/>
  <c r="V2400" i="12"/>
  <c r="W2401" i="12"/>
  <c r="W2402" i="12"/>
  <c r="Y2402" i="12" s="1"/>
  <c r="X2403" i="12"/>
  <c r="U2404" i="12"/>
  <c r="V2405" i="12"/>
  <c r="V2406" i="12"/>
  <c r="W2407" i="12"/>
  <c r="X2408" i="12"/>
  <c r="U2409" i="12"/>
  <c r="U2410" i="12"/>
  <c r="Y2410" i="12" s="1"/>
  <c r="V2411" i="12"/>
  <c r="W2412" i="12"/>
  <c r="X2413" i="12"/>
  <c r="X2414" i="12"/>
  <c r="U2415" i="12"/>
  <c r="V2416" i="12"/>
  <c r="W2417" i="12"/>
  <c r="W2418" i="12"/>
  <c r="Y2418" i="12" s="1"/>
  <c r="X2419" i="12"/>
  <c r="U2420" i="12"/>
  <c r="V2421" i="12"/>
  <c r="V2422" i="12"/>
  <c r="Y2422" i="12" s="1"/>
  <c r="W2423" i="12"/>
  <c r="X2424" i="12"/>
  <c r="U2425" i="12"/>
  <c r="U2426" i="12"/>
  <c r="Y2426" i="12" s="1"/>
  <c r="V2427" i="12"/>
  <c r="W2428" i="12"/>
  <c r="X2429" i="12"/>
  <c r="X2430" i="12"/>
  <c r="Y2430" i="12" s="1"/>
  <c r="U2431" i="12"/>
  <c r="V2432" i="12"/>
  <c r="W2433" i="12"/>
  <c r="W2434" i="12"/>
  <c r="Y2434" i="12" s="1"/>
  <c r="X2435" i="12"/>
  <c r="U2436" i="12"/>
  <c r="V2437" i="12"/>
  <c r="V2438" i="12"/>
  <c r="Y2438" i="12" s="1"/>
  <c r="W2439" i="12"/>
  <c r="X2440" i="12"/>
  <c r="U2441" i="12"/>
  <c r="U2442" i="12"/>
  <c r="Y2442" i="12" s="1"/>
  <c r="V2443" i="12"/>
  <c r="W2444" i="12"/>
  <c r="X2445" i="12"/>
  <c r="X2446" i="12"/>
  <c r="Y2446" i="12" s="1"/>
  <c r="U2447" i="12"/>
  <c r="V2448" i="12"/>
  <c r="W2449" i="12"/>
  <c r="X2450" i="12"/>
  <c r="Y2450" i="12" s="1"/>
  <c r="U2451" i="12"/>
  <c r="V2452" i="12"/>
  <c r="W2453" i="12"/>
  <c r="X2454" i="12"/>
  <c r="Y2454" i="12" s="1"/>
  <c r="U2455" i="12"/>
  <c r="V2456" i="12"/>
  <c r="W2457" i="12"/>
  <c r="X2458" i="12"/>
  <c r="Y2458" i="12" s="1"/>
  <c r="U2459" i="12"/>
  <c r="V2460" i="12"/>
  <c r="X2461" i="12"/>
  <c r="U2462" i="12"/>
  <c r="X2464" i="12"/>
  <c r="U2465" i="12"/>
  <c r="X2468" i="12"/>
  <c r="U2469" i="12"/>
  <c r="Y2469" i="12" s="1"/>
  <c r="X2472" i="12"/>
  <c r="U2473" i="12"/>
  <c r="X2476" i="12"/>
  <c r="U2477" i="12"/>
  <c r="Y2477" i="12" s="1"/>
  <c r="X2480" i="12"/>
  <c r="U2481" i="12"/>
  <c r="X2484" i="12"/>
  <c r="U2485" i="12"/>
  <c r="Y2485" i="12" s="1"/>
  <c r="X2488" i="12"/>
  <c r="U2489" i="12"/>
  <c r="X2492" i="12"/>
  <c r="U2493" i="12"/>
  <c r="Y2493" i="12" s="1"/>
  <c r="X2496" i="12"/>
  <c r="U2497" i="12"/>
  <c r="X2500" i="12"/>
  <c r="Y2500" i="12" s="1"/>
  <c r="U2501" i="12"/>
  <c r="Y2501" i="12" s="1"/>
  <c r="X2504" i="12"/>
  <c r="U2505" i="12"/>
  <c r="X2508" i="12"/>
  <c r="U2509" i="12"/>
  <c r="Y2509" i="12" s="1"/>
  <c r="X2512" i="12"/>
  <c r="U2513" i="12"/>
  <c r="X2516" i="12"/>
  <c r="Y2516" i="12" s="1"/>
  <c r="U2517" i="12"/>
  <c r="Y2517" i="12" s="1"/>
  <c r="X2520" i="12"/>
  <c r="U2521" i="12"/>
  <c r="X2524" i="12"/>
  <c r="U2525" i="12"/>
  <c r="Y2525" i="12" s="1"/>
  <c r="V2526" i="12"/>
  <c r="W2527" i="12"/>
  <c r="X2528" i="12"/>
  <c r="Y2528" i="12" s="1"/>
  <c r="U2529" i="12"/>
  <c r="Y2529" i="12" s="1"/>
  <c r="V2530" i="12"/>
  <c r="W2531" i="12"/>
  <c r="X2532" i="12"/>
  <c r="Y2532" i="12" s="1"/>
  <c r="U2533" i="12"/>
  <c r="Y2533" i="12" s="1"/>
  <c r="W2534" i="12"/>
  <c r="W2542" i="12"/>
  <c r="W2555" i="12"/>
  <c r="V2579" i="12"/>
  <c r="W2586" i="12"/>
  <c r="W2587" i="12"/>
  <c r="V2596" i="12"/>
  <c r="V2597" i="12"/>
  <c r="U2384" i="12"/>
  <c r="V2385" i="12"/>
  <c r="W2386" i="12"/>
  <c r="W2387" i="12"/>
  <c r="Y2387" i="12" s="1"/>
  <c r="W2388" i="12"/>
  <c r="W2389" i="12"/>
  <c r="W2390" i="12"/>
  <c r="W2391" i="12"/>
  <c r="Y2391" i="12" s="1"/>
  <c r="W2392" i="12"/>
  <c r="W2394" i="12"/>
  <c r="W2395" i="12"/>
  <c r="W2396" i="12"/>
  <c r="Y2396" i="12" s="1"/>
  <c r="V2398" i="12"/>
  <c r="V2399" i="12"/>
  <c r="W2400" i="12"/>
  <c r="X2401" i="12"/>
  <c r="X2402" i="12"/>
  <c r="U2403" i="12"/>
  <c r="V2404" i="12"/>
  <c r="Y2404" i="12" s="1"/>
  <c r="W2405" i="12"/>
  <c r="W2406" i="12"/>
  <c r="X2407" i="12"/>
  <c r="U2408" i="12"/>
  <c r="Y2408" i="12" s="1"/>
  <c r="V2409" i="12"/>
  <c r="Y2409" i="12" s="1"/>
  <c r="V2410" i="12"/>
  <c r="W2411" i="12"/>
  <c r="X2412" i="12"/>
  <c r="U2413" i="12"/>
  <c r="Y2413" i="12" s="1"/>
  <c r="U2414" i="12"/>
  <c r="V2415" i="12"/>
  <c r="W2416" i="12"/>
  <c r="Y2416" i="12" s="1"/>
  <c r="X2417" i="12"/>
  <c r="Y2417" i="12" s="1"/>
  <c r="X2418" i="12"/>
  <c r="U2419" i="12"/>
  <c r="V2420" i="12"/>
  <c r="Y2420" i="12" s="1"/>
  <c r="W2421" i="12"/>
  <c r="Y2421" i="12" s="1"/>
  <c r="W2422" i="12"/>
  <c r="X2423" i="12"/>
  <c r="U2424" i="12"/>
  <c r="V2425" i="12"/>
  <c r="Y2425" i="12" s="1"/>
  <c r="V2426" i="12"/>
  <c r="W2427" i="12"/>
  <c r="X2428" i="12"/>
  <c r="U2429" i="12"/>
  <c r="Y2429" i="12" s="1"/>
  <c r="U2430" i="12"/>
  <c r="V2431" i="12"/>
  <c r="W2432" i="12"/>
  <c r="X2433" i="12"/>
  <c r="X2434" i="12"/>
  <c r="U2435" i="12"/>
  <c r="V2436" i="12"/>
  <c r="W2437" i="12"/>
  <c r="Y2437" i="12" s="1"/>
  <c r="W2438" i="12"/>
  <c r="X2439" i="12"/>
  <c r="U2440" i="12"/>
  <c r="Y2440" i="12" s="1"/>
  <c r="V2441" i="12"/>
  <c r="V2442" i="12"/>
  <c r="W2443" i="12"/>
  <c r="X2444" i="12"/>
  <c r="U2445" i="12"/>
  <c r="Y2445" i="12" s="1"/>
  <c r="U2446" i="12"/>
  <c r="V2447" i="12"/>
  <c r="W2448" i="12"/>
  <c r="Y2448" i="12" s="1"/>
  <c r="X2449" i="12"/>
  <c r="U2450" i="12"/>
  <c r="V2451" i="12"/>
  <c r="W2452" i="12"/>
  <c r="Y2452" i="12" s="1"/>
  <c r="X2453" i="12"/>
  <c r="Y2453" i="12" s="1"/>
  <c r="U2454" i="12"/>
  <c r="V2455" i="12"/>
  <c r="W2456" i="12"/>
  <c r="Y2456" i="12" s="1"/>
  <c r="X2457" i="12"/>
  <c r="Y2457" i="12" s="1"/>
  <c r="U2458" i="12"/>
  <c r="V2459" i="12"/>
  <c r="W2460" i="12"/>
  <c r="Y2460" i="12" s="1"/>
  <c r="V2462" i="12"/>
  <c r="W2465" i="12"/>
  <c r="V2466" i="12"/>
  <c r="W2469" i="12"/>
  <c r="V2470" i="12"/>
  <c r="W2473" i="12"/>
  <c r="V2474" i="12"/>
  <c r="W2477" i="12"/>
  <c r="V2478" i="12"/>
  <c r="W2481" i="12"/>
  <c r="V2482" i="12"/>
  <c r="W2485" i="12"/>
  <c r="V2486" i="12"/>
  <c r="W2489" i="12"/>
  <c r="V2490" i="12"/>
  <c r="W2493" i="12"/>
  <c r="V2494" i="12"/>
  <c r="W2497" i="12"/>
  <c r="V2498" i="12"/>
  <c r="W2501" i="12"/>
  <c r="V2502" i="12"/>
  <c r="W2505" i="12"/>
  <c r="V2506" i="12"/>
  <c r="W2509" i="12"/>
  <c r="V2510" i="12"/>
  <c r="W2513" i="12"/>
  <c r="V2514" i="12"/>
  <c r="W2517" i="12"/>
  <c r="V2518" i="12"/>
  <c r="W2521" i="12"/>
  <c r="V2522" i="12"/>
  <c r="V2540" i="12"/>
  <c r="V2549" i="12"/>
  <c r="W2550" i="12"/>
  <c r="X2551" i="12"/>
  <c r="U2552" i="12"/>
  <c r="V2553" i="12"/>
  <c r="X2568" i="12"/>
  <c r="U2569" i="12"/>
  <c r="X2576" i="12"/>
  <c r="U2577" i="12"/>
  <c r="Y2577" i="12" s="1"/>
  <c r="X2593" i="12"/>
  <c r="U2594" i="12"/>
  <c r="V2368" i="12"/>
  <c r="W2369" i="12"/>
  <c r="W2370" i="12"/>
  <c r="W2372" i="12"/>
  <c r="Y2372" i="12" s="1"/>
  <c r="X2373" i="12"/>
  <c r="X2374" i="12"/>
  <c r="W2375" i="12"/>
  <c r="X2376" i="12"/>
  <c r="U2377" i="12"/>
  <c r="Y2377" i="12" s="1"/>
  <c r="U2378" i="12"/>
  <c r="Y2378" i="12" s="1"/>
  <c r="U2379" i="12"/>
  <c r="X2379" i="12"/>
  <c r="U2380" i="12"/>
  <c r="V2381" i="12"/>
  <c r="Y2381" i="12" s="1"/>
  <c r="V2382" i="12"/>
  <c r="V2383" i="12"/>
  <c r="V2384" i="12"/>
  <c r="Y2384" i="12" s="1"/>
  <c r="W2385" i="12"/>
  <c r="Y2385" i="12" s="1"/>
  <c r="X2386" i="12"/>
  <c r="U2387" i="12"/>
  <c r="X2387" i="12"/>
  <c r="X2388" i="12"/>
  <c r="Y2388" i="12" s="1"/>
  <c r="X2389" i="12"/>
  <c r="X2390" i="12"/>
  <c r="X2391" i="12"/>
  <c r="X2392" i="12"/>
  <c r="W2393" i="12"/>
  <c r="X2394" i="12"/>
  <c r="U2395" i="12"/>
  <c r="X2395" i="12"/>
  <c r="X2396" i="12"/>
  <c r="W2397" i="12"/>
  <c r="W2398" i="12"/>
  <c r="W2399" i="12"/>
  <c r="Y2399" i="12" s="1"/>
  <c r="X2400" i="12"/>
  <c r="U2401" i="12"/>
  <c r="U2402" i="12"/>
  <c r="V2403" i="12"/>
  <c r="Y2403" i="12" s="1"/>
  <c r="W2404" i="12"/>
  <c r="X2405" i="12"/>
  <c r="X2406" i="12"/>
  <c r="U2407" i="12"/>
  <c r="V2408" i="12"/>
  <c r="W2409" i="12"/>
  <c r="W2410" i="12"/>
  <c r="X2411" i="12"/>
  <c r="Y2411" i="12" s="1"/>
  <c r="U2412" i="12"/>
  <c r="V2413" i="12"/>
  <c r="V2414" i="12"/>
  <c r="W2415" i="12"/>
  <c r="Y2415" i="12" s="1"/>
  <c r="X2416" i="12"/>
  <c r="U2417" i="12"/>
  <c r="U2418" i="12"/>
  <c r="V2419" i="12"/>
  <c r="Y2419" i="12" s="1"/>
  <c r="W2420" i="12"/>
  <c r="X2421" i="12"/>
  <c r="X2422" i="12"/>
  <c r="U2423" i="12"/>
  <c r="Y2423" i="12" s="1"/>
  <c r="V2424" i="12"/>
  <c r="W2425" i="12"/>
  <c r="W2426" i="12"/>
  <c r="X2427" i="12"/>
  <c r="Y2427" i="12" s="1"/>
  <c r="U2428" i="12"/>
  <c r="V2429" i="12"/>
  <c r="V2430" i="12"/>
  <c r="W2431" i="12"/>
  <c r="Y2431" i="12" s="1"/>
  <c r="X2432" i="12"/>
  <c r="U2433" i="12"/>
  <c r="U2434" i="12"/>
  <c r="V2435" i="12"/>
  <c r="Y2435" i="12" s="1"/>
  <c r="W2436" i="12"/>
  <c r="X2437" i="12"/>
  <c r="X2438" i="12"/>
  <c r="U2439" i="12"/>
  <c r="Y2439" i="12" s="1"/>
  <c r="V2440" i="12"/>
  <c r="W2441" i="12"/>
  <c r="W2442" i="12"/>
  <c r="X2443" i="12"/>
  <c r="U2444" i="12"/>
  <c r="V2445" i="12"/>
  <c r="V2446" i="12"/>
  <c r="W2447" i="12"/>
  <c r="Y2447" i="12" s="1"/>
  <c r="X2448" i="12"/>
  <c r="U2449" i="12"/>
  <c r="V2450" i="12"/>
  <c r="W2451" i="12"/>
  <c r="Y2451" i="12" s="1"/>
  <c r="X2452" i="12"/>
  <c r="U2453" i="12"/>
  <c r="V2454" i="12"/>
  <c r="W2455" i="12"/>
  <c r="Y2455" i="12" s="1"/>
  <c r="X2456" i="12"/>
  <c r="U2457" i="12"/>
  <c r="V2458" i="12"/>
  <c r="W2459" i="12"/>
  <c r="Y2459" i="12" s="1"/>
  <c r="X2460" i="12"/>
  <c r="U2461" i="12"/>
  <c r="X2462" i="12"/>
  <c r="U2463" i="12"/>
  <c r="X2466" i="12"/>
  <c r="U2467" i="12"/>
  <c r="X2470" i="12"/>
  <c r="U2471" i="12"/>
  <c r="X2474" i="12"/>
  <c r="U2475" i="12"/>
  <c r="X2478" i="12"/>
  <c r="U2479" i="12"/>
  <c r="X2482" i="12"/>
  <c r="U2483" i="12"/>
  <c r="X2486" i="12"/>
  <c r="U2487" i="12"/>
  <c r="X2490" i="12"/>
  <c r="U2491" i="12"/>
  <c r="X2494" i="12"/>
  <c r="U2495" i="12"/>
  <c r="X2498" i="12"/>
  <c r="U2499" i="12"/>
  <c r="X2502" i="12"/>
  <c r="U2503" i="12"/>
  <c r="X2506" i="12"/>
  <c r="U2507" i="12"/>
  <c r="X2510" i="12"/>
  <c r="U2511" i="12"/>
  <c r="X2514" i="12"/>
  <c r="U2515" i="12"/>
  <c r="X2518" i="12"/>
  <c r="U2519" i="12"/>
  <c r="X2522" i="12"/>
  <c r="U2523" i="12"/>
  <c r="W2538" i="12"/>
  <c r="W2546" i="12"/>
  <c r="W2566" i="12"/>
  <c r="X2582" i="12"/>
  <c r="U2583" i="12"/>
  <c r="V2590" i="12"/>
  <c r="V2591" i="12"/>
  <c r="U2603" i="12"/>
  <c r="V2461" i="12"/>
  <c r="Y2461" i="12" s="1"/>
  <c r="W2462" i="12"/>
  <c r="X2463" i="12"/>
  <c r="U2464" i="12"/>
  <c r="V2465" i="12"/>
  <c r="Y2465" i="12" s="1"/>
  <c r="W2466" i="12"/>
  <c r="Y2466" i="12" s="1"/>
  <c r="X2467" i="12"/>
  <c r="U2468" i="12"/>
  <c r="V2469" i="12"/>
  <c r="W2470" i="12"/>
  <c r="Y2470" i="12" s="1"/>
  <c r="X2471" i="12"/>
  <c r="U2472" i="12"/>
  <c r="V2473" i="12"/>
  <c r="Y2473" i="12" s="1"/>
  <c r="W2474" i="12"/>
  <c r="Y2474" i="12" s="1"/>
  <c r="X2475" i="12"/>
  <c r="U2476" i="12"/>
  <c r="V2477" i="12"/>
  <c r="W2478" i="12"/>
  <c r="Y2478" i="12" s="1"/>
  <c r="X2479" i="12"/>
  <c r="U2480" i="12"/>
  <c r="V2481" i="12"/>
  <c r="Y2481" i="12" s="1"/>
  <c r="W2482" i="12"/>
  <c r="Y2482" i="12" s="1"/>
  <c r="X2483" i="12"/>
  <c r="U2484" i="12"/>
  <c r="V2485" i="12"/>
  <c r="W2486" i="12"/>
  <c r="X2487" i="12"/>
  <c r="U2488" i="12"/>
  <c r="V2489" i="12"/>
  <c r="Y2489" i="12" s="1"/>
  <c r="W2490" i="12"/>
  <c r="Y2490" i="12" s="1"/>
  <c r="X2491" i="12"/>
  <c r="U2492" i="12"/>
  <c r="V2493" i="12"/>
  <c r="W2494" i="12"/>
  <c r="Y2494" i="12" s="1"/>
  <c r="X2495" i="12"/>
  <c r="U2496" i="12"/>
  <c r="V2497" i="12"/>
  <c r="Y2497" i="12" s="1"/>
  <c r="W2498" i="12"/>
  <c r="Y2498" i="12" s="1"/>
  <c r="X2499" i="12"/>
  <c r="U2500" i="12"/>
  <c r="V2501" i="12"/>
  <c r="W2502" i="12"/>
  <c r="Y2502" i="12" s="1"/>
  <c r="X2503" i="12"/>
  <c r="U2504" i="12"/>
  <c r="V2505" i="12"/>
  <c r="Y2505" i="12" s="1"/>
  <c r="W2506" i="12"/>
  <c r="X2507" i="12"/>
  <c r="U2508" i="12"/>
  <c r="V2509" i="12"/>
  <c r="W2510" i="12"/>
  <c r="Y2510" i="12" s="1"/>
  <c r="X2511" i="12"/>
  <c r="U2512" i="12"/>
  <c r="V2513" i="12"/>
  <c r="Y2513" i="12" s="1"/>
  <c r="W2514" i="12"/>
  <c r="X2515" i="12"/>
  <c r="U2516" i="12"/>
  <c r="V2517" i="12"/>
  <c r="W2518" i="12"/>
  <c r="X2519" i="12"/>
  <c r="U2520" i="12"/>
  <c r="V2521" i="12"/>
  <c r="Y2521" i="12" s="1"/>
  <c r="W2522" i="12"/>
  <c r="X2523" i="12"/>
  <c r="U2524" i="12"/>
  <c r="V2525" i="12"/>
  <c r="W2526" i="12"/>
  <c r="X2527" i="12"/>
  <c r="U2528" i="12"/>
  <c r="V2529" i="12"/>
  <c r="W2530" i="12"/>
  <c r="X2531" i="12"/>
  <c r="U2532" i="12"/>
  <c r="V2533" i="12"/>
  <c r="X2534" i="12"/>
  <c r="U2535" i="12"/>
  <c r="W2536" i="12"/>
  <c r="V2537" i="12"/>
  <c r="X2538" i="12"/>
  <c r="U2539" i="12"/>
  <c r="W2540" i="12"/>
  <c r="V2541" i="12"/>
  <c r="X2542" i="12"/>
  <c r="U2543" i="12"/>
  <c r="W2544" i="12"/>
  <c r="V2545" i="12"/>
  <c r="X2546" i="12"/>
  <c r="U2547" i="12"/>
  <c r="V2548" i="12"/>
  <c r="X2550" i="12"/>
  <c r="U2551" i="12"/>
  <c r="V2552" i="12"/>
  <c r="X2553" i="12"/>
  <c r="U2554" i="12"/>
  <c r="Y2554" i="12" s="1"/>
  <c r="X2555" i="12"/>
  <c r="Y2555" i="12" s="1"/>
  <c r="U2556" i="12"/>
  <c r="X2557" i="12"/>
  <c r="U2558" i="12"/>
  <c r="V2559" i="12"/>
  <c r="W2561" i="12"/>
  <c r="V2563" i="12"/>
  <c r="X2564" i="12"/>
  <c r="Y2564" i="12" s="1"/>
  <c r="U2565" i="12"/>
  <c r="Y2565" i="12" s="1"/>
  <c r="X2566" i="12"/>
  <c r="W2567" i="12"/>
  <c r="X2569" i="12"/>
  <c r="U2570" i="12"/>
  <c r="X2573" i="12"/>
  <c r="U2574" i="12"/>
  <c r="X2579" i="12"/>
  <c r="U2580" i="12"/>
  <c r="X2583" i="12"/>
  <c r="U2584" i="12"/>
  <c r="W2588" i="12"/>
  <c r="W2591" i="12"/>
  <c r="Y2591" i="12" s="1"/>
  <c r="W2592" i="12"/>
  <c r="X2594" i="12"/>
  <c r="U2595" i="12"/>
  <c r="W2597" i="12"/>
  <c r="Y2597" i="12" s="1"/>
  <c r="W2598" i="12"/>
  <c r="X2600" i="12"/>
  <c r="U2601" i="12"/>
  <c r="X2604" i="12"/>
  <c r="U2605" i="12"/>
  <c r="W2525" i="12"/>
  <c r="X2526" i="12"/>
  <c r="U2527" i="12"/>
  <c r="V2528" i="12"/>
  <c r="W2529" i="12"/>
  <c r="X2530" i="12"/>
  <c r="U2531" i="12"/>
  <c r="V2532" i="12"/>
  <c r="W2533" i="12"/>
  <c r="V2535" i="12"/>
  <c r="W2537" i="12"/>
  <c r="V2539" i="12"/>
  <c r="W2541" i="12"/>
  <c r="V2543" i="12"/>
  <c r="W2545" i="12"/>
  <c r="V2547" i="12"/>
  <c r="X2549" i="12"/>
  <c r="U2550" i="12"/>
  <c r="Y2550" i="12" s="1"/>
  <c r="V2551" i="12"/>
  <c r="V2554" i="12"/>
  <c r="W2556" i="12"/>
  <c r="V2558" i="12"/>
  <c r="W2559" i="12"/>
  <c r="Y2559" i="12" s="1"/>
  <c r="V2560" i="12"/>
  <c r="X2561" i="12"/>
  <c r="U2562" i="12"/>
  <c r="X2563" i="12"/>
  <c r="U2564" i="12"/>
  <c r="V2565" i="12"/>
  <c r="X2567" i="12"/>
  <c r="U2568" i="12"/>
  <c r="V2570" i="12"/>
  <c r="V2571" i="12"/>
  <c r="V2574" i="12"/>
  <c r="V2575" i="12"/>
  <c r="Y2575" i="12" s="1"/>
  <c r="X2577" i="12"/>
  <c r="U2578" i="12"/>
  <c r="V2580" i="12"/>
  <c r="V2581" i="12"/>
  <c r="Y2581" i="12" s="1"/>
  <c r="V2584" i="12"/>
  <c r="V2585" i="12"/>
  <c r="X2588" i="12"/>
  <c r="U2589" i="12"/>
  <c r="Y2589" i="12" s="1"/>
  <c r="X2592" i="12"/>
  <c r="U2593" i="12"/>
  <c r="V2595" i="12"/>
  <c r="X2598" i="12"/>
  <c r="Y2598" i="12" s="1"/>
  <c r="U2599" i="12"/>
  <c r="V2601" i="12"/>
  <c r="U2606" i="12"/>
  <c r="V2463" i="12"/>
  <c r="W2464" i="12"/>
  <c r="X2465" i="12"/>
  <c r="U2466" i="12"/>
  <c r="V2467" i="12"/>
  <c r="Y2467" i="12" s="1"/>
  <c r="W2468" i="12"/>
  <c r="X2469" i="12"/>
  <c r="U2470" i="12"/>
  <c r="V2471" i="12"/>
  <c r="W2472" i="12"/>
  <c r="X2473" i="12"/>
  <c r="U2474" i="12"/>
  <c r="V2475" i="12"/>
  <c r="Y2475" i="12" s="1"/>
  <c r="W2476" i="12"/>
  <c r="X2477" i="12"/>
  <c r="U2478" i="12"/>
  <c r="V2479" i="12"/>
  <c r="W2480" i="12"/>
  <c r="X2481" i="12"/>
  <c r="U2482" i="12"/>
  <c r="V2483" i="12"/>
  <c r="Y2483" i="12" s="1"/>
  <c r="W2484" i="12"/>
  <c r="X2485" i="12"/>
  <c r="U2486" i="12"/>
  <c r="V2487" i="12"/>
  <c r="W2488" i="12"/>
  <c r="X2489" i="12"/>
  <c r="U2490" i="12"/>
  <c r="V2491" i="12"/>
  <c r="Y2491" i="12" s="1"/>
  <c r="W2492" i="12"/>
  <c r="X2493" i="12"/>
  <c r="U2494" i="12"/>
  <c r="V2495" i="12"/>
  <c r="Y2495" i="12" s="1"/>
  <c r="W2496" i="12"/>
  <c r="X2497" i="12"/>
  <c r="U2498" i="12"/>
  <c r="V2499" i="12"/>
  <c r="Y2499" i="12" s="1"/>
  <c r="W2500" i="12"/>
  <c r="X2501" i="12"/>
  <c r="U2502" i="12"/>
  <c r="V2503" i="12"/>
  <c r="Y2503" i="12" s="1"/>
  <c r="W2504" i="12"/>
  <c r="X2505" i="12"/>
  <c r="U2506" i="12"/>
  <c r="V2507" i="12"/>
  <c r="Y2507" i="12" s="1"/>
  <c r="W2508" i="12"/>
  <c r="X2509" i="12"/>
  <c r="U2510" i="12"/>
  <c r="V2511" i="12"/>
  <c r="Y2511" i="12" s="1"/>
  <c r="W2512" i="12"/>
  <c r="X2513" i="12"/>
  <c r="U2514" i="12"/>
  <c r="V2515" i="12"/>
  <c r="Y2515" i="12" s="1"/>
  <c r="W2516" i="12"/>
  <c r="X2517" i="12"/>
  <c r="U2518" i="12"/>
  <c r="V2519" i="12"/>
  <c r="W2520" i="12"/>
  <c r="X2521" i="12"/>
  <c r="U2522" i="12"/>
  <c r="V2523" i="12"/>
  <c r="W2524" i="12"/>
  <c r="X2525" i="12"/>
  <c r="U2526" i="12"/>
  <c r="V2527" i="12"/>
  <c r="W2528" i="12"/>
  <c r="X2529" i="12"/>
  <c r="U2530" i="12"/>
  <c r="V2531" i="12"/>
  <c r="W2532" i="12"/>
  <c r="X2533" i="12"/>
  <c r="U2534" i="12"/>
  <c r="X2535" i="12"/>
  <c r="Y2535" i="12" s="1"/>
  <c r="U2536" i="12"/>
  <c r="X2537" i="12"/>
  <c r="U2538" i="12"/>
  <c r="X2539" i="12"/>
  <c r="Y2539" i="12" s="1"/>
  <c r="U2540" i="12"/>
  <c r="X2541" i="12"/>
  <c r="U2542" i="12"/>
  <c r="X2543" i="12"/>
  <c r="Y2543" i="12" s="1"/>
  <c r="U2544" i="12"/>
  <c r="X2545" i="12"/>
  <c r="U2546" i="12"/>
  <c r="X2547" i="12"/>
  <c r="Y2547" i="12" s="1"/>
  <c r="U2548" i="12"/>
  <c r="X2548" i="12"/>
  <c r="U2549" i="12"/>
  <c r="X2552" i="12"/>
  <c r="Y2552" i="12" s="1"/>
  <c r="U2553" i="12"/>
  <c r="W2554" i="12"/>
  <c r="V2555" i="12"/>
  <c r="X2556" i="12"/>
  <c r="Y2556" i="12" s="1"/>
  <c r="U2557" i="12"/>
  <c r="W2558" i="12"/>
  <c r="W2560" i="12"/>
  <c r="W2562" i="12"/>
  <c r="Y2562" i="12" s="1"/>
  <c r="V2564" i="12"/>
  <c r="W2565" i="12"/>
  <c r="V2566" i="12"/>
  <c r="W2568" i="12"/>
  <c r="W2571" i="12"/>
  <c r="W2572" i="12"/>
  <c r="W2575" i="12"/>
  <c r="W2576" i="12"/>
  <c r="X2578" i="12"/>
  <c r="U2579" i="12"/>
  <c r="W2581" i="12"/>
  <c r="W2582" i="12"/>
  <c r="Y2582" i="12" s="1"/>
  <c r="W2585" i="12"/>
  <c r="V2586" i="12"/>
  <c r="X2589" i="12"/>
  <c r="U2590" i="12"/>
  <c r="X2595" i="12"/>
  <c r="U2596" i="12"/>
  <c r="V2602" i="12"/>
  <c r="X2606" i="12"/>
  <c r="X2607" i="12"/>
  <c r="U2608" i="12"/>
  <c r="V2603" i="12"/>
  <c r="V2604" i="12"/>
  <c r="V2605" i="12"/>
  <c r="V2606" i="12"/>
  <c r="U2607" i="12"/>
  <c r="Y2607" i="12" s="1"/>
  <c r="X2608" i="12"/>
  <c r="U2609" i="12"/>
  <c r="U2610" i="12"/>
  <c r="X2610" i="12"/>
  <c r="X2611" i="12"/>
  <c r="U2612" i="12"/>
  <c r="V2613" i="12"/>
  <c r="W2614" i="12"/>
  <c r="X2615" i="12"/>
  <c r="U2616" i="12"/>
  <c r="V2617" i="12"/>
  <c r="W2618" i="12"/>
  <c r="X2619" i="12"/>
  <c r="U2620" i="12"/>
  <c r="V2621" i="12"/>
  <c r="W2622" i="12"/>
  <c r="X2623" i="12"/>
  <c r="U2624" i="12"/>
  <c r="V2625" i="12"/>
  <c r="W2626" i="12"/>
  <c r="X2627" i="12"/>
  <c r="U2628" i="12"/>
  <c r="V2629" i="12"/>
  <c r="W2630" i="12"/>
  <c r="X2631" i="12"/>
  <c r="U2632" i="12"/>
  <c r="V2633" i="12"/>
  <c r="W2634" i="12"/>
  <c r="X2635" i="12"/>
  <c r="U2636" i="12"/>
  <c r="V2637" i="12"/>
  <c r="W2638" i="12"/>
  <c r="X2639" i="12"/>
  <c r="U2640" i="12"/>
  <c r="V2641" i="12"/>
  <c r="W2642" i="12"/>
  <c r="X2643" i="12"/>
  <c r="U2644" i="12"/>
  <c r="V2645" i="12"/>
  <c r="W2646" i="12"/>
  <c r="X2647" i="12"/>
  <c r="U2648" i="12"/>
  <c r="V2649" i="12"/>
  <c r="W2650" i="12"/>
  <c r="X2651" i="12"/>
  <c r="U2652" i="12"/>
  <c r="X2652" i="12"/>
  <c r="U2653" i="12"/>
  <c r="U2567" i="12"/>
  <c r="Y2567" i="12" s="1"/>
  <c r="V2569" i="12"/>
  <c r="W2570" i="12"/>
  <c r="X2571" i="12"/>
  <c r="Y2571" i="12" s="1"/>
  <c r="U2572" i="12"/>
  <c r="Y2572" i="12" s="1"/>
  <c r="V2573" i="12"/>
  <c r="W2574" i="12"/>
  <c r="X2575" i="12"/>
  <c r="U2576" i="12"/>
  <c r="Y2576" i="12" s="1"/>
  <c r="V2577" i="12"/>
  <c r="V2578" i="12"/>
  <c r="W2579" i="12"/>
  <c r="W2580" i="12"/>
  <c r="X2581" i="12"/>
  <c r="U2582" i="12"/>
  <c r="V2583" i="12"/>
  <c r="W2584" i="12"/>
  <c r="Y2584" i="12" s="1"/>
  <c r="X2586" i="12"/>
  <c r="U2587" i="12"/>
  <c r="X2587" i="12"/>
  <c r="U2588" i="12"/>
  <c r="Y2588" i="12" s="1"/>
  <c r="V2589" i="12"/>
  <c r="W2590" i="12"/>
  <c r="X2591" i="12"/>
  <c r="U2592" i="12"/>
  <c r="Y2592" i="12" s="1"/>
  <c r="V2593" i="12"/>
  <c r="V2594" i="12"/>
  <c r="W2595" i="12"/>
  <c r="W2596" i="12"/>
  <c r="Y2596" i="12" s="1"/>
  <c r="X2597" i="12"/>
  <c r="U2598" i="12"/>
  <c r="V2599" i="12"/>
  <c r="V2600" i="12"/>
  <c r="W2601" i="12"/>
  <c r="W2602" i="12"/>
  <c r="W2603" i="12"/>
  <c r="W2604" i="12"/>
  <c r="Y2604" i="12" s="1"/>
  <c r="W2605" i="12"/>
  <c r="V2607" i="12"/>
  <c r="V2608" i="12"/>
  <c r="V2609" i="12"/>
  <c r="Y2609" i="12" s="1"/>
  <c r="V2610" i="12"/>
  <c r="U2611" i="12"/>
  <c r="V2612" i="12"/>
  <c r="W2613" i="12"/>
  <c r="Y2613" i="12" s="1"/>
  <c r="X2614" i="12"/>
  <c r="U2615" i="12"/>
  <c r="V2616" i="12"/>
  <c r="W2617" i="12"/>
  <c r="Y2617" i="12" s="1"/>
  <c r="X2618" i="12"/>
  <c r="U2619" i="12"/>
  <c r="V2620" i="12"/>
  <c r="W2621" i="12"/>
  <c r="Y2621" i="12" s="1"/>
  <c r="X2622" i="12"/>
  <c r="U2623" i="12"/>
  <c r="V2624" i="12"/>
  <c r="W2625" i="12"/>
  <c r="Y2625" i="12" s="1"/>
  <c r="X2626" i="12"/>
  <c r="U2627" i="12"/>
  <c r="V2628" i="12"/>
  <c r="W2629" i="12"/>
  <c r="Y2629" i="12" s="1"/>
  <c r="X2630" i="12"/>
  <c r="U2631" i="12"/>
  <c r="V2632" i="12"/>
  <c r="W2633" i="12"/>
  <c r="Y2633" i="12" s="1"/>
  <c r="X2634" i="12"/>
  <c r="U2635" i="12"/>
  <c r="V2636" i="12"/>
  <c r="W2637" i="12"/>
  <c r="Y2637" i="12" s="1"/>
  <c r="X2638" i="12"/>
  <c r="U2639" i="12"/>
  <c r="V2640" i="12"/>
  <c r="W2641" i="12"/>
  <c r="Y2641" i="12" s="1"/>
  <c r="X2642" i="12"/>
  <c r="U2643" i="12"/>
  <c r="V2644" i="12"/>
  <c r="W2645" i="12"/>
  <c r="Y2645" i="12" s="1"/>
  <c r="X2646" i="12"/>
  <c r="U2647" i="12"/>
  <c r="V2648" i="12"/>
  <c r="W2649" i="12"/>
  <c r="Y2649" i="12" s="1"/>
  <c r="X2650" i="12"/>
  <c r="U2651" i="12"/>
  <c r="V2652" i="12"/>
  <c r="Y2652" i="12" s="1"/>
  <c r="V2653" i="12"/>
  <c r="Y2653" i="12" s="1"/>
  <c r="V2534" i="12"/>
  <c r="W2535" i="12"/>
  <c r="X2536" i="12"/>
  <c r="U2537" i="12"/>
  <c r="Y2537" i="12" s="1"/>
  <c r="V2538" i="12"/>
  <c r="W2539" i="12"/>
  <c r="X2540" i="12"/>
  <c r="U2541" i="12"/>
  <c r="Y2541" i="12" s="1"/>
  <c r="V2542" i="12"/>
  <c r="W2543" i="12"/>
  <c r="X2544" i="12"/>
  <c r="Y2544" i="12" s="1"/>
  <c r="U2545" i="12"/>
  <c r="Y2545" i="12" s="1"/>
  <c r="V2546" i="12"/>
  <c r="W2547" i="12"/>
  <c r="W2548" i="12"/>
  <c r="W2549" i="12"/>
  <c r="Y2549" i="12" s="1"/>
  <c r="V2550" i="12"/>
  <c r="W2551" i="12"/>
  <c r="W2552" i="12"/>
  <c r="W2553" i="12"/>
  <c r="Y2553" i="12" s="1"/>
  <c r="X2554" i="12"/>
  <c r="U2555" i="12"/>
  <c r="V2556" i="12"/>
  <c r="W2557" i="12"/>
  <c r="Y2557" i="12" s="1"/>
  <c r="X2559" i="12"/>
  <c r="U2560" i="12"/>
  <c r="X2560" i="12"/>
  <c r="U2561" i="12"/>
  <c r="Y2561" i="12" s="1"/>
  <c r="V2562" i="12"/>
  <c r="W2563" i="12"/>
  <c r="X2565" i="12"/>
  <c r="U2566" i="12"/>
  <c r="Y2566" i="12" s="1"/>
  <c r="V2567" i="12"/>
  <c r="V2568" i="12"/>
  <c r="W2569" i="12"/>
  <c r="Y2569" i="12" s="1"/>
  <c r="X2570" i="12"/>
  <c r="U2571" i="12"/>
  <c r="V2572" i="12"/>
  <c r="W2573" i="12"/>
  <c r="X2574" i="12"/>
  <c r="Y2574" i="12" s="1"/>
  <c r="U2575" i="12"/>
  <c r="V2576" i="12"/>
  <c r="W2577" i="12"/>
  <c r="W2578" i="12"/>
  <c r="Y2578" i="12" s="1"/>
  <c r="X2580" i="12"/>
  <c r="U2581" i="12"/>
  <c r="V2582" i="12"/>
  <c r="W2583" i="12"/>
  <c r="Y2583" i="12" s="1"/>
  <c r="X2584" i="12"/>
  <c r="U2585" i="12"/>
  <c r="X2585" i="12"/>
  <c r="Y2585" i="12" s="1"/>
  <c r="U2586" i="12"/>
  <c r="Y2586" i="12" s="1"/>
  <c r="V2587" i="12"/>
  <c r="V2588" i="12"/>
  <c r="W2589" i="12"/>
  <c r="X2590" i="12"/>
  <c r="U2591" i="12"/>
  <c r="V2592" i="12"/>
  <c r="W2593" i="12"/>
  <c r="Y2593" i="12" s="1"/>
  <c r="W2594" i="12"/>
  <c r="Y2594" i="12" s="1"/>
  <c r="X2596" i="12"/>
  <c r="U2597" i="12"/>
  <c r="V2598" i="12"/>
  <c r="W2599" i="12"/>
  <c r="Y2599" i="12" s="1"/>
  <c r="W2600" i="12"/>
  <c r="X2601" i="12"/>
  <c r="U2602" i="12"/>
  <c r="X2602" i="12"/>
  <c r="Y2602" i="12" s="1"/>
  <c r="X2603" i="12"/>
  <c r="U2604" i="12"/>
  <c r="X2605" i="12"/>
  <c r="Y2605" i="12" s="1"/>
  <c r="W2606" i="12"/>
  <c r="W2607" i="12"/>
  <c r="W2608" i="12"/>
  <c r="W2609" i="12"/>
  <c r="V2611" i="12"/>
  <c r="Y2611" i="12" s="1"/>
  <c r="W2612" i="12"/>
  <c r="X2613" i="12"/>
  <c r="U2614" i="12"/>
  <c r="Y2614" i="12" s="1"/>
  <c r="V2615" i="12"/>
  <c r="Y2615" i="12" s="1"/>
  <c r="W2616" i="12"/>
  <c r="X2617" i="12"/>
  <c r="U2618" i="12"/>
  <c r="Y2618" i="12" s="1"/>
  <c r="V2619" i="12"/>
  <c r="Y2619" i="12" s="1"/>
  <c r="W2620" i="12"/>
  <c r="X2621" i="12"/>
  <c r="U2622" i="12"/>
  <c r="Y2622" i="12" s="1"/>
  <c r="V2623" i="12"/>
  <c r="Y2623" i="12" s="1"/>
  <c r="W2624" i="12"/>
  <c r="X2625" i="12"/>
  <c r="U2626" i="12"/>
  <c r="Y2626" i="12" s="1"/>
  <c r="V2627" i="12"/>
  <c r="Y2627" i="12" s="1"/>
  <c r="W2628" i="12"/>
  <c r="X2629" i="12"/>
  <c r="U2630" i="12"/>
  <c r="Y2630" i="12" s="1"/>
  <c r="V2631" i="12"/>
  <c r="Y2631" i="12" s="1"/>
  <c r="W2632" i="12"/>
  <c r="X2633" i="12"/>
  <c r="U2634" i="12"/>
  <c r="Y2634" i="12" s="1"/>
  <c r="V2635" i="12"/>
  <c r="Y2635" i="12" s="1"/>
  <c r="W2636" i="12"/>
  <c r="X2637" i="12"/>
  <c r="U2638" i="12"/>
  <c r="Y2638" i="12" s="1"/>
  <c r="V2639" i="12"/>
  <c r="Y2639" i="12" s="1"/>
  <c r="W2640" i="12"/>
  <c r="X2641" i="12"/>
  <c r="U2642" i="12"/>
  <c r="Y2642" i="12" s="1"/>
  <c r="V2643" i="12"/>
  <c r="Y2643" i="12" s="1"/>
  <c r="W2644" i="12"/>
  <c r="X2645" i="12"/>
  <c r="U2646" i="12"/>
  <c r="V2647" i="12"/>
  <c r="Y2647" i="12" s="1"/>
  <c r="W2648" i="12"/>
  <c r="X2649" i="12"/>
  <c r="U2650" i="12"/>
  <c r="Y2650" i="12" s="1"/>
  <c r="V2651" i="12"/>
  <c r="Y2651" i="12" s="1"/>
  <c r="W2652" i="12"/>
  <c r="W2653" i="12"/>
  <c r="C41" i="3"/>
  <c r="C53" i="3"/>
  <c r="C85" i="3"/>
  <c r="C97" i="3"/>
  <c r="C23" i="3"/>
  <c r="C61" i="3"/>
  <c r="C93" i="3"/>
  <c r="C109" i="3"/>
  <c r="C14" i="3"/>
  <c r="C19" i="3"/>
  <c r="C15" i="3"/>
  <c r="C45" i="3"/>
  <c r="C77" i="3"/>
  <c r="C101" i="3"/>
  <c r="C47" i="3"/>
  <c r="C55" i="3"/>
  <c r="C69" i="3"/>
  <c r="C17" i="3"/>
  <c r="C29" i="3"/>
  <c r="C39" i="3"/>
  <c r="C59" i="3"/>
  <c r="C67" i="3"/>
  <c r="C75" i="3"/>
  <c r="C91" i="3"/>
  <c r="Y340" i="12"/>
  <c r="Y456" i="12"/>
  <c r="Y365" i="12"/>
  <c r="Y369" i="12"/>
  <c r="Y532" i="12"/>
  <c r="Y368" i="12"/>
  <c r="Y384" i="12"/>
  <c r="Y400" i="12"/>
  <c r="Y416" i="12"/>
  <c r="Y536" i="12"/>
  <c r="C95" i="3"/>
  <c r="C99" i="3"/>
  <c r="C103" i="3"/>
  <c r="C107" i="3"/>
  <c r="Y348" i="12"/>
  <c r="Y469" i="12"/>
  <c r="Y504" i="12"/>
  <c r="Y1041" i="12"/>
  <c r="Y991" i="12"/>
  <c r="Y1009" i="12"/>
  <c r="Y1051" i="12"/>
  <c r="Y1013" i="12"/>
  <c r="Y1029" i="12"/>
  <c r="Y882" i="12"/>
  <c r="Y1043" i="12"/>
  <c r="Y1282" i="12"/>
  <c r="Y1290" i="12"/>
  <c r="Y1302" i="12"/>
  <c r="Y1322" i="12"/>
  <c r="Y1334" i="12"/>
  <c r="Y1350" i="12"/>
  <c r="Y1366" i="12"/>
  <c r="Y1382" i="12"/>
  <c r="Y1386" i="12"/>
  <c r="Y1414" i="12"/>
  <c r="Y1418" i="12"/>
  <c r="Y1444" i="12"/>
  <c r="Y1472" i="12"/>
  <c r="Y1544" i="12"/>
  <c r="Y1426" i="12"/>
  <c r="Y1438" i="12"/>
  <c r="Y1454" i="12"/>
  <c r="Y1848" i="12"/>
  <c r="Y1922" i="12"/>
  <c r="Y1926" i="12"/>
  <c r="Y1605" i="12"/>
  <c r="Y1695" i="12"/>
  <c r="Y1800" i="12"/>
  <c r="Y1808" i="12"/>
  <c r="Y1820" i="12"/>
  <c r="Y1824" i="12"/>
  <c r="Y1828" i="12"/>
  <c r="Y1836" i="12"/>
  <c r="Y1840" i="12"/>
  <c r="Y1564" i="12"/>
  <c r="Y1568" i="12"/>
  <c r="Y1588" i="12"/>
  <c r="Y1600" i="12"/>
  <c r="Y1796" i="12"/>
  <c r="Y1661" i="12"/>
  <c r="Y1681" i="12"/>
  <c r="Y1697" i="12"/>
  <c r="Y2152" i="12"/>
  <c r="Y1938" i="12"/>
  <c r="Y2156" i="12"/>
  <c r="Y2290" i="12"/>
  <c r="Y2294" i="12"/>
  <c r="Y2298" i="12"/>
  <c r="Y2306" i="12"/>
  <c r="Y2310" i="12"/>
  <c r="Y2351" i="12"/>
  <c r="Y2389" i="12"/>
  <c r="Y2504" i="12"/>
  <c r="Y2520" i="12"/>
  <c r="C16" i="3"/>
  <c r="C28" i="3"/>
  <c r="C32" i="3"/>
  <c r="Y37" i="12"/>
  <c r="Y41" i="12"/>
  <c r="Y69" i="12"/>
  <c r="Y73" i="12"/>
  <c r="Y101" i="12"/>
  <c r="Y105" i="12"/>
  <c r="Y129" i="12"/>
  <c r="Y141" i="12"/>
  <c r="Y152" i="12"/>
  <c r="Y173" i="12"/>
  <c r="Y270" i="12"/>
  <c r="C20" i="3"/>
  <c r="C24" i="3"/>
  <c r="C9" i="3"/>
  <c r="C7" i="3"/>
  <c r="C11" i="3"/>
  <c r="Y191" i="12"/>
  <c r="Y227" i="12"/>
  <c r="Y545" i="12"/>
  <c r="Y702" i="12"/>
  <c r="C36" i="3"/>
  <c r="C38" i="3"/>
  <c r="C48" i="3"/>
  <c r="C52" i="3"/>
  <c r="C56" i="3"/>
  <c r="C58" i="3"/>
  <c r="C60" i="3"/>
  <c r="C68" i="3"/>
  <c r="C80" i="3"/>
  <c r="C82" i="3"/>
  <c r="C84" i="3"/>
  <c r="C86" i="3"/>
  <c r="C88" i="3"/>
  <c r="C92" i="3"/>
  <c r="Y994" i="12"/>
  <c r="Y1069" i="12"/>
  <c r="Y1081" i="12"/>
  <c r="Y1085" i="12"/>
  <c r="Y1101" i="12"/>
  <c r="Y1113" i="12"/>
  <c r="Y1117" i="12"/>
  <c r="Y1133" i="12"/>
  <c r="Y1145" i="12"/>
  <c r="Y1149" i="12"/>
  <c r="Y1165" i="12"/>
  <c r="Y1177" i="12"/>
  <c r="Y1181" i="12"/>
  <c r="Y1197" i="12"/>
  <c r="Y1209" i="12"/>
  <c r="Y1213" i="12"/>
  <c r="Y1480" i="12"/>
  <c r="Y1484" i="12"/>
  <c r="Y1488" i="12"/>
  <c r="Y1496" i="12"/>
  <c r="Y1649" i="12"/>
  <c r="Y1621" i="12"/>
  <c r="Y1625" i="12"/>
  <c r="Y1629" i="12"/>
  <c r="Y1637" i="12"/>
  <c r="Y1641" i="12"/>
  <c r="Y1645" i="12"/>
  <c r="Y1789" i="12"/>
  <c r="Y1812" i="12"/>
  <c r="Y1817" i="12"/>
  <c r="Y1833" i="12"/>
  <c r="Y1837" i="12"/>
  <c r="Y1923" i="12"/>
  <c r="Y1939" i="12"/>
  <c r="Y2016" i="12"/>
  <c r="Y2032" i="12"/>
  <c r="Y2347" i="12"/>
  <c r="E56" i="3" a="1"/>
  <c r="E88" i="3" a="1"/>
  <c r="E38" i="3" a="1"/>
  <c r="E80" i="3" a="1"/>
  <c r="E42" i="3" a="1"/>
  <c r="E64" i="3" a="1"/>
  <c r="F41" i="3" a="1"/>
  <c r="E60" i="3" a="1"/>
  <c r="E85" i="3" a="1"/>
  <c r="E97" i="3" a="1"/>
  <c r="F35" i="3" a="1"/>
  <c r="E61" i="3" a="1"/>
  <c r="E93" i="3" a="1"/>
  <c r="E10" i="3" a="1"/>
  <c r="E14" i="3" a="1"/>
  <c r="E33" i="3" a="1"/>
  <c r="F45" i="3" a="1"/>
  <c r="F52" i="3" a="1"/>
  <c r="F101" i="3" a="1"/>
  <c r="E47" i="3" a="1"/>
  <c r="F68" i="3" a="1"/>
  <c r="E86" i="3" a="1"/>
  <c r="F27" i="3" a="1"/>
  <c r="F69" i="3" a="1"/>
  <c r="F76" i="3" a="1"/>
  <c r="E94" i="3" a="1"/>
  <c r="F38" i="3" a="1"/>
  <c r="E16" i="3" a="1"/>
  <c r="F32" i="3" a="1"/>
  <c r="E24" i="3" a="1"/>
  <c r="E7" i="3" a="1"/>
  <c r="F30" i="3" a="1"/>
  <c r="E72" i="3" a="1"/>
  <c r="E74" i="3" a="1"/>
  <c r="F34" i="3" a="1"/>
  <c r="F85" i="3" a="1"/>
  <c r="F92" i="3" a="1"/>
  <c r="E23" i="3" a="1"/>
  <c r="F61" i="3" a="1"/>
  <c r="F19" i="3" a="1"/>
  <c r="F33" i="3" a="1"/>
  <c r="E52" i="3" a="1"/>
  <c r="F63" i="3" a="1"/>
  <c r="E101" i="3" a="1"/>
  <c r="E68" i="3" a="1"/>
  <c r="F79" i="3" a="1"/>
  <c r="E55" i="3" a="1"/>
  <c r="F62" i="3" a="1"/>
  <c r="E76" i="3" a="1"/>
  <c r="F87" i="3" a="1"/>
  <c r="F42" i="3" a="1"/>
  <c r="F66" i="3" a="1"/>
  <c r="E96" i="3" a="1"/>
  <c r="E104" i="3" a="1"/>
  <c r="E9" i="3" a="1"/>
  <c r="F18" i="3" a="1"/>
  <c r="E36" i="3" a="1"/>
  <c r="E48" i="3" a="1"/>
  <c r="E82" i="3" a="1"/>
  <c r="E41" i="3" a="1"/>
  <c r="F53" i="3" a="1"/>
  <c r="F60" i="3" a="1"/>
  <c r="F97" i="3" a="1"/>
  <c r="F23" i="3" a="1"/>
  <c r="E109" i="3" a="1"/>
  <c r="E19" i="3" a="1"/>
  <c r="F15" i="3" a="1"/>
  <c r="E45" i="3" a="1"/>
  <c r="E84" i="3" a="1"/>
  <c r="E79" i="3" a="1"/>
  <c r="F86" i="3" a="1"/>
  <c r="E44" i="3" a="1"/>
  <c r="F55" i="3" a="1"/>
  <c r="E69" i="3" a="1"/>
  <c r="F94" i="3" a="1"/>
  <c r="F48" i="3" a="1"/>
  <c r="F80" i="3" a="1"/>
  <c r="F50" i="3" a="1"/>
  <c r="F82" i="3" a="1"/>
  <c r="F28" i="3" a="1"/>
  <c r="E20" i="3" a="1"/>
  <c r="F24" i="3" a="1"/>
  <c r="F9" i="3" a="1"/>
  <c r="F7" i="3" a="1"/>
  <c r="F11" i="3" a="1"/>
  <c r="E46" i="3" a="1"/>
  <c r="F10" i="3" a="1"/>
  <c r="F40" i="3" a="1"/>
  <c r="E77" i="3" a="1"/>
  <c r="F64" i="3" a="1"/>
  <c r="E28" i="3" a="1"/>
  <c r="F22" i="3" a="1"/>
  <c r="F20" i="3" a="1"/>
  <c r="F13" i="3" a="1"/>
  <c r="E11" i="3" a="1"/>
  <c r="E50" i="3" a="1"/>
  <c r="E58" i="3" a="1"/>
  <c r="E90" i="3" a="1"/>
  <c r="E30" i="3" a="1"/>
  <c r="E66" i="3" a="1"/>
  <c r="E34" i="3" a="1"/>
  <c r="E53" i="3" a="1"/>
  <c r="E92" i="3" a="1"/>
  <c r="E35" i="3" a="1"/>
  <c r="F93" i="3" a="1"/>
  <c r="F109" i="3" a="1"/>
  <c r="F14" i="3" a="1"/>
  <c r="E15" i="3" a="1"/>
  <c r="E40" i="3" a="1"/>
  <c r="F77" i="3" a="1"/>
  <c r="F84" i="3" a="1"/>
  <c r="F47" i="3" a="1"/>
  <c r="E27" i="3" a="1"/>
  <c r="F44" i="3" a="1"/>
  <c r="F56" i="3" a="1"/>
  <c r="F36" i="3" a="1"/>
  <c r="F88" i="3" a="1"/>
  <c r="F58" i="3" a="1"/>
  <c r="F90" i="3" a="1"/>
  <c r="F16" i="3" a="1"/>
  <c r="E32" i="3" a="1"/>
  <c r="E70" i="3" a="1"/>
  <c r="F105" i="3" a="1"/>
  <c r="E87" i="3" a="1"/>
  <c r="E26" i="3" a="1"/>
  <c r="E22" i="3" a="1"/>
  <c r="F46" i="3" a="1"/>
  <c r="E18" i="3" a="1"/>
  <c r="E63" i="3" a="1"/>
  <c r="E100" i="3" a="1"/>
  <c r="F6" i="3" a="1"/>
  <c r="F71" i="3" a="1"/>
  <c r="Y164" i="12" l="1"/>
  <c r="Y160" i="12"/>
  <c r="Y156" i="12"/>
  <c r="Y1347" i="12"/>
  <c r="Y1343" i="12"/>
  <c r="Y1339" i="12"/>
  <c r="Y1335" i="12"/>
  <c r="Y1327" i="12"/>
  <c r="Y1323" i="12"/>
  <c r="Y1330" i="12"/>
  <c r="Y1326" i="12"/>
  <c r="Y1314" i="12"/>
  <c r="Y1241" i="12"/>
  <c r="Y1233" i="12"/>
  <c r="Y1229" i="12"/>
  <c r="Y1319" i="12"/>
  <c r="Y1721" i="12"/>
  <c r="Y1717" i="12"/>
  <c r="Y1643" i="12"/>
  <c r="Y1639" i="12"/>
  <c r="Y1635" i="12"/>
  <c r="Y1631" i="12"/>
  <c r="Y1627" i="12"/>
  <c r="Y1623" i="12"/>
  <c r="Y1619" i="12"/>
  <c r="Y1533" i="12"/>
  <c r="Y1526" i="12"/>
  <c r="Y1506" i="12"/>
  <c r="Y1331" i="12"/>
  <c r="Y1315" i="12"/>
  <c r="Y1311" i="12"/>
  <c r="Y1307" i="12"/>
  <c r="Y1303" i="12"/>
  <c r="Y1299" i="12"/>
  <c r="Y1227" i="12"/>
  <c r="Y1223" i="12"/>
  <c r="Y1219" i="12"/>
  <c r="Y1215" i="12"/>
  <c r="Y534" i="12"/>
  <c r="Y1211" i="12"/>
  <c r="Y1207" i="12"/>
  <c r="Y967" i="12"/>
  <c r="Y1701" i="12"/>
  <c r="Y1685" i="12"/>
  <c r="Y1203" i="12"/>
  <c r="Y1199" i="12"/>
  <c r="Y1195" i="12"/>
  <c r="Y1191" i="12"/>
  <c r="Y1187" i="12"/>
  <c r="Y1183" i="12"/>
  <c r="Y1179" i="12"/>
  <c r="Y1175" i="12"/>
  <c r="Y1171" i="12"/>
  <c r="Y1167" i="12"/>
  <c r="Y1163" i="12"/>
  <c r="Y1159" i="12"/>
  <c r="Y1155" i="12"/>
  <c r="Y1151" i="12"/>
  <c r="Y1147" i="12"/>
  <c r="Y1143" i="12"/>
  <c r="Y1139" i="12"/>
  <c r="Y1135" i="12"/>
  <c r="Y1131" i="12"/>
  <c r="Y1127" i="12"/>
  <c r="Y1123" i="12"/>
  <c r="Y1119" i="12"/>
  <c r="Y1115" i="12"/>
  <c r="Y1111" i="12"/>
  <c r="Y1107" i="12"/>
  <c r="Y1103" i="12"/>
  <c r="Y1099" i="12"/>
  <c r="Y1095" i="12"/>
  <c r="Y1091" i="12"/>
  <c r="Y1087" i="12"/>
  <c r="Y1083" i="12"/>
  <c r="Y1079" i="12"/>
  <c r="Y1075" i="12"/>
  <c r="Y1071" i="12"/>
  <c r="Y1067" i="12"/>
  <c r="Y1063" i="12"/>
  <c r="Y1059" i="12"/>
  <c r="Y1039" i="12"/>
  <c r="Y1035" i="12"/>
  <c r="Y1031" i="12"/>
  <c r="Y1019" i="12"/>
  <c r="Y1015" i="12"/>
  <c r="Y1003" i="12"/>
  <c r="Y1024" i="12"/>
  <c r="Y1000" i="12"/>
  <c r="Y970" i="12"/>
  <c r="Y951" i="12"/>
  <c r="Y943" i="12"/>
  <c r="Y927" i="12"/>
  <c r="Y911" i="12"/>
  <c r="Y895" i="12"/>
  <c r="Y855" i="12"/>
  <c r="Y851" i="12"/>
  <c r="Y847" i="12"/>
  <c r="Y843" i="12"/>
  <c r="Y839" i="12"/>
  <c r="Y835" i="12"/>
  <c r="Y831" i="12"/>
  <c r="Y827" i="12"/>
  <c r="Y823" i="12"/>
  <c r="Y1296" i="12"/>
  <c r="Y1292" i="12"/>
  <c r="Y1288" i="12"/>
  <c r="Y1284" i="12"/>
  <c r="Y1280" i="12"/>
  <c r="Y1276" i="12"/>
  <c r="Y1272" i="12"/>
  <c r="Y1268" i="12"/>
  <c r="Y1012" i="12"/>
  <c r="Y819" i="12"/>
  <c r="Y815" i="12"/>
  <c r="Y811" i="12"/>
  <c r="Y807" i="12"/>
  <c r="Y803" i="12"/>
  <c r="Y799" i="12"/>
  <c r="Y795" i="12"/>
  <c r="Y791" i="12"/>
  <c r="Y787" i="12"/>
  <c r="Y783" i="12"/>
  <c r="Y779" i="12"/>
  <c r="Y775" i="12"/>
  <c r="Y771" i="12"/>
  <c r="Y767" i="12"/>
  <c r="Y763" i="12"/>
  <c r="Y759" i="12"/>
  <c r="Y755" i="12"/>
  <c r="Y751" i="12"/>
  <c r="Y747" i="12"/>
  <c r="Y743" i="12"/>
  <c r="Y739" i="12"/>
  <c r="Y735" i="12"/>
  <c r="Y731" i="12"/>
  <c r="Y727" i="12"/>
  <c r="Y723" i="12"/>
  <c r="Y719" i="12"/>
  <c r="Y1310" i="12"/>
  <c r="Y1306" i="12"/>
  <c r="Y1298" i="12"/>
  <c r="Y1294" i="12"/>
  <c r="Y1286" i="12"/>
  <c r="Y1278" i="12"/>
  <c r="Y715" i="12"/>
  <c r="Y1274" i="12"/>
  <c r="Y1270" i="12"/>
  <c r="Y464" i="12"/>
  <c r="Y448" i="12"/>
  <c r="Y25" i="12"/>
  <c r="Y2646" i="12"/>
  <c r="Y711" i="12"/>
  <c r="Y707" i="12"/>
  <c r="Y703" i="12"/>
  <c r="Y699" i="12"/>
  <c r="Y695" i="12"/>
  <c r="Y691" i="12"/>
  <c r="Y687" i="12"/>
  <c r="Y683" i="12"/>
  <c r="Y679" i="12"/>
  <c r="Y675" i="12"/>
  <c r="Y671" i="12"/>
  <c r="Y667" i="12"/>
  <c r="Y663" i="12"/>
  <c r="Y659" i="12"/>
  <c r="Y655" i="12"/>
  <c r="Y651" i="12"/>
  <c r="Y647" i="12"/>
  <c r="Y643" i="12"/>
  <c r="Y639" i="12"/>
  <c r="Y635" i="12"/>
  <c r="Y631" i="12"/>
  <c r="Y627" i="12"/>
  <c r="Y616" i="12"/>
  <c r="Y589" i="12"/>
  <c r="Y948" i="12"/>
  <c r="Y972" i="12"/>
  <c r="Y880" i="12"/>
  <c r="Y876" i="12"/>
  <c r="Y872" i="12"/>
  <c r="Y868" i="12"/>
  <c r="Y864" i="12"/>
  <c r="Y860" i="12"/>
  <c r="Y856" i="12"/>
  <c r="Y852" i="12"/>
  <c r="Y848" i="12"/>
  <c r="Y844" i="12"/>
  <c r="Y840" i="12"/>
  <c r="Y836" i="12"/>
  <c r="Y832" i="12"/>
  <c r="Y527" i="12"/>
  <c r="Y495" i="12"/>
  <c r="Y354" i="12"/>
  <c r="Y346" i="12"/>
  <c r="Y169" i="12"/>
  <c r="Y125" i="12"/>
  <c r="Y113" i="12"/>
  <c r="Y89" i="12"/>
  <c r="Y85" i="12"/>
  <c r="Y57" i="12"/>
  <c r="Y49" i="12"/>
  <c r="Y1436" i="12"/>
  <c r="Y1432" i="12"/>
  <c r="Y1428" i="12"/>
  <c r="Y1424" i="12"/>
  <c r="Y1420" i="12"/>
  <c r="Y1416" i="12"/>
  <c r="Y1412" i="12"/>
  <c r="Y1404" i="12"/>
  <c r="Y1005" i="12"/>
  <c r="Y997" i="12"/>
  <c r="Y828" i="12"/>
  <c r="Y824" i="12"/>
  <c r="Y820" i="12"/>
  <c r="Y816" i="12"/>
  <c r="Y812" i="12"/>
  <c r="Y808" i="12"/>
  <c r="Y804" i="12"/>
  <c r="Y800" i="12"/>
  <c r="Y796" i="12"/>
  <c r="Y792" i="12"/>
  <c r="Y788" i="12"/>
  <c r="Y784" i="12"/>
  <c r="Y780" i="12"/>
  <c r="Y338" i="12"/>
  <c r="Y1047" i="12"/>
  <c r="Y45" i="12"/>
  <c r="Y2352" i="12"/>
  <c r="Y219" i="12"/>
  <c r="Y776" i="12"/>
  <c r="Y772" i="12"/>
  <c r="Y768" i="12"/>
  <c r="Y764" i="12"/>
  <c r="Y760" i="12"/>
  <c r="Y756" i="12"/>
  <c r="Y330" i="12"/>
  <c r="Y322" i="12"/>
  <c r="Y318" i="12"/>
  <c r="Y314" i="12"/>
  <c r="Y310" i="12"/>
  <c r="Y306" i="12"/>
  <c r="Y1954" i="12"/>
  <c r="Y542" i="12"/>
  <c r="Y978" i="12"/>
  <c r="Y254" i="12"/>
  <c r="Y1640" i="12"/>
  <c r="Y752" i="12"/>
  <c r="Y748" i="12"/>
  <c r="Y744" i="12"/>
  <c r="Y740" i="12"/>
  <c r="Y736" i="12"/>
  <c r="Y732" i="12"/>
  <c r="Y728" i="12"/>
  <c r="Y724" i="12"/>
  <c r="Y720" i="12"/>
  <c r="Y716" i="12"/>
  <c r="Y712" i="12"/>
  <c r="Y708" i="12"/>
  <c r="Y704" i="12"/>
  <c r="Y700" i="12"/>
  <c r="Y696" i="12"/>
  <c r="Y692" i="12"/>
  <c r="Y688" i="12"/>
  <c r="Y684" i="12"/>
  <c r="Y680" i="12"/>
  <c r="Y676" i="12"/>
  <c r="Y672" i="12"/>
  <c r="Y668" i="12"/>
  <c r="Y664" i="12"/>
  <c r="Y660" i="12"/>
  <c r="Y656" i="12"/>
  <c r="Y652" i="12"/>
  <c r="Y648" i="12"/>
  <c r="Y644" i="12"/>
  <c r="Y640" i="12"/>
  <c r="Y636" i="12"/>
  <c r="Y632" i="12"/>
  <c r="Y1001" i="12"/>
  <c r="Y983" i="12"/>
  <c r="Y973" i="12"/>
  <c r="Y968" i="12"/>
  <c r="Y964" i="12"/>
  <c r="Y988" i="12"/>
  <c r="Y985" i="12"/>
  <c r="Y955" i="12"/>
  <c r="Y937" i="12"/>
  <c r="Y933" i="12"/>
  <c r="Y921" i="12"/>
  <c r="Y917" i="12"/>
  <c r="Y905" i="12"/>
  <c r="Y901" i="12"/>
  <c r="Y889" i="12"/>
  <c r="Y885" i="12"/>
  <c r="Y628" i="12"/>
  <c r="Y617" i="12"/>
  <c r="Y608" i="12"/>
  <c r="Y620" i="12"/>
  <c r="Y593" i="12"/>
  <c r="Y302" i="12"/>
  <c r="Y298" i="12"/>
  <c r="Y294" i="12"/>
  <c r="Y290" i="12"/>
  <c r="Y286" i="12"/>
  <c r="Y282" i="12"/>
  <c r="Y278" i="12"/>
  <c r="Y216" i="12"/>
  <c r="Y200" i="12"/>
  <c r="Y271" i="12"/>
  <c r="Y259" i="12"/>
  <c r="Y247" i="12"/>
  <c r="Y243" i="12"/>
  <c r="Y239" i="12"/>
  <c r="Y2234" i="12"/>
  <c r="Y2248" i="12"/>
  <c r="Y2184" i="12"/>
  <c r="Y2319" i="12"/>
  <c r="Y1958" i="12"/>
  <c r="Y1849" i="12"/>
  <c r="Y1829" i="12"/>
  <c r="Y1825" i="12"/>
  <c r="Y963" i="12"/>
  <c r="Y971" i="12"/>
  <c r="Y604" i="12"/>
  <c r="Y2360" i="12"/>
  <c r="Y2343" i="12"/>
  <c r="Y2302" i="12"/>
  <c r="Y2039" i="12"/>
  <c r="Y1976" i="12"/>
  <c r="Y1930" i="12"/>
  <c r="Y1804" i="12"/>
  <c r="Y1665" i="12"/>
  <c r="Y1500" i="12"/>
  <c r="Y1492" i="12"/>
  <c r="Y1476" i="12"/>
  <c r="Y1633" i="12"/>
  <c r="Y1617" i="12"/>
  <c r="Y1398" i="12"/>
  <c r="Y1354" i="12"/>
  <c r="Y1318" i="12"/>
  <c r="Y975" i="12"/>
  <c r="Y2441" i="12"/>
  <c r="Y2348" i="12"/>
  <c r="Y957" i="12"/>
  <c r="Y830" i="12"/>
  <c r="Y770" i="12"/>
  <c r="Y746" i="12"/>
  <c r="Y938" i="12"/>
  <c r="Y926" i="12"/>
  <c r="Y595" i="12"/>
  <c r="Y573" i="12"/>
  <c r="Y563" i="12"/>
  <c r="Y662" i="12"/>
  <c r="Y443" i="12"/>
  <c r="Y435" i="12"/>
  <c r="Y297" i="12"/>
  <c r="Y513" i="12"/>
  <c r="Y481" i="12"/>
  <c r="Y472" i="12"/>
  <c r="Y420" i="12"/>
  <c r="Y412" i="12"/>
  <c r="Y408" i="12"/>
  <c r="Y404" i="12"/>
  <c r="Y396" i="12"/>
  <c r="Y392" i="12"/>
  <c r="Y388" i="12"/>
  <c r="Y380" i="12"/>
  <c r="Y376" i="12"/>
  <c r="Y372" i="12"/>
  <c r="Y364" i="12"/>
  <c r="Y360" i="12"/>
  <c r="Y356" i="12"/>
  <c r="Y337" i="12"/>
  <c r="Y329" i="12"/>
  <c r="Y214" i="12"/>
  <c r="Y198" i="12"/>
  <c r="Y999" i="12"/>
  <c r="Y1008" i="12"/>
  <c r="Y996" i="12"/>
  <c r="Y984" i="12"/>
  <c r="Y974" i="12"/>
  <c r="Y888" i="12"/>
  <c r="Y586" i="12"/>
  <c r="Y580" i="12"/>
  <c r="Y577" i="12"/>
  <c r="Y571" i="12"/>
  <c r="Y969" i="12"/>
  <c r="Y965" i="12"/>
  <c r="Y986" i="12"/>
  <c r="Y960" i="12"/>
  <c r="Y881" i="12"/>
  <c r="Y877" i="12"/>
  <c r="Y873" i="12"/>
  <c r="Y869" i="12"/>
  <c r="Y865" i="12"/>
  <c r="Y861" i="12"/>
  <c r="Y857" i="12"/>
  <c r="Y853" i="12"/>
  <c r="Y849" i="12"/>
  <c r="Y845" i="12"/>
  <c r="Y841" i="12"/>
  <c r="Y837" i="12"/>
  <c r="Y833" i="12"/>
  <c r="Y829" i="12"/>
  <c r="Y825" i="12"/>
  <c r="Y821" i="12"/>
  <c r="Y817" i="12"/>
  <c r="Y813" i="12"/>
  <c r="Y809" i="12"/>
  <c r="Y805" i="12"/>
  <c r="Y801" i="12"/>
  <c r="Y797" i="12"/>
  <c r="Y793" i="12"/>
  <c r="Y789" i="12"/>
  <c r="Y785" i="12"/>
  <c r="Y781" i="12"/>
  <c r="Y777" i="12"/>
  <c r="Y773" i="12"/>
  <c r="Y769" i="12"/>
  <c r="Y765" i="12"/>
  <c r="Y757" i="12"/>
  <c r="Y753" i="12"/>
  <c r="Y749" i="12"/>
  <c r="Y745" i="12"/>
  <c r="Y741" i="12"/>
  <c r="Y737" i="12"/>
  <c r="Y733" i="12"/>
  <c r="Y729" i="12"/>
  <c r="Y725" i="12"/>
  <c r="Y721" i="12"/>
  <c r="Y717" i="12"/>
  <c r="Y713" i="12"/>
  <c r="Y709" i="12"/>
  <c r="Y705" i="12"/>
  <c r="Y701" i="12"/>
  <c r="Y697" i="12"/>
  <c r="Y693" i="12"/>
  <c r="Y689" i="12"/>
  <c r="Y685" i="12"/>
  <c r="Y681" i="12"/>
  <c r="Y677" i="12"/>
  <c r="Y673" i="12"/>
  <c r="Y669" i="12"/>
  <c r="Y953" i="12"/>
  <c r="Y949" i="12"/>
  <c r="Y945" i="12"/>
  <c r="Y929" i="12"/>
  <c r="Y913" i="12"/>
  <c r="Y897" i="12"/>
  <c r="Y624" i="12"/>
  <c r="Y621" i="12"/>
  <c r="Y605" i="12"/>
  <c r="Y601" i="12"/>
  <c r="Y587" i="12"/>
  <c r="Y572" i="12"/>
  <c r="Y569" i="12"/>
  <c r="Y609" i="12"/>
  <c r="Y584" i="12"/>
  <c r="Y549" i="12"/>
  <c r="Y531" i="12"/>
  <c r="Y521" i="12"/>
  <c r="Y508" i="12"/>
  <c r="Y499" i="12"/>
  <c r="Y489" i="12"/>
  <c r="Y476" i="12"/>
  <c r="Y466" i="12"/>
  <c r="Y458" i="12"/>
  <c r="Y450" i="12"/>
  <c r="Y442" i="12"/>
  <c r="Y434" i="12"/>
  <c r="Y426" i="12"/>
  <c r="Y316" i="12"/>
  <c r="Y308" i="12"/>
  <c r="Y300" i="12"/>
  <c r="Y292" i="12"/>
  <c r="Y284" i="12"/>
  <c r="Y280" i="12"/>
  <c r="Y276" i="12"/>
  <c r="Y273" i="12"/>
  <c r="Y268" i="12"/>
  <c r="Y261" i="12"/>
  <c r="Y252" i="12"/>
  <c r="Y249" i="12"/>
  <c r="Y245" i="12"/>
  <c r="Y241" i="12"/>
  <c r="Y237" i="12"/>
  <c r="Y233" i="12"/>
  <c r="Y229" i="12"/>
  <c r="Y225" i="12"/>
  <c r="Y222" i="12"/>
  <c r="Y210" i="12"/>
  <c r="Y193" i="12"/>
  <c r="Y189" i="12"/>
  <c r="Y185" i="12"/>
  <c r="Y181" i="12"/>
  <c r="Y177" i="12"/>
  <c r="Y592" i="12"/>
  <c r="Y538" i="12"/>
  <c r="Y528" i="12"/>
  <c r="Y506" i="12"/>
  <c r="Y496" i="12"/>
  <c r="Y474" i="12"/>
  <c r="Y355" i="12"/>
  <c r="Y1021" i="12"/>
  <c r="Y950" i="12"/>
  <c r="Y942" i="12"/>
  <c r="Y910" i="12"/>
  <c r="Y894" i="12"/>
  <c r="Y854" i="12"/>
  <c r="Y850" i="12"/>
  <c r="Y846" i="12"/>
  <c r="Y842" i="12"/>
  <c r="Y838" i="12"/>
  <c r="Y834" i="12"/>
  <c r="Y826" i="12"/>
  <c r="Y822" i="12"/>
  <c r="Y818" i="12"/>
  <c r="Y814" i="12"/>
  <c r="Y810" i="12"/>
  <c r="Y806" i="12"/>
  <c r="Y802" i="12"/>
  <c r="Y798" i="12"/>
  <c r="Y794" i="12"/>
  <c r="Y790" i="12"/>
  <c r="Y786" i="12"/>
  <c r="Y782" i="12"/>
  <c r="Y778" i="12"/>
  <c r="Y774" i="12"/>
  <c r="Y766" i="12"/>
  <c r="Y762" i="12"/>
  <c r="Y758" i="12"/>
  <c r="Y754" i="12"/>
  <c r="Y750" i="12"/>
  <c r="Y742" i="12"/>
  <c r="Y738" i="12"/>
  <c r="Y734" i="12"/>
  <c r="Y730" i="12"/>
  <c r="Y726" i="12"/>
  <c r="Y722" i="12"/>
  <c r="Y718" i="12"/>
  <c r="Y714" i="12"/>
  <c r="Y710" i="12"/>
  <c r="Y706" i="12"/>
  <c r="Y698" i="12"/>
  <c r="Y694" i="12"/>
  <c r="Y690" i="12"/>
  <c r="Y686" i="12"/>
  <c r="Y682" i="12"/>
  <c r="Y678" i="12"/>
  <c r="Y674" i="12"/>
  <c r="Y670" i="12"/>
  <c r="Y666" i="12"/>
  <c r="Y658" i="12"/>
  <c r="Y654" i="12"/>
  <c r="Y650" i="12"/>
  <c r="Y646" i="12"/>
  <c r="Y642" i="12"/>
  <c r="Y638" i="12"/>
  <c r="Y634" i="12"/>
  <c r="Y630" i="12"/>
  <c r="Y615" i="12"/>
  <c r="Y588" i="12"/>
  <c r="Y559" i="12"/>
  <c r="Y987" i="12"/>
  <c r="Y961" i="12"/>
  <c r="Y982" i="12"/>
  <c r="Y934" i="12"/>
  <c r="Y902" i="12"/>
  <c r="Y886" i="12"/>
  <c r="Y347" i="12"/>
  <c r="Y274" i="12"/>
  <c r="Y262" i="12"/>
  <c r="Y250" i="12"/>
  <c r="Y665" i="12"/>
  <c r="Y661" i="12"/>
  <c r="Y657" i="12"/>
  <c r="Y653" i="12"/>
  <c r="Y649" i="12"/>
  <c r="Y645" i="12"/>
  <c r="Y641" i="12"/>
  <c r="Y637" i="12"/>
  <c r="Y633" i="12"/>
  <c r="Y629" i="12"/>
  <c r="Y613" i="12"/>
  <c r="Y553" i="12"/>
  <c r="Y529" i="12"/>
  <c r="Y497" i="12"/>
  <c r="Y535" i="12"/>
  <c r="Y503" i="12"/>
  <c r="Y471" i="12"/>
  <c r="Y468" i="12"/>
  <c r="Y463" i="12"/>
  <c r="Y460" i="12"/>
  <c r="Y455" i="12"/>
  <c r="Y452" i="12"/>
  <c r="Y447" i="12"/>
  <c r="Y444" i="12"/>
  <c r="Y439" i="12"/>
  <c r="Y436" i="12"/>
  <c r="Y431" i="12"/>
  <c r="Y428" i="12"/>
  <c r="Y423" i="12"/>
  <c r="Y419" i="12"/>
  <c r="Y415" i="12"/>
  <c r="Y411" i="12"/>
  <c r="Y407" i="12"/>
  <c r="Y403" i="12"/>
  <c r="Y399" i="12"/>
  <c r="Y395" i="12"/>
  <c r="Y391" i="12"/>
  <c r="Y387" i="12"/>
  <c r="Y383" i="12"/>
  <c r="Y379" i="12"/>
  <c r="Y375" i="12"/>
  <c r="Y371" i="12"/>
  <c r="Y367" i="12"/>
  <c r="Y363" i="12"/>
  <c r="Y359" i="12"/>
  <c r="Y311" i="12"/>
  <c r="Y175" i="12"/>
  <c r="Y171" i="12"/>
  <c r="Y143" i="12"/>
  <c r="Y139" i="12"/>
  <c r="Y135" i="12"/>
  <c r="Y131" i="12"/>
  <c r="Y127" i="12"/>
  <c r="Y123" i="12"/>
  <c r="Y119" i="12"/>
  <c r="Y111" i="12"/>
  <c r="Y107" i="12"/>
  <c r="Y103" i="12"/>
  <c r="Y99" i="12"/>
  <c r="Y95" i="12"/>
  <c r="Y91" i="12"/>
  <c r="Y87" i="12"/>
  <c r="Y83" i="12"/>
  <c r="Y79" i="12"/>
  <c r="Y75" i="12"/>
  <c r="Y71" i="12"/>
  <c r="Y67" i="12"/>
  <c r="Y63" i="12"/>
  <c r="Y59" i="12"/>
  <c r="Y55" i="12"/>
  <c r="Y51" i="12"/>
  <c r="Y47" i="12"/>
  <c r="Y43" i="12"/>
  <c r="Y39" i="12"/>
  <c r="Y35" i="12"/>
  <c r="Y31" i="12"/>
  <c r="Y23" i="12"/>
  <c r="Y19" i="12"/>
  <c r="Y11" i="12"/>
  <c r="Y7" i="12"/>
  <c r="Y13" i="12"/>
  <c r="Y596" i="12"/>
  <c r="Y564" i="12"/>
  <c r="Y520" i="12"/>
  <c r="Y488" i="12"/>
  <c r="Y17" i="12"/>
  <c r="Y918" i="12"/>
  <c r="Y1699" i="12"/>
  <c r="Y1579" i="12"/>
  <c r="Y3" i="12"/>
  <c r="Y2218" i="12"/>
  <c r="Y2208" i="12"/>
  <c r="Y2153" i="12"/>
  <c r="Y2328" i="12"/>
  <c r="Y1615" i="12"/>
  <c r="Y2479" i="12"/>
  <c r="Y2103" i="12"/>
  <c r="Y1994" i="12"/>
  <c r="Y1715" i="12"/>
  <c r="Y1587" i="12"/>
  <c r="Y1389" i="12"/>
  <c r="Y1044" i="12"/>
  <c r="Y2269" i="12"/>
  <c r="Y2224" i="12"/>
  <c r="Y2204" i="12"/>
  <c r="Y2540" i="12"/>
  <c r="Y2496" i="12"/>
  <c r="Y2444" i="12"/>
  <c r="Y2412" i="12"/>
  <c r="Y2368" i="12"/>
  <c r="Y2312" i="12"/>
  <c r="Y2135" i="12"/>
  <c r="Y2071" i="12"/>
  <c r="Y2030" i="12"/>
  <c r="Y1624" i="12"/>
  <c r="Y1555" i="12"/>
  <c r="Y2400" i="12"/>
  <c r="Y2373" i="12"/>
  <c r="Y2250" i="12"/>
  <c r="Y2176" i="12"/>
  <c r="Y2192" i="12"/>
  <c r="Y2157" i="12"/>
  <c r="Y1456" i="12"/>
  <c r="Y1440" i="12"/>
  <c r="Y440" i="12"/>
  <c r="Y432" i="12"/>
  <c r="Y424" i="12"/>
  <c r="Y231" i="12"/>
  <c r="Y187" i="12"/>
  <c r="Y2355" i="12"/>
  <c r="Y2000" i="12"/>
  <c r="Y1992" i="12"/>
  <c r="Y1984" i="12"/>
  <c r="Y2527" i="12"/>
  <c r="Y2570" i="12"/>
  <c r="Y2471" i="12"/>
  <c r="Y2405" i="12"/>
  <c r="Y2374" i="12"/>
  <c r="Y2345" i="12"/>
  <c r="Y2358" i="12"/>
  <c r="Y2145" i="12"/>
  <c r="Y2137" i="12"/>
  <c r="Y2129" i="12"/>
  <c r="Y2121" i="12"/>
  <c r="Y2113" i="12"/>
  <c r="Y2119" i="12"/>
  <c r="Y2095" i="12"/>
  <c r="Y2079" i="12"/>
  <c r="Y2063" i="12"/>
  <c r="Y2002" i="12"/>
  <c r="Y1978" i="12"/>
  <c r="Y1936" i="12"/>
  <c r="Y1928" i="12"/>
  <c r="Y1868" i="12"/>
  <c r="Y1842" i="12"/>
  <c r="Y1802" i="12"/>
  <c r="Y1846" i="12"/>
  <c r="Y1838" i="12"/>
  <c r="Y1834" i="12"/>
  <c r="Y1830" i="12"/>
  <c r="Y1826" i="12"/>
  <c r="Y1822" i="12"/>
  <c r="Y1818" i="12"/>
  <c r="Y1814" i="12"/>
  <c r="Y1798" i="12"/>
  <c r="Y1861" i="12"/>
  <c r="Y1784" i="12"/>
  <c r="Y2406" i="12"/>
  <c r="Y2361" i="12"/>
  <c r="Y2443" i="12"/>
  <c r="Y2342" i="12"/>
  <c r="Y2165" i="12"/>
  <c r="Y2149" i="12"/>
  <c r="Y2141" i="12"/>
  <c r="Y2133" i="12"/>
  <c r="Y2125" i="12"/>
  <c r="Y2117" i="12"/>
  <c r="Y2109" i="12"/>
  <c r="Y2105" i="12"/>
  <c r="Y2097" i="12"/>
  <c r="Y2154" i="12"/>
  <c r="Y2308" i="12"/>
  <c r="Y2296" i="12"/>
  <c r="Y2288" i="12"/>
  <c r="Y2207" i="12"/>
  <c r="Y2195" i="12"/>
  <c r="Y2183" i="12"/>
  <c r="Y2147" i="12"/>
  <c r="Y2131" i="12"/>
  <c r="Y2107" i="12"/>
  <c r="Y2091" i="12"/>
  <c r="Y2075" i="12"/>
  <c r="Y2060" i="12"/>
  <c r="Y2038" i="12"/>
  <c r="Y2018" i="12"/>
  <c r="Y1986" i="12"/>
  <c r="Y1850" i="12"/>
  <c r="Y2608" i="12"/>
  <c r="Y2523" i="12"/>
  <c r="Y2295" i="12"/>
  <c r="Y2244" i="12"/>
  <c r="Y2228" i="12"/>
  <c r="Y1974" i="12"/>
  <c r="Y2531" i="12"/>
  <c r="Y2519" i="12"/>
  <c r="Y2463" i="12"/>
  <c r="Y2462" i="12"/>
  <c r="Y2414" i="12"/>
  <c r="Y2270" i="12"/>
  <c r="Y2401" i="12"/>
  <c r="Y2325" i="12"/>
  <c r="Y2300" i="12"/>
  <c r="Y2203" i="12"/>
  <c r="Y2191" i="12"/>
  <c r="Y2143" i="12"/>
  <c r="Y2127" i="12"/>
  <c r="Y2115" i="12"/>
  <c r="Y2099" i="12"/>
  <c r="Y2087" i="12"/>
  <c r="Y2067" i="12"/>
  <c r="Y2034" i="12"/>
  <c r="Y2014" i="12"/>
  <c r="Y1810" i="12"/>
  <c r="Y2590" i="12"/>
  <c r="Y2568" i="12"/>
  <c r="Y2580" i="12"/>
  <c r="Y2551" i="12"/>
  <c r="Y2487" i="12"/>
  <c r="Y2563" i="12"/>
  <c r="Y2392" i="12"/>
  <c r="Y2369" i="12"/>
  <c r="Y2346" i="12"/>
  <c r="Y2101" i="12"/>
  <c r="Y2321" i="12"/>
  <c r="Y2304" i="12"/>
  <c r="Y2292" i="12"/>
  <c r="Y2211" i="12"/>
  <c r="Y2199" i="12"/>
  <c r="Y2187" i="12"/>
  <c r="Y2175" i="12"/>
  <c r="Y2139" i="12"/>
  <c r="Y2123" i="12"/>
  <c r="Y2111" i="12"/>
  <c r="Y2083" i="12"/>
  <c r="Y2051" i="12"/>
  <c r="Y1599" i="12"/>
  <c r="Y1575" i="12"/>
  <c r="Y1539" i="12"/>
  <c r="Y1291" i="12"/>
  <c r="Y1275" i="12"/>
  <c r="Y1263" i="12"/>
  <c r="Y1247" i="12"/>
  <c r="Y1467" i="12"/>
  <c r="Y1437" i="12"/>
  <c r="Y1421" i="12"/>
  <c r="Y1417" i="12"/>
  <c r="Y1397" i="12"/>
  <c r="Y1377" i="12"/>
  <c r="Y1361" i="12"/>
  <c r="Y1345" i="12"/>
  <c r="Y1329" i="12"/>
  <c r="Y1313" i="12"/>
  <c r="Y1052" i="12"/>
  <c r="Y1449" i="12"/>
  <c r="Y523" i="12"/>
  <c r="Y1691" i="12"/>
  <c r="Y1636" i="12"/>
  <c r="Y1620" i="12"/>
  <c r="Y1502" i="12"/>
  <c r="Y1543" i="12"/>
  <c r="Y1517" i="12"/>
  <c r="Y1455" i="12"/>
  <c r="Y1439" i="12"/>
  <c r="Y1295" i="12"/>
  <c r="Y1279" i="12"/>
  <c r="Y1259" i="12"/>
  <c r="Y1475" i="12"/>
  <c r="Y1461" i="12"/>
  <c r="Y1433" i="12"/>
  <c r="Y1409" i="12"/>
  <c r="Y1385" i="12"/>
  <c r="Y1369" i="12"/>
  <c r="Y1353" i="12"/>
  <c r="Y1337" i="12"/>
  <c r="Y1317" i="12"/>
  <c r="Y1301" i="12"/>
  <c r="Y1457" i="12"/>
  <c r="Y1441" i="12"/>
  <c r="Y1204" i="12"/>
  <c r="Y2506" i="12"/>
  <c r="Y2486" i="12"/>
  <c r="Y2449" i="12"/>
  <c r="Y2433" i="12"/>
  <c r="Y2375" i="12"/>
  <c r="Y2299" i="12"/>
  <c r="Y2291" i="12"/>
  <c r="Y2349" i="12"/>
  <c r="Y2056" i="12"/>
  <c r="Y2258" i="12"/>
  <c r="Y2242" i="12"/>
  <c r="Y2226" i="12"/>
  <c r="Y2260" i="12"/>
  <c r="Y2256" i="12"/>
  <c r="Y2240" i="12"/>
  <c r="Y2232" i="12"/>
  <c r="Y2216" i="12"/>
  <c r="Y2212" i="12"/>
  <c r="Y2200" i="12"/>
  <c r="Y2196" i="12"/>
  <c r="Y1959" i="12"/>
  <c r="Y1968" i="12"/>
  <c r="Y1956" i="12"/>
  <c r="Y1952" i="12"/>
  <c r="Y1944" i="12"/>
  <c r="Y1970" i="12"/>
  <c r="Y1950" i="12"/>
  <c r="Y1942" i="12"/>
  <c r="Y1709" i="12"/>
  <c r="Y1693" i="12"/>
  <c r="Y1801" i="12"/>
  <c r="Y1774" i="12"/>
  <c r="Y1758" i="12"/>
  <c r="Y1797" i="12"/>
  <c r="Y1763" i="12"/>
  <c r="Y1747" i="12"/>
  <c r="Y1541" i="12"/>
  <c r="Y1507" i="12"/>
  <c r="Y1570" i="12"/>
  <c r="Y1516" i="12"/>
  <c r="Y1788" i="12"/>
  <c r="Y1707" i="12"/>
  <c r="Y1644" i="12"/>
  <c r="Y1628" i="12"/>
  <c r="Y1591" i="12"/>
  <c r="Y1571" i="12"/>
  <c r="Y1519" i="12"/>
  <c r="Y1447" i="12"/>
  <c r="Y1287" i="12"/>
  <c r="Y1271" i="12"/>
  <c r="Y1255" i="12"/>
  <c r="Y1479" i="12"/>
  <c r="Y1453" i="12"/>
  <c r="Y1425" i="12"/>
  <c r="Y1405" i="12"/>
  <c r="Y1393" i="12"/>
  <c r="Y1373" i="12"/>
  <c r="Y1357" i="12"/>
  <c r="Y1341" i="12"/>
  <c r="Y1325" i="12"/>
  <c r="Y1309" i="12"/>
  <c r="Y1794" i="12"/>
  <c r="Y1632" i="12"/>
  <c r="Y1616" i="12"/>
  <c r="Y1607" i="12"/>
  <c r="Y1583" i="12"/>
  <c r="Y1559" i="12"/>
  <c r="Y1463" i="12"/>
  <c r="Y1283" i="12"/>
  <c r="Y1267" i="12"/>
  <c r="Y1251" i="12"/>
  <c r="Y1471" i="12"/>
  <c r="Y1445" i="12"/>
  <c r="Y1429" i="12"/>
  <c r="Y1413" i="12"/>
  <c r="Y1401" i="12"/>
  <c r="Y1381" i="12"/>
  <c r="Y1365" i="12"/>
  <c r="Y1349" i="12"/>
  <c r="Y1333" i="12"/>
  <c r="Y1321" i="12"/>
  <c r="Y1305" i="12"/>
  <c r="Y1465" i="12"/>
  <c r="Y1016" i="12"/>
  <c r="Y343" i="12"/>
  <c r="Y1462" i="12"/>
  <c r="Y1446" i="12"/>
  <c r="Y1458" i="12"/>
  <c r="Y1442" i="12"/>
  <c r="Y1464" i="12"/>
  <c r="Y1448" i="12"/>
  <c r="Y935" i="12"/>
  <c r="Y552" i="12"/>
  <c r="Y334" i="12"/>
  <c r="Y326" i="12"/>
  <c r="Y561" i="12"/>
  <c r="Y321" i="12"/>
  <c r="Y317" i="12"/>
  <c r="Y313" i="12"/>
  <c r="Y309" i="12"/>
  <c r="Y305" i="12"/>
  <c r="Y301" i="12"/>
  <c r="Y293" i="12"/>
  <c r="Y289" i="12"/>
  <c r="Y285" i="12"/>
  <c r="Y277" i="12"/>
  <c r="Y265" i="12"/>
  <c r="Y581" i="12"/>
  <c r="Y524" i="12"/>
  <c r="Y500" i="12"/>
  <c r="Y492" i="12"/>
  <c r="Y352" i="12"/>
  <c r="Y344" i="12"/>
  <c r="Y332" i="12"/>
  <c r="Y324" i="12"/>
  <c r="Y467" i="12"/>
  <c r="Y459" i="12"/>
  <c r="Y451" i="12"/>
  <c r="Y427" i="12"/>
  <c r="Y223" i="12"/>
  <c r="Y2560" i="12"/>
  <c r="Y2484" i="12"/>
  <c r="Y510" i="12"/>
  <c r="Y478" i="12"/>
  <c r="Y1966" i="12"/>
  <c r="Y9" i="12"/>
  <c r="Y77" i="12"/>
  <c r="Y53" i="12"/>
  <c r="Y195" i="12"/>
  <c r="Y179" i="12"/>
  <c r="Y78" i="12"/>
  <c r="Y74" i="12"/>
  <c r="Y70" i="12"/>
  <c r="Y66" i="12"/>
  <c r="Y62" i="12"/>
  <c r="Y58" i="12"/>
  <c r="Y54" i="12"/>
  <c r="Y50" i="12"/>
  <c r="Y46" i="12"/>
  <c r="Y34" i="12"/>
  <c r="Y29" i="12"/>
  <c r="Y18" i="12"/>
  <c r="Y65" i="12"/>
  <c r="Y21" i="12"/>
  <c r="Y397" i="12"/>
  <c r="Y546" i="12"/>
  <c r="Y335" i="12"/>
  <c r="Y235" i="12"/>
  <c r="Y183" i="12"/>
  <c r="Y206" i="12"/>
  <c r="Y5" i="12"/>
  <c r="Y154" i="12"/>
  <c r="Y165" i="12"/>
  <c r="Y137" i="12"/>
  <c r="Y133" i="12"/>
  <c r="Y121" i="12"/>
  <c r="Y117" i="12"/>
  <c r="Y109" i="12"/>
  <c r="Y97" i="12"/>
  <c r="Y93" i="12"/>
  <c r="Y81" i="12"/>
  <c r="Y61" i="12"/>
  <c r="Y33" i="12"/>
  <c r="Y1239" i="12"/>
  <c r="Y1048" i="12"/>
  <c r="Y1224" i="12"/>
  <c r="Y1216" i="12"/>
  <c r="Y1208" i="12"/>
  <c r="Y1196" i="12"/>
  <c r="Y1188" i="12"/>
  <c r="Y1180" i="12"/>
  <c r="Y1172" i="12"/>
  <c r="Y1168" i="12"/>
  <c r="Y1164" i="12"/>
  <c r="Y1156" i="12"/>
  <c r="Y1152" i="12"/>
  <c r="Y1148" i="12"/>
  <c r="Y1144" i="12"/>
  <c r="Y1140" i="12"/>
  <c r="Y1136" i="12"/>
  <c r="Y1132" i="12"/>
  <c r="Y1128" i="12"/>
  <c r="Y1124" i="12"/>
  <c r="Y1120" i="12"/>
  <c r="Y1116" i="12"/>
  <c r="Y1112" i="12"/>
  <c r="Y1108" i="12"/>
  <c r="Y1104" i="12"/>
  <c r="Y1100" i="12"/>
  <c r="Y1096" i="12"/>
  <c r="Y1092" i="12"/>
  <c r="Y1088" i="12"/>
  <c r="Y1084" i="12"/>
  <c r="Y1080" i="12"/>
  <c r="Y1076" i="12"/>
  <c r="Y1072" i="12"/>
  <c r="Y1068" i="12"/>
  <c r="Y1064" i="12"/>
  <c r="Y1060" i="12"/>
  <c r="Y1040" i="12"/>
  <c r="Y1036" i="12"/>
  <c r="Y1032" i="12"/>
  <c r="Y1028" i="12"/>
  <c r="Y1022" i="12"/>
  <c r="Y993" i="12"/>
  <c r="Y980" i="12"/>
  <c r="Y962" i="12"/>
  <c r="Y936" i="12"/>
  <c r="Y1235" i="12"/>
  <c r="Y1056" i="12"/>
  <c r="Y1228" i="12"/>
  <c r="Y1220" i="12"/>
  <c r="Y1212" i="12"/>
  <c r="Y1200" i="12"/>
  <c r="Y1192" i="12"/>
  <c r="Y1184" i="12"/>
  <c r="Y1176" i="12"/>
  <c r="Y1160" i="12"/>
  <c r="Y1237" i="12"/>
  <c r="Y1202" i="12"/>
  <c r="Y1186" i="12"/>
  <c r="Y1146" i="12"/>
  <c r="Y1122" i="12"/>
  <c r="Y1114" i="12"/>
  <c r="Y1090" i="12"/>
  <c r="Y1082" i="12"/>
  <c r="Y1408" i="12"/>
  <c r="Y1243" i="12"/>
  <c r="Y1231" i="12"/>
  <c r="Y947" i="12"/>
  <c r="Y915" i="12"/>
  <c r="Y1020" i="12"/>
  <c r="Y491" i="12"/>
  <c r="Y27" i="12"/>
  <c r="Y919" i="12"/>
  <c r="Y1006" i="12"/>
  <c r="Y989" i="12"/>
  <c r="Y930" i="12"/>
  <c r="Y922" i="12"/>
  <c r="Y914" i="12"/>
  <c r="Y906" i="12"/>
  <c r="Y898" i="12"/>
  <c r="Y890" i="12"/>
  <c r="Y579" i="12"/>
  <c r="Y626" i="12"/>
  <c r="Y287" i="12"/>
  <c r="Y550" i="12"/>
  <c r="Y533" i="12"/>
  <c r="Y473" i="12"/>
  <c r="Y437" i="12"/>
  <c r="Y269" i="12"/>
  <c r="Y255" i="12"/>
  <c r="Y327" i="12"/>
  <c r="Y904" i="12"/>
  <c r="Y931" i="12"/>
  <c r="Y899" i="12"/>
  <c r="Y959" i="12"/>
  <c r="Y920" i="12"/>
  <c r="Y1055" i="12"/>
  <c r="Y944" i="12"/>
  <c r="Y928" i="12"/>
  <c r="Y912" i="12"/>
  <c r="Y896" i="12"/>
  <c r="Y883" i="12"/>
  <c r="Y879" i="12"/>
  <c r="Y875" i="12"/>
  <c r="Y871" i="12"/>
  <c r="Y867" i="12"/>
  <c r="Y863" i="12"/>
  <c r="Y859" i="12"/>
  <c r="Y977" i="12"/>
  <c r="Y612" i="12"/>
  <c r="Y597" i="12"/>
  <c r="Y594" i="12"/>
  <c r="Y565" i="12"/>
  <c r="Y600" i="12"/>
  <c r="Y568" i="12"/>
  <c r="Y560" i="12"/>
  <c r="Y554" i="12"/>
  <c r="Y585" i="12"/>
  <c r="Y576" i="12"/>
  <c r="Y558" i="12"/>
  <c r="Y551" i="12"/>
  <c r="Y547" i="12"/>
  <c r="Y541" i="12"/>
  <c r="Y515" i="12"/>
  <c r="Y516" i="12"/>
  <c r="Y484" i="12"/>
  <c r="Y507" i="12"/>
  <c r="Y475" i="12"/>
  <c r="Y351" i="12"/>
  <c r="Y303" i="12"/>
  <c r="Y295" i="12"/>
  <c r="Y202" i="12"/>
  <c r="Y562" i="12"/>
  <c r="Y903" i="12"/>
  <c r="Y1025" i="12"/>
  <c r="Y461" i="12"/>
  <c r="Y453" i="12"/>
  <c r="Y505" i="12"/>
  <c r="Y421" i="12"/>
  <c r="Y405" i="12"/>
  <c r="Y373" i="12"/>
  <c r="Y887" i="12"/>
  <c r="Y990" i="12"/>
  <c r="Y429" i="12"/>
  <c r="Y409" i="12"/>
  <c r="Y389" i="12"/>
  <c r="Y345" i="12"/>
  <c r="Y483" i="12"/>
  <c r="Y465" i="12"/>
  <c r="Y457" i="12"/>
  <c r="Y449" i="12"/>
  <c r="Y441" i="12"/>
  <c r="Y433" i="12"/>
  <c r="Y425" i="12"/>
  <c r="Y422" i="12"/>
  <c r="Y418" i="12"/>
  <c r="Y414" i="12"/>
  <c r="Y410" i="12"/>
  <c r="Y406" i="12"/>
  <c r="Y402" i="12"/>
  <c r="Y398" i="12"/>
  <c r="Y394" i="12"/>
  <c r="Y390" i="12"/>
  <c r="Y386" i="12"/>
  <c r="Y382" i="12"/>
  <c r="Y378" i="12"/>
  <c r="Y374" i="12"/>
  <c r="Y370" i="12"/>
  <c r="Y366" i="12"/>
  <c r="Y362" i="12"/>
  <c r="Y358" i="12"/>
  <c r="Y350" i="12"/>
  <c r="Y342" i="12"/>
  <c r="Y257" i="12"/>
  <c r="Y253" i="12"/>
  <c r="Y213" i="12"/>
  <c r="Y619" i="12"/>
  <c r="Y599" i="12"/>
  <c r="Y591" i="12"/>
  <c r="Y583" i="12"/>
  <c r="Y575" i="12"/>
  <c r="Y567" i="12"/>
  <c r="Y544" i="12"/>
  <c r="Y537" i="12"/>
  <c r="Y519" i="12"/>
  <c r="Y512" i="12"/>
  <c r="Y487" i="12"/>
  <c r="Y480" i="12"/>
  <c r="Y349" i="12"/>
  <c r="Y341" i="12"/>
  <c r="Y336" i="12"/>
  <c r="Y333" i="12"/>
  <c r="Y328" i="12"/>
  <c r="Y325" i="12"/>
  <c r="Y320" i="12"/>
  <c r="Y312" i="12"/>
  <c r="Y304" i="12"/>
  <c r="Y296" i="12"/>
  <c r="Y288" i="12"/>
  <c r="Y264" i="12"/>
  <c r="Y557" i="12"/>
  <c r="Y539" i="12"/>
  <c r="Y522" i="12"/>
  <c r="Y490" i="12"/>
  <c r="Y339" i="12"/>
  <c r="Y331" i="12"/>
  <c r="Y323" i="12"/>
  <c r="Y319" i="12"/>
  <c r="Y315" i="12"/>
  <c r="Y307" i="12"/>
  <c r="Y299" i="12"/>
  <c r="Y291" i="12"/>
  <c r="Y283" i="12"/>
  <c r="Y279" i="12"/>
  <c r="Y275" i="12"/>
  <c r="Y272" i="12"/>
  <c r="Y267" i="12"/>
  <c r="Y263" i="12"/>
  <c r="Y260" i="12"/>
  <c r="Y256" i="12"/>
  <c r="Y248" i="12"/>
  <c r="Y224" i="12"/>
  <c r="Y221" i="12"/>
  <c r="Y217" i="12"/>
  <c r="Y212" i="12"/>
  <c r="Y204" i="12"/>
  <c r="Y220" i="12"/>
  <c r="Y196" i="12"/>
  <c r="Y208" i="12"/>
  <c r="Y166" i="12"/>
  <c r="Y162" i="12"/>
  <c r="Y15" i="12"/>
  <c r="Y618" i="12"/>
  <c r="Y602" i="12"/>
  <c r="Y570" i="12"/>
  <c r="Y501" i="12"/>
  <c r="Y281" i="12"/>
  <c r="Y178" i="12"/>
  <c r="F71" i="3"/>
  <c r="F6" i="3"/>
  <c r="E100" i="3"/>
  <c r="E63" i="3"/>
  <c r="E18" i="3"/>
  <c r="F46" i="3"/>
  <c r="E22" i="3"/>
  <c r="E26" i="3"/>
  <c r="E87" i="3"/>
  <c r="F105" i="3"/>
  <c r="E70" i="3"/>
  <c r="E32" i="3"/>
  <c r="F16" i="3"/>
  <c r="F90" i="3"/>
  <c r="F58" i="3"/>
  <c r="F88" i="3"/>
  <c r="F36" i="3"/>
  <c r="F56" i="3"/>
  <c r="F44" i="3"/>
  <c r="E27" i="3"/>
  <c r="F47" i="3"/>
  <c r="F84" i="3"/>
  <c r="F77" i="3"/>
  <c r="E40" i="3"/>
  <c r="E15" i="3"/>
  <c r="F14" i="3"/>
  <c r="F109" i="3"/>
  <c r="F93" i="3"/>
  <c r="E35" i="3"/>
  <c r="E92" i="3"/>
  <c r="E53" i="3"/>
  <c r="E34" i="3"/>
  <c r="E66" i="3"/>
  <c r="E30" i="3"/>
  <c r="E90" i="3"/>
  <c r="E58" i="3"/>
  <c r="E50" i="3"/>
  <c r="E11" i="3"/>
  <c r="F13" i="3"/>
  <c r="F20" i="3"/>
  <c r="F22" i="3"/>
  <c r="E28" i="3"/>
  <c r="F64" i="3"/>
  <c r="E77" i="3"/>
  <c r="F40" i="3"/>
  <c r="F10" i="3"/>
  <c r="E46" i="3"/>
  <c r="F11" i="3"/>
  <c r="F7" i="3"/>
  <c r="F9" i="3"/>
  <c r="F24" i="3"/>
  <c r="E20" i="3"/>
  <c r="F28" i="3"/>
  <c r="F82" i="3"/>
  <c r="F50" i="3"/>
  <c r="F80" i="3"/>
  <c r="F48" i="3"/>
  <c r="F94" i="3"/>
  <c r="E69" i="3"/>
  <c r="F55" i="3"/>
  <c r="E44" i="3"/>
  <c r="F86" i="3"/>
  <c r="E79" i="3"/>
  <c r="E84" i="3"/>
  <c r="E45" i="3"/>
  <c r="F15" i="3"/>
  <c r="E19" i="3"/>
  <c r="E109" i="3"/>
  <c r="F23" i="3"/>
  <c r="F97" i="3"/>
  <c r="F60" i="3"/>
  <c r="F53" i="3"/>
  <c r="E41" i="3"/>
  <c r="E82" i="3"/>
  <c r="E48" i="3"/>
  <c r="E36" i="3"/>
  <c r="F18" i="3"/>
  <c r="E9" i="3"/>
  <c r="E104" i="3"/>
  <c r="E96" i="3"/>
  <c r="F66" i="3"/>
  <c r="F42" i="3"/>
  <c r="F87" i="3"/>
  <c r="E76" i="3"/>
  <c r="F62" i="3"/>
  <c r="E55" i="3"/>
  <c r="F79" i="3"/>
  <c r="E68" i="3"/>
  <c r="E101" i="3"/>
  <c r="F63" i="3"/>
  <c r="E52" i="3"/>
  <c r="F33" i="3"/>
  <c r="F19" i="3"/>
  <c r="F61" i="3"/>
  <c r="E23" i="3"/>
  <c r="F92" i="3"/>
  <c r="F85" i="3"/>
  <c r="F34" i="3"/>
  <c r="E74" i="3"/>
  <c r="E72" i="3"/>
  <c r="F30" i="3"/>
  <c r="E7" i="3"/>
  <c r="E24" i="3"/>
  <c r="F32" i="3"/>
  <c r="E16" i="3"/>
  <c r="F38" i="3"/>
  <c r="E94" i="3"/>
  <c r="F76" i="3"/>
  <c r="F69" i="3"/>
  <c r="F27" i="3"/>
  <c r="E86" i="3"/>
  <c r="F68" i="3"/>
  <c r="E47" i="3"/>
  <c r="F101" i="3"/>
  <c r="F52" i="3"/>
  <c r="F45" i="3"/>
  <c r="E33" i="3"/>
  <c r="E14" i="3"/>
  <c r="E10" i="3"/>
  <c r="E93" i="3"/>
  <c r="E61" i="3"/>
  <c r="F35" i="3"/>
  <c r="E97" i="3"/>
  <c r="E85" i="3"/>
  <c r="E60" i="3"/>
  <c r="F41" i="3"/>
  <c r="E64" i="3"/>
  <c r="E42" i="3"/>
  <c r="E80" i="3"/>
  <c r="E38" i="3"/>
  <c r="E88" i="3"/>
  <c r="E56" i="3"/>
  <c r="C18" i="3"/>
  <c r="C26" i="3"/>
  <c r="C22" i="3"/>
  <c r="C87" i="3"/>
  <c r="C63" i="3"/>
  <c r="C6" i="3"/>
  <c r="Y2546" i="12"/>
  <c r="Y2542" i="12"/>
  <c r="Y2538" i="12"/>
  <c r="Y2534" i="12"/>
  <c r="Y2530" i="12"/>
  <c r="Y2526" i="12"/>
  <c r="Y2522" i="12"/>
  <c r="Y2518" i="12"/>
  <c r="Y2514" i="12"/>
  <c r="Y2606" i="12"/>
  <c r="Y2601" i="12"/>
  <c r="Y2595" i="12"/>
  <c r="Y2395" i="12"/>
  <c r="Y2341" i="12"/>
  <c r="Y2337" i="12"/>
  <c r="Y2316" i="12"/>
  <c r="Y2382" i="12"/>
  <c r="Y2326" i="12"/>
  <c r="Y2363" i="12"/>
  <c r="Y2357" i="12"/>
  <c r="Y2285" i="12"/>
  <c r="Y2281" i="12"/>
  <c r="Y2277" i="12"/>
  <c r="Y2168" i="12"/>
  <c r="Y2324" i="12"/>
  <c r="Y2178" i="12"/>
  <c r="Y2174" i="12"/>
  <c r="Y2170" i="12"/>
  <c r="Y2166" i="12"/>
  <c r="Y2150" i="12"/>
  <c r="Y1988" i="12"/>
  <c r="Y1980" i="12"/>
  <c r="Y2090" i="12"/>
  <c r="Y2086" i="12"/>
  <c r="Y2082" i="12"/>
  <c r="Y2078" i="12"/>
  <c r="Y2074" i="12"/>
  <c r="Y2070" i="12"/>
  <c r="Y2066" i="12"/>
  <c r="Y2062" i="12"/>
  <c r="Y2054" i="12"/>
  <c r="Y2046" i="12"/>
  <c r="Y2036" i="12"/>
  <c r="Y2029" i="12"/>
  <c r="Y2020" i="12"/>
  <c r="Y2013" i="12"/>
  <c r="Y2004" i="12"/>
  <c r="Y1852" i="12"/>
  <c r="Y1857" i="12"/>
  <c r="Y1795" i="12"/>
  <c r="Y1536" i="12"/>
  <c r="Y1522" i="12"/>
  <c r="Y1510" i="12"/>
  <c r="Y1553" i="12"/>
  <c r="Y1515" i="12"/>
  <c r="Y1528" i="12"/>
  <c r="Y1182" i="12"/>
  <c r="Y1178" i="12"/>
  <c r="Y1174" i="12"/>
  <c r="Y1170" i="12"/>
  <c r="Y1166" i="12"/>
  <c r="Y1162" i="12"/>
  <c r="Y1158" i="12"/>
  <c r="Y1154" i="12"/>
  <c r="Y1150" i="12"/>
  <c r="Y1400" i="12"/>
  <c r="Y1396" i="12"/>
  <c r="Y1392" i="12"/>
  <c r="Y1388" i="12"/>
  <c r="Y1384" i="12"/>
  <c r="Y1380" i="12"/>
  <c r="Y1376" i="12"/>
  <c r="Y1372" i="12"/>
  <c r="Y1368" i="12"/>
  <c r="Y1364" i="12"/>
  <c r="Y1360" i="12"/>
  <c r="Y1356" i="12"/>
  <c r="Y1352" i="12"/>
  <c r="Y1348" i="12"/>
  <c r="Y1344" i="12"/>
  <c r="Y1340" i="12"/>
  <c r="Y1336" i="12"/>
  <c r="Y1332" i="12"/>
  <c r="Y1328" i="12"/>
  <c r="Y1324" i="12"/>
  <c r="Y1320" i="12"/>
  <c r="Y1316" i="12"/>
  <c r="Y1312" i="12"/>
  <c r="Y1308" i="12"/>
  <c r="Y1304" i="12"/>
  <c r="Y1300" i="12"/>
  <c r="Y1027" i="12"/>
  <c r="Y958" i="12"/>
  <c r="Y956" i="12"/>
  <c r="Y1011" i="12"/>
  <c r="Y1002" i="12"/>
  <c r="Y979" i="12"/>
  <c r="Y940" i="12"/>
  <c r="Y924" i="12"/>
  <c r="Y908" i="12"/>
  <c r="Y892" i="12"/>
  <c r="Y1010" i="12"/>
  <c r="Y995" i="12"/>
  <c r="Y530" i="12"/>
  <c r="Y498" i="12"/>
  <c r="Y244" i="12"/>
  <c r="Y236" i="12"/>
  <c r="Y228" i="12"/>
  <c r="Y209" i="12"/>
  <c r="Y201" i="12"/>
  <c r="Y188" i="12"/>
  <c r="Y180" i="12"/>
  <c r="Y518" i="12"/>
  <c r="Y509" i="12"/>
  <c r="Y486" i="12"/>
  <c r="Y477" i="12"/>
  <c r="Y607" i="12"/>
  <c r="Y525" i="12"/>
  <c r="Y502" i="12"/>
  <c r="Y493" i="12"/>
  <c r="Y266" i="12"/>
  <c r="Y24" i="12"/>
  <c r="Y232" i="12"/>
  <c r="Y26" i="12"/>
  <c r="Y161" i="12"/>
  <c r="Y157" i="12"/>
  <c r="Y153" i="12"/>
  <c r="Y149" i="12"/>
  <c r="Y145" i="12"/>
  <c r="Y28" i="12"/>
  <c r="Y12" i="12"/>
  <c r="Y2" i="12"/>
  <c r="C102" i="3"/>
  <c r="Y14" i="12"/>
  <c r="C12" i="3"/>
  <c r="Y2177" i="12"/>
  <c r="Y2158" i="12"/>
  <c r="Y2284" i="12"/>
  <c r="Y2276" i="12"/>
  <c r="Y1955" i="12"/>
  <c r="Y1780" i="12"/>
  <c r="Y1768" i="12"/>
  <c r="Y1760" i="12"/>
  <c r="Y1752" i="12"/>
  <c r="Y1744" i="12"/>
  <c r="Y1736" i="12"/>
  <c r="Y1728" i="12"/>
  <c r="Y1007" i="12"/>
  <c r="Y1004" i="12"/>
  <c r="Y470" i="12"/>
  <c r="Y446" i="12"/>
  <c r="C49" i="3"/>
  <c r="Y170" i="12"/>
  <c r="Y150" i="12"/>
  <c r="Y146" i="12"/>
  <c r="Y138" i="12"/>
  <c r="Y130" i="12"/>
  <c r="Y122" i="12"/>
  <c r="Y114" i="12"/>
  <c r="Y102" i="12"/>
  <c r="Y94" i="12"/>
  <c r="Y86" i="12"/>
  <c r="Y82" i="12"/>
  <c r="Y42" i="12"/>
  <c r="Y197" i="12"/>
  <c r="C108" i="3"/>
  <c r="C81" i="3"/>
  <c r="C37" i="3"/>
  <c r="Y2587" i="12"/>
  <c r="Y2610" i="12"/>
  <c r="Y2579" i="12"/>
  <c r="Y2548" i="12"/>
  <c r="Y2492" i="12"/>
  <c r="Y2488" i="12"/>
  <c r="Y2480" i="12"/>
  <c r="Y2476" i="12"/>
  <c r="Y2472" i="12"/>
  <c r="Y2468" i="12"/>
  <c r="Y2603" i="12"/>
  <c r="Y2359" i="12"/>
  <c r="Y2163" i="12"/>
  <c r="Y2286" i="12"/>
  <c r="Y2282" i="12"/>
  <c r="Y2278" i="12"/>
  <c r="Y2037" i="12"/>
  <c r="Y2021" i="12"/>
  <c r="Y2005" i="12"/>
  <c r="Y1869" i="12"/>
  <c r="Y1957" i="12"/>
  <c r="Y1865" i="12"/>
  <c r="Y1853" i="12"/>
  <c r="Y1863" i="12"/>
  <c r="Y1859" i="12"/>
  <c r="Y1646" i="12"/>
  <c r="Y1545" i="12"/>
  <c r="Y1497" i="12"/>
  <c r="Y1493" i="12"/>
  <c r="Y1489" i="12"/>
  <c r="Y1485" i="12"/>
  <c r="Y1481" i="12"/>
  <c r="Y1569" i="12"/>
  <c r="Y1525" i="12"/>
  <c r="Y1477" i="12"/>
  <c r="Y1473" i="12"/>
  <c r="Y1026" i="12"/>
  <c r="Y976" i="12"/>
  <c r="Y992" i="12"/>
  <c r="Y966" i="12"/>
  <c r="Y954" i="12"/>
  <c r="Y932" i="12"/>
  <c r="Y916" i="12"/>
  <c r="Y900" i="12"/>
  <c r="Y884" i="12"/>
  <c r="Y603" i="12"/>
  <c r="Y625" i="12"/>
  <c r="Y598" i="12"/>
  <c r="Y582" i="12"/>
  <c r="Y566" i="12"/>
  <c r="Y540" i="12"/>
  <c r="Y218" i="12"/>
  <c r="Y211" i="12"/>
  <c r="Y203" i="12"/>
  <c r="Y514" i="12"/>
  <c r="Y482" i="12"/>
  <c r="Y590" i="12"/>
  <c r="Y574" i="12"/>
  <c r="Y242" i="12"/>
  <c r="Y234" i="12"/>
  <c r="Y226" i="12"/>
  <c r="Y207" i="12"/>
  <c r="Y199" i="12"/>
  <c r="Y194" i="12"/>
  <c r="Y186" i="12"/>
  <c r="C73" i="3"/>
  <c r="Y20" i="12"/>
  <c r="Y6" i="12"/>
  <c r="C8" i="3"/>
  <c r="C110" i="3"/>
  <c r="Y4" i="12"/>
  <c r="Y192" i="12"/>
  <c r="Y172" i="12"/>
  <c r="Y168" i="12"/>
  <c r="Y148" i="12"/>
  <c r="Y144" i="12"/>
  <c r="Y140" i="12"/>
  <c r="Y136" i="12"/>
  <c r="Y132" i="12"/>
  <c r="Y128" i="12"/>
  <c r="Y124" i="12"/>
  <c r="Y120" i="12"/>
  <c r="Y116" i="12"/>
  <c r="Y112" i="12"/>
  <c r="Y108" i="12"/>
  <c r="Y104" i="12"/>
  <c r="Y100" i="12"/>
  <c r="Y96" i="12"/>
  <c r="Y92" i="12"/>
  <c r="Y88" i="12"/>
  <c r="Y84" i="12"/>
  <c r="Y80" i="12"/>
  <c r="Y76" i="12"/>
  <c r="Y72" i="12"/>
  <c r="Y68" i="12"/>
  <c r="Y64" i="12"/>
  <c r="Y60" i="12"/>
  <c r="Y56" i="12"/>
  <c r="Y52" i="12"/>
  <c r="Y48" i="12"/>
  <c r="Y44" i="12"/>
  <c r="Y40" i="12"/>
  <c r="Y36" i="12"/>
  <c r="Y32" i="12"/>
  <c r="Y8" i="12"/>
  <c r="Y205" i="12"/>
  <c r="C65" i="3"/>
  <c r="C31" i="3"/>
  <c r="Y10" i="12"/>
  <c r="C106" i="3"/>
  <c r="C57" i="3"/>
  <c r="Y2280" i="12"/>
  <c r="Y1776" i="12"/>
  <c r="Y1772" i="12"/>
  <c r="Y1764" i="12"/>
  <c r="Y1756" i="12"/>
  <c r="Y1748" i="12"/>
  <c r="Y1740" i="12"/>
  <c r="Y1732" i="12"/>
  <c r="Y462" i="12"/>
  <c r="Y454" i="12"/>
  <c r="Y438" i="12"/>
  <c r="Y430" i="12"/>
  <c r="C98" i="3"/>
  <c r="C104" i="3"/>
  <c r="Y174" i="12"/>
  <c r="Y158" i="12"/>
  <c r="Y142" i="12"/>
  <c r="Y134" i="12"/>
  <c r="Y126" i="12"/>
  <c r="Y118" i="12"/>
  <c r="Y110" i="12"/>
  <c r="Y106" i="12"/>
  <c r="Y98" i="12"/>
  <c r="Y90" i="12"/>
  <c r="Y38" i="12"/>
  <c r="C100" i="3"/>
  <c r="C70" i="3"/>
  <c r="C46" i="3"/>
  <c r="C51" i="3"/>
  <c r="Y2600" i="12"/>
  <c r="Y2407" i="12"/>
  <c r="Y2268" i="12"/>
  <c r="Y2350" i="12"/>
  <c r="Y2283" i="12"/>
  <c r="Y2279" i="12"/>
  <c r="Y2275" i="12"/>
  <c r="Y2138" i="12"/>
  <c r="Y2134" i="12"/>
  <c r="Y2130" i="12"/>
  <c r="Y2126" i="12"/>
  <c r="Y2122" i="12"/>
  <c r="Y2118" i="12"/>
  <c r="Y2114" i="12"/>
  <c r="Y2110" i="12"/>
  <c r="Y2106" i="12"/>
  <c r="Y2102" i="12"/>
  <c r="Y2098" i="12"/>
  <c r="Y2094" i="12"/>
  <c r="Y2155" i="12"/>
  <c r="Y2058" i="12"/>
  <c r="Y2050" i="12"/>
  <c r="Y1914" i="12"/>
  <c r="Y1910" i="12"/>
  <c r="Y1906" i="12"/>
  <c r="Y1902" i="12"/>
  <c r="Y1898" i="12"/>
  <c r="Y1894" i="12"/>
  <c r="Y1890" i="12"/>
  <c r="Y1886" i="12"/>
  <c r="Y1882" i="12"/>
  <c r="Y1878" i="12"/>
  <c r="Y1874" i="12"/>
  <c r="Y1870" i="12"/>
  <c r="Y1856" i="12"/>
  <c r="Y1854" i="12"/>
  <c r="Y1867" i="12"/>
  <c r="Y1512" i="12"/>
  <c r="Y1518" i="12"/>
  <c r="Y1520" i="12"/>
  <c r="Y1266" i="12"/>
  <c r="Y1264" i="12"/>
  <c r="Y1262" i="12"/>
  <c r="Y1260" i="12"/>
  <c r="Y1258" i="12"/>
  <c r="Y1256" i="12"/>
  <c r="Y1254" i="12"/>
  <c r="Y1252" i="12"/>
  <c r="Y1250" i="12"/>
  <c r="Y1248" i="12"/>
  <c r="Y1246" i="12"/>
  <c r="Y1244" i="12"/>
  <c r="Y1242" i="12"/>
  <c r="Y1240" i="12"/>
  <c r="Y1238" i="12"/>
  <c r="Y1236" i="12"/>
  <c r="Y1234" i="12"/>
  <c r="Y1232" i="12"/>
  <c r="Y1230" i="12"/>
  <c r="Y1049" i="12"/>
  <c r="Y1065" i="12"/>
  <c r="Y1061" i="12"/>
  <c r="Y1037" i="12"/>
  <c r="Y1033" i="12"/>
  <c r="Y952" i="12"/>
  <c r="Y578" i="12"/>
  <c r="Y1023" i="12"/>
  <c r="Y998" i="12"/>
  <c r="Y981" i="12"/>
  <c r="Y941" i="12"/>
  <c r="Y925" i="12"/>
  <c r="Y909" i="12"/>
  <c r="Y893" i="12"/>
  <c r="Y761" i="12"/>
  <c r="Y622" i="12"/>
  <c r="Y606" i="12"/>
  <c r="Y556" i="12"/>
  <c r="Y623" i="12"/>
  <c r="Y614" i="12"/>
  <c r="Y258" i="12"/>
  <c r="Y251" i="12"/>
  <c r="Y246" i="12"/>
  <c r="Y238" i="12"/>
  <c r="Y230" i="12"/>
  <c r="Y610" i="12"/>
  <c r="Y526" i="12"/>
  <c r="Y517" i="12"/>
  <c r="Y494" i="12"/>
  <c r="Y485" i="12"/>
  <c r="Y240" i="12"/>
  <c r="Y611" i="12"/>
  <c r="Y548" i="12"/>
  <c r="Y184" i="12"/>
  <c r="C96" i="3"/>
  <c r="C89" i="3"/>
  <c r="Y190" i="12"/>
  <c r="Y16" i="12"/>
  <c r="Y167" i="12"/>
  <c r="Y163" i="12"/>
  <c r="Y159" i="12"/>
  <c r="Y155" i="12"/>
  <c r="Y151" i="12"/>
  <c r="Y147" i="12"/>
  <c r="Y30" i="12"/>
  <c r="Y22" i="12"/>
  <c r="Y182" i="12"/>
  <c r="Y176" i="12"/>
  <c r="E105" i="3" a="1"/>
  <c r="F102" i="3" a="1"/>
  <c r="E21" i="3" a="1"/>
  <c r="F12" i="3" a="1"/>
  <c r="F81" i="3" a="1"/>
  <c r="E37" i="3" a="1"/>
  <c r="E108" i="3" a="1"/>
  <c r="E78" i="3" a="1"/>
  <c r="E8" i="3" a="1"/>
  <c r="F65" i="3" a="1"/>
  <c r="F106" i="3" a="1"/>
  <c r="E57" i="3" a="1"/>
  <c r="E98" i="3" a="1"/>
  <c r="F67" i="3" a="1"/>
  <c r="F89" i="3" a="1"/>
  <c r="F107" i="3" a="1"/>
  <c r="F103" i="3" a="1"/>
  <c r="E59" i="3" a="1"/>
  <c r="E29" i="3" a="1"/>
  <c r="E107" i="3" a="1"/>
  <c r="E103" i="3" a="1"/>
  <c r="F29" i="3" a="1"/>
  <c r="E13" i="3" a="1"/>
  <c r="F54" i="3" a="1"/>
  <c r="F25" i="3" a="1"/>
  <c r="F83" i="3" a="1"/>
  <c r="E102" i="3" a="1"/>
  <c r="F108" i="3" a="1"/>
  <c r="E81" i="3" a="1"/>
  <c r="F51" i="3" a="1"/>
  <c r="F70" i="3" a="1"/>
  <c r="F73" i="3" a="1"/>
  <c r="E43" i="3" a="1"/>
  <c r="F8" i="3" a="1"/>
  <c r="E65" i="3" a="1"/>
  <c r="F31" i="3" a="1"/>
  <c r="F57" i="3" a="1"/>
  <c r="F104" i="3" a="1"/>
  <c r="E67" i="3" a="1"/>
  <c r="F91" i="3" a="1"/>
  <c r="E95" i="3" a="1"/>
  <c r="F17" i="3" a="1"/>
  <c r="E49" i="3" a="1"/>
  <c r="F26" i="3" a="1"/>
  <c r="F99" i="3" a="1"/>
  <c r="E110" i="3" a="1"/>
  <c r="E39" i="3" a="1"/>
  <c r="E75" i="3" a="1"/>
  <c r="F72" i="3" a="1"/>
  <c r="E89" i="3" a="1"/>
  <c r="E62" i="3" a="1"/>
  <c r="F78" i="3" a="1"/>
  <c r="E25" i="3" a="1"/>
  <c r="E83" i="3" a="1"/>
  <c r="F49" i="3" a="1"/>
  <c r="E51" i="3" a="1"/>
  <c r="E6" i="3" a="1"/>
  <c r="E99" i="3" a="1"/>
  <c r="E73" i="3" a="1"/>
  <c r="F43" i="3" a="1"/>
  <c r="F110" i="3" a="1"/>
  <c r="F39" i="3" a="1"/>
  <c r="F75" i="3" a="1"/>
  <c r="E31" i="3" a="1"/>
  <c r="E106" i="3" a="1"/>
  <c r="F98" i="3" a="1"/>
  <c r="F100" i="3" a="1"/>
  <c r="F74" i="3" a="1"/>
  <c r="F96" i="3" a="1"/>
  <c r="E91" i="3" a="1"/>
  <c r="F95" i="3" a="1"/>
  <c r="E17" i="3" a="1"/>
  <c r="E71" i="3" a="1"/>
  <c r="F21" i="3" a="1"/>
  <c r="E12" i="3" a="1"/>
  <c r="F37" i="3" a="1"/>
  <c r="E54" i="3" a="1"/>
  <c r="F59" i="3" a="1"/>
  <c r="AJ2" i="12" l="1"/>
  <c r="AI2" i="12"/>
  <c r="F59" i="3"/>
  <c r="E54" i="3"/>
  <c r="F37" i="3"/>
  <c r="E12" i="3"/>
  <c r="F21" i="3"/>
  <c r="E71" i="3"/>
  <c r="E17" i="3"/>
  <c r="F95" i="3"/>
  <c r="E91" i="3"/>
  <c r="F96" i="3"/>
  <c r="F74" i="3"/>
  <c r="F100" i="3"/>
  <c r="F98" i="3"/>
  <c r="E106" i="3"/>
  <c r="E31" i="3"/>
  <c r="F75" i="3"/>
  <c r="F39" i="3"/>
  <c r="F110" i="3"/>
  <c r="F43" i="3"/>
  <c r="E73" i="3"/>
  <c r="E99" i="3"/>
  <c r="E6" i="3"/>
  <c r="E51" i="3"/>
  <c r="F49" i="3"/>
  <c r="E83" i="3"/>
  <c r="E25" i="3"/>
  <c r="F78" i="3"/>
  <c r="E62" i="3"/>
  <c r="E89" i="3"/>
  <c r="F72" i="3"/>
  <c r="E75" i="3"/>
  <c r="E39" i="3"/>
  <c r="E110" i="3"/>
  <c r="F99" i="3"/>
  <c r="F26" i="3"/>
  <c r="E49" i="3"/>
  <c r="F17" i="3"/>
  <c r="E95" i="3"/>
  <c r="F91" i="3"/>
  <c r="E67" i="3"/>
  <c r="F104" i="3"/>
  <c r="F57" i="3"/>
  <c r="F31" i="3"/>
  <c r="E65" i="3"/>
  <c r="F8" i="3"/>
  <c r="E43" i="3"/>
  <c r="F73" i="3"/>
  <c r="F70" i="3"/>
  <c r="F51" i="3"/>
  <c r="E81" i="3"/>
  <c r="F108" i="3"/>
  <c r="E102" i="3"/>
  <c r="F83" i="3"/>
  <c r="F25" i="3"/>
  <c r="F54" i="3"/>
  <c r="E13" i="3"/>
  <c r="F29" i="3"/>
  <c r="E103" i="3"/>
  <c r="E107" i="3"/>
  <c r="E29" i="3"/>
  <c r="E59" i="3"/>
  <c r="F103" i="3"/>
  <c r="F107" i="3"/>
  <c r="F89" i="3"/>
  <c r="F67" i="3"/>
  <c r="E98" i="3"/>
  <c r="E57" i="3"/>
  <c r="F106" i="3"/>
  <c r="F65" i="3"/>
  <c r="E8" i="3"/>
  <c r="E78" i="3"/>
  <c r="E108" i="3"/>
  <c r="E37" i="3"/>
  <c r="F81" i="3"/>
  <c r="F12" i="3"/>
  <c r="E21" i="3"/>
  <c r="F102" i="3"/>
  <c r="E105" i="3"/>
  <c r="AK2" i="12" l="1"/>
  <c r="AM2" i="12" s="1"/>
  <c r="AL2" i="1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<sst xmlns="http://schemas.openxmlformats.org/spreadsheetml/2006/main" count="27952" uniqueCount="2855">
  <si>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</si>
  <si>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</si>
  <si>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</si>
  <si>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</si>
  <si>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</si>
  <si>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</si>
  <si>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</si>
  <si>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</si>
  <si>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</si>
  <si>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</si>
  <si>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</si>
  <si>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</si>
  <si>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</si>
  <si>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</si>
  <si>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</si>
  <si>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</si>
  <si>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</si>
  <si>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</si>
  <si>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</si>
  <si>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</si>
  <si>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</si>
  <si>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</si>
  <si>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</si>
  <si>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</si>
  <si>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</si>
  <si>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</si>
  <si>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</si>
  <si>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</si>
  <si>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</si>
  <si>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</si>
  <si>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</si>
  <si>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</si>
  <si>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</si>
  <si>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</si>
  <si>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</si>
  <si>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</si>
  <si>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</si>
  <si>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</si>
  <si>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</si>
  <si>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</si>
  <si>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</si>
  <si>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</si>
  <si>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</si>
  <si>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</si>
  <si>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</si>
  <si>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</si>
  <si>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</si>
  <si>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</si>
  <si>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</si>
  <si>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</si>
  <si>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</si>
  <si>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</si>
  <si>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</si>
  <si>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</si>
  <si>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</si>
  <si>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</si>
  <si>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</si>
  <si>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</si>
  <si>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</si>
  <si>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</si>
  <si>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</si>
  <si>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</si>
  <si>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</si>
  <si>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</si>
  <si>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</si>
  <si>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</si>
  <si>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</si>
  <si>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</si>
  <si>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</si>
  <si>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</si>
  <si>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</si>
  <si>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</si>
  <si>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</si>
  <si>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</si>
  <si>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</si>
  <si>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</si>
  <si>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</si>
  <si>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</si>
  <si>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</si>
  <si>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</si>
  <si>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</si>
  <si>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</si>
  <si>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</si>
  <si>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</si>
  <si>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</si>
  <si>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</si>
  <si>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</si>
  <si>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</si>
  <si>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</si>
  <si>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</si>
  <si>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</si>
  <si>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</si>
  <si>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</si>
  <si>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</si>
  <si>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</si>
  <si>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</si>
  <si>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</si>
  <si>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</si>
  <si>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</si>
  <si>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</si>
  <si>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</si>
  <si>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</si>
  <si>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</si>
  <si>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</si>
  <si>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</si>
  <si>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</si>
  <si>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</si>
  <si>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</si>
  <si>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</si>
  <si>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</si>
  <si>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</si>
  <si>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</si>
  <si>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</si>
  <si>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</si>
  <si>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</si>
  <si>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</si>
  <si>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</si>
  <si>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</si>
  <si>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</si>
  <si>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</si>
  <si>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</si>
  <si>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</si>
  <si>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</si>
  <si>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</si>
  <si>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</si>
  <si>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</si>
  <si>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</si>
  <si>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</si>
  <si>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</si>
  <si>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</si>
  <si>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</si>
  <si>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</si>
  <si>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</si>
  <si>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</si>
  <si>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</si>
  <si>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</si>
  <si>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</si>
  <si>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</si>
  <si>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</si>
  <si>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</si>
  <si>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</si>
  <si>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</si>
  <si>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</si>
  <si>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</si>
  <si>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</si>
  <si>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</si>
  <si>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</si>
  <si>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</si>
  <si>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</si>
  <si>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</si>
  <si>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</si>
  <si>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</si>
  <si>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</si>
  <si>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</si>
  <si>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</si>
  <si>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</si>
  <si>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</si>
  <si>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</si>
  <si>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</si>
  <si>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</si>
  <si>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</si>
  <si>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</si>
  <si>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</si>
  <si>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</si>
  <si>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</si>
  <si>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</si>
  <si>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</si>
  <si>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</si>
  <si>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</si>
  <si>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</si>
  <si>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</si>
  <si>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</si>
  <si>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</si>
  <si>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</si>
  <si>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</si>
  <si>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</si>
  <si>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</si>
  <si>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</si>
  <si>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</si>
  <si>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</si>
  <si>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</si>
  <si>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</si>
  <si>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</si>
  <si>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</si>
  <si>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</si>
  <si>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</si>
  <si>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</si>
  <si>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</si>
  <si>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</si>
  <si>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</si>
  <si>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</si>
  <si>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meas_unit</t>
  </si>
  <si>
    <t>secondary_unit</t>
  </si>
  <si>
    <t>Uncertainty Lookup Table Last Updated:</t>
  </si>
  <si>
    <t>kΩ</t>
  </si>
  <si>
    <t>2</t>
  </si>
  <si>
    <t>3</t>
  </si>
  <si>
    <t>1</t>
  </si>
  <si>
    <t>4</t>
  </si>
  <si>
    <t>5</t>
  </si>
  <si>
    <t>Range2_Value</t>
  </si>
  <si>
    <t>Tolerance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</si>
  <si>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</si>
  <si>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</si>
  <si>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</si>
  <si>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</si>
  <si>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</si>
  <si>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</si>
  <si>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</si>
  <si>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</si>
  <si>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</si>
  <si>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</si>
  <si>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</si>
  <si>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</si>
  <si>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</si>
  <si>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</si>
  <si>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</si>
  <si>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</si>
  <si>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</si>
  <si>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</si>
  <si>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</si>
  <si>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</si>
  <si>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</si>
  <si>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</si>
  <si>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</si>
  <si>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</si>
  <si>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</si>
  <si>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</si>
  <si>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</si>
  <si>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</si>
  <si>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</si>
  <si>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</si>
  <si>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</si>
  <si>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</si>
  <si>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</si>
  <si>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</si>
  <si>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</si>
  <si>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</si>
  <si>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</si>
  <si>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</si>
  <si>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</si>
  <si>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</si>
  <si>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</si>
  <si>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</si>
  <si>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</si>
  <si>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</si>
  <si>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</si>
  <si>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</si>
  <si>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</si>
  <si>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</si>
  <si>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</si>
  <si>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</si>
  <si>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</si>
  <si>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</si>
  <si>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</si>
  <si>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</si>
  <si>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</si>
  <si>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</si>
  <si>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</si>
  <si>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</si>
  <si>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</si>
  <si>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</si>
  <si>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</si>
  <si>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</si>
  <si>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</si>
  <si>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</si>
  <si>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</si>
  <si>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</si>
  <si>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</si>
  <si>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</si>
  <si>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</si>
  <si>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</si>
  <si>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</si>
  <si>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</si>
  <si>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</si>
  <si>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</si>
  <si>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</si>
  <si>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</si>
  <si>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</si>
  <si>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</si>
  <si>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</si>
  <si>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</si>
  <si>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</si>
  <si>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</si>
  <si>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</si>
  <si>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</si>
  <si>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</si>
  <si>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</si>
  <si>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</si>
  <si>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</si>
  <si>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</si>
  <si>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</si>
  <si>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</si>
  <si>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</si>
  <si>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</si>
  <si>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</si>
  <si>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</si>
  <si>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</si>
  <si>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</si>
  <si>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</si>
  <si>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</si>
  <si>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</si>
  <si>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</si>
  <si>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</si>
  <si>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</si>
  <si>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</si>
  <si>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</si>
  <si>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</si>
  <si>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</si>
  <si>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</si>
  <si>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</si>
  <si>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</si>
  <si>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</si>
  <si>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</si>
  <si>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</si>
  <si>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</si>
  <si>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</si>
  <si>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</si>
  <si>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</si>
  <si>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</si>
  <si>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</si>
  <si>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</si>
  <si>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</si>
  <si>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</si>
  <si>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</si>
  <si>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</si>
  <si>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</si>
  <si>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</si>
  <si>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</si>
  <si>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</si>
  <si>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</si>
  <si>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</si>
  <si>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</si>
  <si>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</si>
  <si>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</si>
  <si>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</si>
  <si>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</si>
  <si>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</si>
  <si>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</si>
  <si>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</si>
  <si>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</si>
  <si>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</si>
  <si>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</si>
  <si>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</si>
  <si>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</si>
  <si>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</si>
  <si>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</si>
  <si>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</si>
  <si>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</si>
  <si>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</si>
  <si>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</si>
  <si>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</si>
  <si>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</si>
  <si>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</si>
  <si>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</si>
  <si>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</si>
  <si>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</si>
  <si>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</si>
  <si>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</si>
  <si>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</si>
  <si>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</si>
  <si>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</si>
  <si>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</si>
  <si>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</si>
  <si>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</si>
  <si>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</si>
  <si>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</si>
  <si>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</si>
  <si>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</si>
  <si>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</si>
  <si>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</si>
  <si>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</si>
  <si>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</si>
  <si>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</si>
  <si>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</si>
  <si>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</si>
  <si>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</si>
  <si>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</si>
  <si>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</si>
  <si>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</si>
  <si>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</si>
  <si>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</si>
  <si>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</si>
  <si>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</si>
  <si>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</si>
  <si>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</si>
  <si>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</si>
  <si>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</si>
  <si>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</si>
  <si>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</si>
  <si>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</si>
  <si>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</si>
  <si>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</si>
  <si>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</si>
  <si>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</si>
  <si>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</si>
  <si>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</si>
  <si>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</si>
  <si>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</si>
  <si>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</si>
  <si>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</si>
  <si>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</si>
  <si>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</si>
  <si>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</si>
  <si>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</si>
  <si>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</si>
  <si>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</si>
  <si>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</si>
  <si>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</si>
  <si>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</si>
  <si>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</si>
  <si>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</si>
  <si>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</si>
  <si>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</si>
  <si>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</si>
  <si>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</si>
  <si>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</si>
  <si>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</si>
  <si>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</si>
  <si>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</si>
  <si>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</si>
  <si>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</si>
  <si>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</si>
  <si>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</si>
  <si>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</si>
  <si>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</si>
  <si>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</si>
  <si>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</si>
  <si>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</si>
  <si>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</si>
  <si>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</si>
  <si>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</si>
  <si>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</si>
  <si>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</si>
  <si>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</si>
  <si>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</si>
  <si>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</si>
  <si>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</si>
  <si>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</si>
  <si>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</si>
  <si>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</si>
  <si>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</si>
  <si>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</si>
  <si>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</si>
  <si>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</si>
  <si>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</si>
  <si>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</si>
  <si>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</si>
  <si>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</si>
  <si>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</si>
  <si>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</si>
  <si>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</si>
  <si>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</si>
  <si>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</si>
  <si>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</si>
  <si>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</si>
  <si>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</si>
  <si>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</si>
  <si>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</si>
  <si>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</si>
  <si>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</si>
  <si>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</si>
  <si>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</si>
  <si>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</si>
  <si>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</si>
  <si>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</si>
  <si>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</si>
  <si>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</si>
  <si>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</si>
  <si>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</si>
  <si>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</si>
  <si>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</si>
  <si>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</si>
  <si>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</si>
  <si>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</si>
  <si>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</si>
  <si>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</si>
  <si>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</si>
  <si>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</si>
  <si>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</si>
  <si>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</si>
  <si>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</si>
  <si>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</si>
  <si>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</si>
  <si>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</si>
  <si>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</si>
  <si>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</si>
  <si>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</si>
  <si>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</si>
  <si>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</si>
  <si>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</si>
  <si>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</si>
  <si>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</si>
  <si>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</si>
  <si>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</si>
  <si>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</si>
  <si>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</si>
  <si>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</si>
  <si>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</si>
  <si>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</si>
  <si>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</si>
  <si>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</si>
  <si>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</si>
  <si>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</si>
  <si>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</si>
  <si>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</si>
  <si>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</si>
  <si>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</si>
  <si>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</si>
  <si>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</si>
  <si>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</si>
  <si>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</si>
  <si>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</si>
  <si>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</si>
  <si>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</si>
  <si>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</si>
  <si>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</si>
  <si>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</si>
  <si>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</si>
  <si>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</si>
  <si>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</si>
  <si>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</si>
  <si>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</si>
  <si>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</si>
  <si>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</si>
  <si>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</si>
  <si>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</si>
  <si>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</si>
  <si>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</si>
  <si>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</si>
  <si>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</si>
  <si>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</si>
  <si>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</si>
  <si>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</si>
  <si>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</si>
  <si>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</si>
  <si>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</si>
  <si>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</si>
  <si>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</si>
  <si>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</si>
  <si>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</si>
  <si>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</si>
  <si>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</si>
  <si>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</si>
  <si>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</si>
  <si>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</si>
  <si>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</si>
  <si>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</si>
  <si>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</si>
  <si>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</si>
  <si>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</si>
  <si>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</si>
  <si>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</si>
  <si>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</si>
  <si>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</si>
  <si>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</si>
  <si>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</si>
  <si>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</si>
  <si>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</si>
  <si>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</si>
  <si>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</si>
  <si>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</si>
  <si>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</si>
  <si>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</si>
  <si>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</si>
  <si>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</si>
  <si>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</si>
  <si>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</si>
  <si>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</si>
  <si>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</si>
  <si>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</si>
  <si>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</si>
  <si>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</si>
  <si>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</si>
  <si>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</si>
  <si>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</si>
  <si>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</si>
  <si>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</si>
  <si>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</si>
  <si>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</si>
  <si>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</si>
  <si>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</si>
  <si>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</si>
  <si>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</si>
  <si>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</si>
  <si>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</si>
  <si>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</si>
  <si>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</si>
  <si>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</si>
  <si>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</si>
  <si>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</si>
  <si>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</si>
  <si>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</si>
  <si>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</si>
  <si>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</si>
  <si>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</si>
  <si>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</si>
  <si>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</si>
  <si>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</si>
  <si>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</si>
  <si>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</si>
  <si>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</si>
  <si>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</si>
  <si>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</si>
  <si>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</si>
  <si>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</si>
  <si>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</si>
  <si>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</si>
  <si>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</si>
  <si>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</si>
  <si>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</si>
  <si>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</si>
  <si>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</si>
  <si>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</si>
  <si>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</si>
  <si>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</si>
  <si>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</si>
  <si>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</si>
  <si>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</si>
  <si>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</si>
  <si>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</si>
  <si>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</si>
  <si>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</si>
  <si>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</si>
  <si>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</si>
  <si>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</si>
  <si>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</si>
  <si>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</si>
  <si>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</si>
  <si>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</si>
  <si>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</si>
  <si>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</si>
  <si>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</si>
  <si>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</si>
  <si>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</si>
  <si>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</si>
  <si>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</si>
  <si>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</si>
  <si>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</si>
  <si>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</si>
  <si>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</si>
  <si>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</si>
  <si>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</si>
  <si>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</si>
  <si>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</si>
  <si>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</si>
  <si>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</si>
  <si>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</si>
  <si>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</si>
  <si>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</si>
  <si>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</si>
  <si>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</si>
  <si>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</si>
  <si>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</si>
  <si>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</si>
  <si>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</si>
  <si>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</si>
  <si>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</si>
  <si>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</si>
  <si>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</si>
  <si>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</si>
  <si>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</si>
  <si>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</si>
  <si>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</si>
  <si>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</si>
  <si>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</si>
  <si>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</si>
  <si>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</si>
  <si>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</si>
  <si>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</si>
  <si>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</si>
  <si>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</si>
  <si>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</si>
  <si>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</si>
  <si>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</si>
  <si>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</si>
  <si>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</si>
  <si>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</si>
  <si>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</si>
  <si>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</si>
  <si>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</si>
  <si>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</si>
  <si>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</si>
  <si>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</si>
  <si>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</si>
  <si>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</si>
  <si>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</si>
  <si>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</si>
  <si>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</si>
  <si>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</si>
  <si>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</si>
  <si>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</si>
  <si>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</si>
  <si>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</si>
  <si>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</si>
  <si>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</si>
  <si>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</si>
  <si>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</si>
  <si>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</si>
  <si>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</si>
  <si>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</si>
  <si>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</si>
  <si>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</si>
  <si>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</si>
  <si>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</si>
  <si>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</si>
  <si>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</si>
  <si>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</si>
  <si>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</si>
  <si>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</si>
  <si>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</si>
  <si>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</si>
  <si>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</si>
  <si>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</si>
  <si>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</si>
  <si>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</si>
  <si>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</si>
  <si>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</si>
  <si>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</si>
  <si>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</si>
  <si>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</si>
  <si>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</si>
  <si>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</si>
  <si>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</si>
  <si>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</si>
  <si>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</si>
  <si>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</si>
  <si>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</si>
  <si>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</si>
  <si>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</si>
  <si>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</si>
  <si>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</si>
  <si>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</si>
  <si>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</si>
  <si>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</si>
  <si>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</si>
  <si>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</si>
  <si>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</si>
  <si>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</si>
  <si>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</si>
  <si>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</si>
  <si>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</si>
  <si>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</si>
  <si>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</si>
  <si>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</si>
  <si>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</si>
  <si>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</si>
  <si>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</si>
  <si>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</si>
  <si>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</si>
  <si>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</si>
  <si>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</si>
  <si>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</si>
  <si>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</si>
  <si>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</si>
  <si>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</si>
  <si>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</si>
  <si>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</si>
  <si>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</si>
  <si>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</si>
  <si>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</si>
  <si>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</si>
  <si>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</si>
  <si>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</si>
  <si>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</si>
  <si>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</si>
  <si>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</si>
  <si>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</si>
  <si>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</si>
  <si>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</si>
  <si>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</si>
  <si>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</si>
  <si>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</si>
  <si>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</si>
  <si>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</si>
  <si>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</si>
  <si>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</si>
  <si>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</si>
  <si>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</si>
  <si>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</si>
  <si>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</si>
  <si>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</si>
  <si>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</si>
  <si>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</si>
  <si>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</si>
  <si>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</si>
  <si>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</si>
  <si>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</si>
  <si>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</si>
  <si>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</si>
  <si>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</si>
  <si>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</si>
  <si>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</si>
  <si>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</si>
  <si>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</si>
  <si>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</si>
  <si>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</si>
  <si>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</si>
  <si>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</si>
  <si>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</si>
  <si>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</si>
  <si>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</si>
  <si>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</si>
  <si>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</si>
  <si>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</si>
  <si>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</si>
  <si>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</si>
  <si>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</si>
  <si>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</si>
  <si>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</si>
  <si>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</si>
  <si>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</si>
  <si>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</si>
  <si>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</si>
  <si>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</si>
  <si>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</si>
  <si>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</si>
  <si>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</si>
  <si>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</si>
  <si>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</si>
  <si>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</si>
  <si>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</si>
  <si>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</si>
  <si>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</si>
  <si>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</si>
  <si>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</si>
  <si>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</si>
  <si>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</si>
  <si>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</si>
  <si>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</si>
  <si>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</si>
  <si>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</si>
  <si>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</si>
  <si>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</si>
  <si>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</si>
  <si>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</si>
  <si>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</si>
  <si>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</si>
  <si>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</si>
  <si>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</si>
  <si>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</si>
  <si>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</si>
  <si>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</si>
  <si>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</si>
  <si>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</si>
  <si>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EB366824</t>
  </si>
  <si>
    <t>19DB4032</t>
  </si>
  <si>
    <t>0760AB25</t>
  </si>
  <si>
    <t>E52C2DD6</t>
  </si>
  <si>
    <t>F9AEEBB0</t>
  </si>
  <si>
    <t>0113B127</t>
  </si>
  <si>
    <t>164C3329</t>
  </si>
  <si>
    <t>F5A6045F</t>
  </si>
  <si>
    <t>FD5BF2FD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</si>
  <si>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</si>
  <si>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</si>
  <si>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</si>
  <si>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</si>
  <si>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</si>
  <si>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</si>
  <si>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</si>
  <si>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</si>
  <si>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</si>
  <si>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</si>
  <si>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</si>
  <si>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</si>
  <si>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</si>
  <si>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</si>
  <si>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</si>
  <si>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</si>
  <si>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</si>
  <si>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</si>
  <si>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</si>
  <si>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</si>
  <si>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</si>
  <si>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</si>
  <si>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</si>
  <si>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</si>
  <si>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</si>
  <si>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</si>
  <si>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</si>
  <si>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</si>
  <si>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</si>
  <si>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</si>
  <si>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</si>
  <si>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</si>
  <si>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</si>
  <si>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</si>
  <si>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</si>
  <si>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</si>
  <si>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</si>
  <si>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</si>
  <si>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</si>
  <si>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</si>
  <si>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</si>
  <si>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</si>
  <si>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</si>
  <si>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</si>
  <si>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</si>
  <si>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</si>
  <si>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</si>
  <si>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</si>
  <si>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</si>
  <si>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</si>
  <si>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1552F8B1</t>
  </si>
  <si>
    <t>0DB0422C</t>
  </si>
  <si>
    <t>0D381116</t>
  </si>
  <si>
    <t>E0390F71</t>
  </si>
  <si>
    <t>F97C7B20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</si>
  <si>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</si>
  <si>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</si>
  <si>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</si>
  <si>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</si>
  <si>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</si>
  <si>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</si>
  <si>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</si>
  <si>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</si>
  <si>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</si>
  <si>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</si>
  <si>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</si>
  <si>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</si>
  <si>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</si>
  <si>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</si>
  <si>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</si>
  <si>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</si>
  <si>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</si>
  <si>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</si>
  <si>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</si>
  <si>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</si>
  <si>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</si>
  <si>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</si>
  <si>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</si>
  <si>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</si>
  <si>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</si>
  <si>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</si>
  <si>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</si>
  <si>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</si>
  <si>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</si>
  <si>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</si>
  <si>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</si>
  <si>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</si>
  <si>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</si>
  <si>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</si>
  <si>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</si>
  <si>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</si>
  <si>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</si>
  <si>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</si>
  <si>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</si>
  <si>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</si>
  <si>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</si>
  <si>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</si>
  <si>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</si>
  <si>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</si>
  <si>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</si>
  <si>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</si>
  <si>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</si>
  <si>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</si>
  <si>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</si>
  <si>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</si>
  <si>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</si>
  <si>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</si>
  <si>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</si>
  <si>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</si>
  <si>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</si>
  <si>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</si>
  <si>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</si>
  <si>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</si>
  <si>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</si>
  <si>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</si>
  <si>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</si>
  <si>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</si>
  <si>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</si>
  <si>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</si>
  <si>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</si>
  <si>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</si>
  <si>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</si>
  <si>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</si>
  <si>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</si>
  <si>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</si>
  <si>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</si>
  <si>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</si>
  <si>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</si>
  <si>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</si>
  <si>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</si>
  <si>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</si>
  <si>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</si>
  <si>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</si>
  <si>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</si>
  <si>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</si>
  <si>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</si>
  <si>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</si>
  <si>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</si>
  <si>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</si>
  <si>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</si>
  <si>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</si>
  <si>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</si>
  <si>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</si>
  <si>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</si>
  <si>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</si>
  <si>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</si>
  <si>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</si>
  <si>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</si>
  <si>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</si>
  <si>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</si>
  <si>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</si>
  <si>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</si>
  <si>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</si>
  <si>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</si>
  <si>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</si>
  <si>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</si>
  <si>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</si>
  <si>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</si>
  <si>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</si>
  <si>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</si>
  <si>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</si>
  <si>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</si>
  <si>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</si>
  <si>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</si>
  <si>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</si>
  <si>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</si>
  <si>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</si>
  <si>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</si>
  <si>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</si>
  <si>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</si>
  <si>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</si>
  <si>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</si>
  <si>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</si>
  <si>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</si>
  <si>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</si>
  <si>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</si>
  <si>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</si>
  <si>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</si>
  <si>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</si>
  <si>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</si>
  <si>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</si>
  <si>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</si>
  <si>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</si>
  <si>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</si>
  <si>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</si>
  <si>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</si>
  <si>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</si>
  <si>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</si>
  <si>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</si>
  <si>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</si>
  <si>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</si>
  <si>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</si>
  <si>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</si>
  <si>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</si>
  <si>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</si>
  <si>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</si>
  <si>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</si>
  <si>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</si>
  <si>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</si>
  <si>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</si>
  <si>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</si>
  <si>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</si>
  <si>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</si>
  <si>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</si>
  <si>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</si>
  <si>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</si>
  <si>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</si>
  <si>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</si>
  <si>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</si>
  <si>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</si>
  <si>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</si>
  <si>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</si>
  <si>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</si>
  <si>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</si>
  <si>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</si>
  <si>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</si>
  <si>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</si>
  <si>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</si>
  <si>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</si>
  <si>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</si>
  <si>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</si>
  <si>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</si>
  <si>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</si>
  <si>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</si>
  <si>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</si>
  <si>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</si>
  <si>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</si>
  <si>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</si>
  <si>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</si>
  <si>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</si>
  <si>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</si>
  <si>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</si>
  <si>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</si>
  <si>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</si>
  <si>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</si>
  <si>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</si>
  <si>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</si>
  <si>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</si>
  <si>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</si>
  <si>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</si>
  <si>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</si>
  <si>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</si>
  <si>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</si>
  <si>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</si>
  <si>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</si>
  <si>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</si>
  <si>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</si>
  <si>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</si>
  <si>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</si>
  <si>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</si>
  <si>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</si>
  <si>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</si>
  <si>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</si>
  <si>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</si>
  <si>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</si>
  <si>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</si>
  <si>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</si>
  <si>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</si>
  <si>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</si>
  <si>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</si>
  <si>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</si>
  <si>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</si>
  <si>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</si>
  <si>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</si>
  <si>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</si>
  <si>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</si>
  <si>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</si>
  <si>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</si>
  <si>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</si>
  <si>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</si>
  <si>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</si>
  <si>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</si>
  <si>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</si>
  <si>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</si>
  <si>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</si>
  <si>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</si>
  <si>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</si>
  <si>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</si>
  <si>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</si>
  <si>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</si>
  <si>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</si>
  <si>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</si>
  <si>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</si>
  <si>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</si>
  <si>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</si>
  <si>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</si>
  <si>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</si>
  <si>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</si>
  <si>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</si>
  <si>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</si>
  <si>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</si>
  <si>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</si>
  <si>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</si>
  <si>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</si>
  <si>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</si>
  <si>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</si>
  <si>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</si>
  <si>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</si>
  <si>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</si>
  <si>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</si>
  <si>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</si>
  <si>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</si>
  <si>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</si>
  <si>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</si>
  <si>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</si>
  <si>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</si>
  <si>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</si>
  <si>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</si>
  <si>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</si>
  <si>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</si>
  <si>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1EF5BA4F</t>
  </si>
  <si>
    <t>E9A1C107</t>
  </si>
  <si>
    <t>037AF95F</t>
  </si>
  <si>
    <t>1CF926B5</t>
  </si>
  <si>
    <t>E5DC9AFB</t>
  </si>
  <si>
    <t>EF51A284</t>
  </si>
  <si>
    <t>00EBBCE9</t>
  </si>
  <si>
    <t>00076497</t>
  </si>
  <si>
    <t>18DC4E14</t>
  </si>
  <si>
    <t>02419C31</t>
  </si>
  <si>
    <t>03E05EAF</t>
  </si>
  <si>
    <t>0D36875F</t>
  </si>
  <si>
    <t>E61F22A6</t>
  </si>
  <si>
    <t>11116C16</t>
  </si>
  <si>
    <t>066FF3B9</t>
  </si>
  <si>
    <t>01D68C18</t>
  </si>
  <si>
    <t>FD7CCDAC</t>
  </si>
  <si>
    <t>1064483A</t>
  </si>
  <si>
    <t>0B8BCD8D</t>
  </si>
  <si>
    <t>E8D1CC0E</t>
  </si>
  <si>
    <t>0BEE949C</t>
  </si>
  <si>
    <t>F62A4462</t>
  </si>
  <si>
    <t>F7E08A75</t>
  </si>
  <si>
    <t>1717C51D</t>
  </si>
  <si>
    <t>FAB6D61D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</si>
  <si>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</si>
  <si>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</si>
  <si>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</si>
  <si>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</si>
  <si>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</si>
  <si>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</si>
  <si>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</si>
  <si>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</si>
  <si>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</si>
  <si>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</si>
  <si>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</si>
  <si>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</si>
  <si>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</si>
  <si>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</si>
  <si>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</si>
  <si>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</si>
  <si>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</si>
  <si>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</si>
  <si>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</si>
  <si>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</si>
  <si>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</si>
  <si>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</si>
  <si>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</si>
  <si>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</si>
  <si>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</si>
  <si>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</si>
  <si>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</si>
  <si>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</si>
  <si>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</si>
  <si>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</si>
  <si>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</si>
  <si>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</si>
  <si>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</si>
  <si>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</si>
  <si>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</si>
  <si>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</si>
  <si>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</si>
  <si>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</si>
  <si>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</si>
  <si>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</si>
  <si>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</si>
  <si>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</si>
  <si>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</si>
  <si>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</si>
  <si>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</si>
  <si>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</si>
  <si>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</si>
  <si>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</si>
  <si>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</si>
  <si>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</si>
  <si>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1DC74F5A</t>
  </si>
  <si>
    <t>0245510C</t>
  </si>
  <si>
    <t>1CE88408</t>
  </si>
  <si>
    <t>1AEB6931</t>
  </si>
  <si>
    <t>F4D766D2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</si>
  <si>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</si>
  <si>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</si>
  <si>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</si>
  <si>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</si>
  <si>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</si>
  <si>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</si>
  <si>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</si>
  <si>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</si>
  <si>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</si>
  <si>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</si>
  <si>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</si>
  <si>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</si>
  <si>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</si>
  <si>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</si>
  <si>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</si>
  <si>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</si>
  <si>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</si>
  <si>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</si>
  <si>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</si>
  <si>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</si>
  <si>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</si>
  <si>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</si>
  <si>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</si>
  <si>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</si>
  <si>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</si>
  <si>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</si>
  <si>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</si>
  <si>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</si>
  <si>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</si>
  <si>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</si>
  <si>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</si>
  <si>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</si>
  <si>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</si>
  <si>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</si>
  <si>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</si>
  <si>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</si>
  <si>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</si>
  <si>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</si>
  <si>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</si>
  <si>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</si>
  <si>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</si>
  <si>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</si>
  <si>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</si>
  <si>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</si>
  <si>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</si>
  <si>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</si>
  <si>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</si>
  <si>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</si>
  <si>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</si>
  <si>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</si>
  <si>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</si>
  <si>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</si>
  <si>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</si>
  <si>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</si>
  <si>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</si>
  <si>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</si>
  <si>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</si>
  <si>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</si>
  <si>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</si>
  <si>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</si>
  <si>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</si>
  <si>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</si>
  <si>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</si>
  <si>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</si>
  <si>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</si>
  <si>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</si>
  <si>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</si>
  <si>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</si>
  <si>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</si>
  <si>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</si>
  <si>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</si>
  <si>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</si>
  <si>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</si>
  <si>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</si>
  <si>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</si>
  <si>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</si>
  <si>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</si>
  <si>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</si>
  <si>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</si>
  <si>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</si>
  <si>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</si>
  <si>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</si>
  <si>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</si>
  <si>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</si>
  <si>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</si>
  <si>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</si>
  <si>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</si>
  <si>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</si>
  <si>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</si>
  <si>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</si>
  <si>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</si>
  <si>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</si>
  <si>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</si>
  <si>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</si>
  <si>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</si>
  <si>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</si>
  <si>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</si>
  <si>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</si>
  <si>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</si>
  <si>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</si>
  <si>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</si>
  <si>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</si>
  <si>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</si>
  <si>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</si>
  <si>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</si>
  <si>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</si>
  <si>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</si>
  <si>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</si>
  <si>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</si>
  <si>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</si>
  <si>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</si>
  <si>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</si>
  <si>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</si>
  <si>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</si>
  <si>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</si>
  <si>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</si>
  <si>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</si>
  <si>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</si>
  <si>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</si>
  <si>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</si>
  <si>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</si>
  <si>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</si>
  <si>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</si>
  <si>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0B4C0D6D</t>
  </si>
  <si>
    <t>1C649D1B</t>
  </si>
  <si>
    <t>03721CAC</t>
  </si>
  <si>
    <t>0F094ECF</t>
  </si>
  <si>
    <t>EC13DABF</t>
  </si>
  <si>
    <t>03771215</t>
  </si>
  <si>
    <t>04FF5795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</si>
  <si>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</si>
  <si>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</si>
  <si>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</si>
  <si>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</si>
  <si>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</si>
  <si>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</si>
  <si>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</si>
  <si>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</si>
  <si>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</si>
  <si>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0119F390</t>
  </si>
  <si>
    <t>0158A227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</si>
  <si>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</si>
  <si>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</si>
  <si>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</si>
  <si>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</si>
  <si>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</si>
  <si>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</si>
  <si>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</si>
  <si>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</si>
  <si>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</si>
  <si>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</si>
  <si>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</si>
  <si>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</si>
  <si>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</si>
  <si>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</si>
  <si>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</si>
  <si>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</si>
  <si>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</si>
  <si>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</si>
  <si>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</si>
  <si>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</si>
  <si>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</si>
  <si>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</si>
  <si>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</si>
  <si>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</si>
  <si>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</si>
  <si>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</si>
  <si>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</si>
  <si>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</si>
  <si>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</si>
  <si>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</si>
  <si>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</si>
  <si>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</si>
  <si>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</si>
  <si>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</si>
  <si>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</si>
  <si>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</si>
  <si>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</si>
  <si>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</si>
  <si>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</si>
  <si>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</si>
  <si>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</si>
  <si>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</si>
  <si>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</si>
  <si>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</si>
  <si>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</si>
  <si>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</si>
  <si>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</si>
  <si>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</si>
  <si>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</si>
  <si>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</si>
  <si>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</si>
  <si>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</si>
  <si>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</si>
  <si>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</si>
  <si>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</si>
  <si>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</si>
  <si>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</si>
  <si>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</si>
  <si>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</si>
  <si>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</si>
  <si>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</si>
  <si>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</si>
  <si>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</si>
  <si>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</si>
  <si>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</si>
  <si>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</si>
  <si>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</si>
  <si>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</si>
  <si>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</si>
  <si>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</si>
  <si>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</si>
  <si>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</si>
  <si>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</si>
  <si>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</si>
  <si>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</si>
  <si>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</si>
  <si>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</si>
  <si>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</si>
  <si>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</si>
  <si>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</si>
  <si>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</si>
  <si>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</si>
  <si>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</si>
  <si>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</si>
  <si>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</si>
  <si>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</si>
  <si>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</si>
  <si>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</si>
  <si>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</si>
  <si>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</si>
  <si>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</si>
  <si>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</si>
  <si>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</si>
  <si>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</si>
  <si>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</si>
  <si>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</si>
  <si>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</si>
  <si>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</si>
  <si>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</si>
  <si>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</si>
  <si>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</si>
  <si>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</si>
  <si>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</si>
  <si>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</si>
  <si>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</si>
  <si>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</si>
  <si>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</si>
  <si>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</si>
  <si>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</si>
  <si>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</si>
  <si>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</si>
  <si>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</si>
  <si>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</si>
  <si>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</si>
  <si>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</si>
  <si>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</si>
  <si>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</si>
  <si>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</si>
  <si>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</si>
  <si>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</si>
  <si>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</si>
  <si>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</si>
  <si>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</si>
  <si>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</si>
  <si>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</si>
  <si>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</si>
  <si>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</si>
  <si>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</si>
  <si>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</si>
  <si>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</si>
  <si>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</si>
  <si>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</si>
  <si>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</si>
  <si>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</si>
  <si>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</si>
  <si>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</si>
  <si>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</si>
  <si>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</si>
  <si>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</si>
  <si>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</si>
  <si>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</si>
  <si>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</si>
  <si>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</si>
  <si>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</si>
  <si>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</si>
  <si>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</si>
  <si>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</si>
  <si>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</si>
  <si>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</si>
  <si>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</si>
  <si>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</si>
  <si>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</si>
  <si>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</si>
  <si>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</si>
  <si>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</si>
  <si>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</si>
  <si>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</si>
  <si>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</si>
  <si>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</si>
  <si>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</si>
  <si>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</si>
  <si>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</si>
  <si>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</si>
  <si>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</si>
  <si>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</si>
  <si>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</si>
  <si>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</si>
  <si>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</si>
  <si>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</si>
  <si>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</si>
  <si>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</si>
  <si>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</si>
  <si>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</si>
  <si>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</si>
  <si>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</si>
  <si>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</si>
  <si>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</si>
  <si>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</si>
  <si>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</si>
  <si>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</si>
  <si>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</si>
  <si>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</si>
  <si>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</si>
  <si>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</si>
  <si>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</si>
  <si>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</si>
  <si>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</si>
  <si>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</si>
  <si>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</si>
  <si>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</si>
  <si>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</si>
  <si>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</si>
  <si>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</si>
  <si>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</si>
  <si>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</si>
  <si>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</si>
  <si>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</si>
  <si>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</si>
  <si>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</si>
  <si>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</si>
  <si>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</si>
  <si>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</si>
  <si>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</si>
  <si>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</si>
  <si>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</si>
  <si>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</si>
  <si>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</si>
  <si>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</si>
  <si>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</si>
  <si>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</si>
  <si>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</si>
  <si>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</si>
  <si>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</si>
  <si>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</si>
  <si>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</si>
  <si>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</si>
  <si>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</si>
  <si>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</si>
  <si>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</si>
  <si>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</si>
  <si>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</si>
  <si>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</si>
  <si>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</si>
  <si>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</si>
  <si>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</si>
  <si>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</si>
  <si>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</si>
  <si>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</si>
  <si>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</si>
  <si>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</si>
  <si>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</si>
  <si>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</si>
  <si>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</si>
  <si>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</si>
  <si>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</si>
  <si>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</si>
  <si>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</si>
  <si>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</si>
  <si>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</si>
  <si>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</si>
  <si>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</si>
  <si>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</si>
  <si>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</si>
  <si>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</si>
  <si>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</si>
  <si>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</si>
  <si>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</si>
  <si>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</si>
  <si>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</si>
  <si>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</si>
  <si>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</si>
  <si>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</si>
  <si>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</si>
  <si>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</si>
  <si>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</si>
  <si>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</si>
  <si>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</si>
  <si>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</si>
  <si>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</si>
  <si>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</si>
  <si>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</si>
  <si>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</si>
  <si>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</si>
  <si>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</si>
  <si>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</si>
  <si>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</si>
  <si>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</si>
  <si>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</si>
  <si>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</si>
  <si>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</si>
  <si>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</si>
  <si>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</si>
  <si>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</si>
  <si>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</si>
  <si>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</si>
  <si>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</si>
  <si>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</si>
  <si>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</si>
  <si>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</si>
  <si>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</si>
  <si>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</si>
  <si>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</si>
  <si>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</si>
  <si>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</si>
  <si>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</si>
  <si>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</si>
  <si>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</si>
  <si>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</si>
  <si>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</si>
  <si>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</si>
  <si>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</si>
  <si>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</si>
  <si>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</si>
  <si>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</si>
  <si>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</si>
  <si>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</si>
  <si>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</si>
  <si>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</si>
  <si>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</si>
  <si>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</si>
  <si>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</si>
  <si>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</si>
  <si>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</si>
  <si>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</si>
  <si>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</si>
  <si>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</si>
  <si>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</si>
  <si>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</si>
  <si>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</si>
  <si>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</si>
  <si>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</si>
  <si>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</si>
  <si>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</si>
  <si>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</si>
  <si>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</si>
  <si>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</si>
  <si>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</si>
  <si>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</si>
  <si>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</si>
  <si>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</si>
  <si>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</si>
  <si>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</si>
  <si>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</si>
  <si>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</si>
  <si>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</si>
  <si>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</si>
  <si>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</si>
  <si>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</si>
  <si>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</si>
  <si>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</si>
  <si>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</si>
  <si>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</si>
  <si>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</si>
  <si>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</si>
  <si>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</si>
  <si>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</si>
  <si>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</si>
  <si>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</si>
  <si>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</si>
  <si>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</si>
  <si>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</si>
  <si>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</si>
  <si>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</si>
  <si>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</si>
  <si>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</si>
  <si>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</si>
  <si>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</si>
  <si>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</si>
  <si>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</si>
  <si>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</si>
  <si>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</si>
  <si>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</si>
  <si>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</si>
  <si>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</si>
  <si>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</si>
  <si>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</si>
  <si>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</si>
  <si>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</si>
  <si>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</si>
  <si>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</si>
  <si>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</si>
  <si>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</si>
  <si>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</si>
  <si>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</si>
  <si>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</si>
  <si>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</si>
  <si>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</si>
  <si>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</si>
  <si>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</si>
  <si>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</si>
  <si>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</si>
  <si>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</si>
  <si>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</si>
  <si>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</si>
  <si>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</si>
  <si>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</si>
  <si>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</si>
  <si>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</si>
  <si>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</si>
  <si>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</si>
  <si>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</si>
  <si>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</si>
  <si>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</si>
  <si>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</si>
  <si>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</si>
  <si>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</si>
  <si>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</si>
  <si>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</si>
  <si>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</si>
  <si>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</si>
  <si>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</si>
  <si>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</si>
  <si>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</si>
  <si>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</si>
  <si>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</si>
  <si>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</si>
  <si>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</si>
  <si>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</si>
  <si>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</si>
  <si>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</si>
  <si>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</si>
  <si>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</si>
  <si>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</si>
  <si>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</si>
  <si>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</si>
  <si>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</si>
  <si>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</si>
  <si>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</si>
  <si>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</si>
  <si>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</si>
  <si>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</si>
  <si>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</si>
  <si>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</si>
  <si>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</si>
  <si>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</si>
  <si>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</si>
  <si>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</si>
  <si>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</si>
  <si>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</si>
  <si>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</si>
  <si>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</si>
  <si>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</si>
  <si>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</si>
  <si>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</si>
  <si>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</si>
  <si>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</si>
  <si>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</si>
  <si>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</si>
  <si>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</si>
  <si>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</si>
  <si>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</si>
  <si>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</si>
  <si>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</si>
  <si>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</si>
  <si>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</si>
  <si>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</si>
  <si>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</si>
  <si>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</si>
  <si>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</si>
  <si>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</si>
  <si>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</si>
  <si>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</si>
  <si>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</si>
  <si>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</si>
  <si>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</si>
  <si>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</si>
  <si>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</si>
  <si>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</si>
  <si>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</si>
  <si>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</si>
  <si>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</si>
  <si>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</si>
  <si>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</si>
  <si>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</si>
  <si>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</si>
  <si>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</si>
  <si>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</si>
  <si>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</si>
  <si>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</si>
  <si>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</si>
  <si>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</si>
  <si>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</si>
  <si>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</si>
  <si>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</si>
  <si>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</si>
  <si>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</si>
  <si>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</si>
  <si>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</si>
  <si>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</si>
  <si>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</si>
  <si>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</si>
  <si>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</si>
  <si>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</si>
  <si>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</si>
  <si>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</si>
  <si>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</si>
  <si>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</si>
  <si>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</si>
  <si>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</si>
  <si>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</si>
  <si>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</si>
  <si>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</si>
  <si>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</si>
  <si>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</si>
  <si>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</si>
  <si>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</si>
  <si>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</si>
  <si>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</si>
  <si>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</si>
  <si>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</si>
  <si>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</si>
  <si>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</si>
  <si>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</si>
  <si>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</si>
  <si>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</si>
  <si>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</si>
  <si>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</si>
  <si>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</si>
  <si>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</si>
  <si>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</si>
  <si>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</si>
  <si>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</si>
  <si>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</si>
  <si>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</si>
  <si>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</si>
  <si>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</si>
  <si>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</si>
  <si>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</si>
  <si>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</si>
  <si>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</si>
  <si>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</si>
  <si>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</si>
  <si>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</si>
  <si>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</si>
  <si>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</si>
  <si>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</si>
  <si>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</si>
  <si>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</si>
  <si>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</si>
  <si>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</si>
  <si>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</si>
  <si>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</si>
  <si>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</si>
  <si>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</si>
  <si>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</si>
  <si>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</si>
  <si>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</si>
  <si>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</si>
  <si>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</si>
  <si>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</si>
  <si>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</si>
  <si>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</si>
  <si>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</si>
  <si>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</si>
  <si>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</si>
  <si>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</si>
  <si>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</si>
  <si>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</si>
  <si>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</si>
  <si>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</si>
  <si>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</si>
  <si>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</si>
  <si>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</si>
  <si>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</si>
  <si>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</si>
  <si>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</si>
  <si>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</si>
  <si>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</si>
  <si>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</si>
  <si>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</si>
  <si>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</si>
  <si>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</si>
  <si>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</si>
  <si>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</si>
  <si>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</si>
  <si>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</si>
  <si>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</si>
  <si>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</si>
  <si>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</si>
  <si>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</si>
  <si>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</si>
  <si>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</si>
  <si>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</si>
  <si>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</si>
  <si>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</si>
  <si>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</si>
  <si>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</si>
  <si>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</si>
  <si>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</si>
  <si>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</si>
  <si>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</si>
  <si>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</si>
  <si>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</si>
  <si>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</si>
  <si>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</si>
  <si>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</si>
  <si>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</si>
  <si>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</si>
  <si>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</si>
  <si>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</si>
  <si>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</si>
  <si>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</si>
  <si>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</si>
  <si>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</si>
  <si>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</si>
  <si>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</si>
  <si>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</si>
  <si>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</si>
  <si>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</si>
  <si>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</si>
  <si>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</si>
  <si>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</si>
  <si>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</si>
  <si>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</si>
  <si>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</si>
  <si>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</si>
  <si>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</si>
  <si>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</si>
  <si>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</si>
  <si>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</si>
  <si>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</si>
  <si>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</si>
  <si>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</si>
  <si>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</si>
  <si>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</si>
  <si>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</si>
  <si>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</si>
  <si>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</si>
  <si>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</si>
  <si>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</si>
  <si>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</si>
  <si>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</si>
  <si>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</si>
  <si>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</si>
  <si>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</si>
  <si>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</si>
  <si>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</si>
  <si>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</si>
  <si>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</si>
  <si>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</si>
  <si>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</si>
  <si>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</si>
  <si>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</si>
  <si>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</si>
  <si>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</si>
  <si>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</si>
  <si>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</si>
  <si>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</si>
  <si>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</si>
  <si>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</si>
  <si>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</si>
  <si>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</si>
  <si>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</si>
  <si>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</si>
  <si>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</si>
  <si>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</si>
  <si>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</si>
  <si>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</si>
  <si>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</si>
  <si>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</si>
  <si>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</si>
  <si>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</si>
  <si>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</si>
  <si>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</si>
  <si>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</si>
  <si>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</si>
  <si>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</si>
  <si>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</si>
  <si>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</si>
  <si>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</si>
  <si>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</si>
  <si>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</si>
  <si>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</si>
  <si>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</si>
  <si>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</si>
  <si>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</si>
  <si>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</si>
  <si>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</si>
  <si>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</si>
  <si>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</si>
  <si>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</si>
  <si>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</si>
  <si>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</si>
  <si>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</si>
  <si>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</si>
  <si>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</si>
  <si>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</si>
  <si>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</si>
  <si>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</si>
  <si>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</si>
  <si>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</si>
  <si>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</si>
  <si>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</si>
  <si>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</si>
  <si>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</si>
  <si>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</si>
  <si>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</si>
  <si>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</si>
  <si>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</si>
  <si>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</si>
  <si>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</si>
  <si>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</si>
  <si>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</si>
  <si>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</si>
  <si>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</si>
  <si>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</si>
  <si>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</si>
  <si>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</si>
  <si>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</si>
  <si>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</si>
  <si>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</si>
  <si>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</si>
  <si>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</si>
  <si>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</si>
  <si>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</si>
  <si>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</si>
  <si>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</si>
  <si>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</si>
  <si>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</si>
  <si>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</si>
  <si>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</si>
  <si>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</si>
  <si>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</si>
  <si>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</si>
  <si>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</si>
  <si>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</si>
  <si>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</si>
  <si>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</si>
  <si>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</si>
  <si>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</si>
  <si>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</si>
  <si>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</si>
  <si>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</si>
  <si>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</si>
  <si>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</si>
  <si>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</si>
  <si>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</si>
  <si>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</si>
  <si>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</si>
  <si>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</si>
  <si>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</si>
  <si>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</si>
  <si>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</si>
  <si>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</si>
  <si>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</si>
  <si>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</si>
  <si>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</si>
  <si>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</si>
  <si>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</si>
  <si>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</si>
  <si>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</si>
  <si>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</si>
  <si>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</si>
  <si>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</si>
  <si>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</si>
  <si>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</si>
  <si>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</si>
  <si>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</si>
  <si>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</si>
  <si>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</si>
  <si>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</si>
  <si>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</si>
  <si>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</si>
  <si>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</si>
  <si>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</si>
  <si>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</si>
  <si>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</si>
  <si>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</si>
  <si>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</si>
  <si>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</si>
  <si>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</si>
  <si>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</si>
  <si>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</si>
  <si>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</si>
  <si>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</si>
  <si>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</si>
  <si>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</si>
  <si>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</si>
  <si>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</si>
  <si>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</si>
  <si>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</si>
  <si>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</si>
  <si>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</si>
  <si>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</si>
  <si>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</si>
  <si>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</si>
  <si>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</si>
  <si>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</si>
  <si>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</si>
  <si>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</si>
  <si>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</si>
  <si>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</si>
  <si>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</si>
  <si>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</si>
  <si>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</si>
  <si>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</si>
  <si>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</si>
  <si>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</si>
  <si>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</si>
  <si>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</si>
  <si>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1493D4FE</t>
  </si>
  <si>
    <t>E9C5D52F</t>
  </si>
  <si>
    <t>13911152</t>
  </si>
  <si>
    <t>FBE3AD97</t>
  </si>
  <si>
    <t>1CC01E3D</t>
  </si>
  <si>
    <t>FB334C9E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</si>
  <si>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</si>
  <si>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</si>
  <si>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</si>
  <si>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</si>
  <si>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</si>
  <si>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</si>
  <si>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</si>
  <si>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</si>
  <si>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</si>
  <si>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</si>
  <si>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</si>
  <si>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</si>
  <si>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</si>
  <si>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</si>
  <si>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</si>
  <si>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</si>
  <si>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</si>
  <si>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</si>
  <si>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</si>
  <si>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</si>
  <si>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</si>
  <si>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</si>
  <si>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</si>
  <si>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</si>
  <si>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</si>
  <si>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</si>
  <si>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</si>
  <si>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</si>
  <si>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</si>
  <si>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</si>
  <si>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</si>
  <si>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</si>
  <si>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</si>
  <si>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</si>
  <si>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</si>
  <si>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</si>
  <si>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</si>
  <si>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</si>
  <si>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</si>
  <si>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</si>
  <si>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</si>
  <si>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</si>
  <si>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</si>
  <si>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</si>
  <si>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</si>
  <si>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</si>
  <si>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</si>
  <si>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</si>
  <si>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</si>
  <si>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</si>
  <si>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</si>
  <si>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</si>
  <si>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</si>
  <si>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</si>
  <si>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</si>
  <si>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</si>
  <si>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</si>
  <si>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</si>
  <si>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</si>
  <si>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</si>
  <si>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</si>
  <si>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</si>
  <si>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</si>
  <si>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</si>
  <si>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</si>
  <si>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</si>
  <si>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</si>
  <si>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</si>
  <si>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</si>
  <si>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</si>
  <si>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</si>
  <si>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</si>
  <si>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</si>
  <si>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</si>
  <si>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</si>
  <si>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</si>
  <si>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</si>
  <si>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</si>
  <si>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</si>
  <si>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</si>
  <si>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</si>
  <si>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</si>
  <si>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</si>
  <si>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</si>
  <si>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</si>
  <si>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</si>
  <si>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</si>
  <si>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</si>
  <si>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</si>
  <si>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</si>
  <si>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</si>
  <si>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</si>
  <si>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</si>
  <si>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</si>
  <si>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</si>
  <si>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</si>
  <si>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</si>
  <si>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</si>
  <si>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</si>
  <si>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</si>
  <si>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</si>
  <si>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</si>
  <si>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</si>
  <si>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</si>
  <si>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</si>
  <si>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</si>
  <si>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</si>
  <si>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</si>
  <si>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</si>
  <si>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</si>
  <si>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</si>
  <si>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</si>
  <si>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</si>
  <si>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</si>
  <si>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</si>
  <si>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</si>
  <si>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</si>
  <si>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</si>
  <si>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</si>
  <si>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</si>
  <si>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</si>
  <si>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</si>
  <si>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</si>
  <si>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</si>
  <si>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</si>
  <si>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</si>
  <si>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</si>
  <si>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</si>
  <si>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</si>
  <si>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</si>
  <si>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</si>
  <si>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</si>
  <si>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</si>
  <si>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</si>
  <si>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</si>
  <si>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</si>
  <si>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</si>
  <si>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</si>
  <si>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</si>
  <si>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</si>
  <si>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</si>
  <si>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</si>
  <si>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</si>
  <si>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</si>
  <si>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</si>
  <si>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</si>
  <si>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</si>
  <si>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</si>
  <si>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</si>
  <si>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</si>
  <si>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</si>
  <si>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</si>
  <si>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</si>
  <si>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</si>
  <si>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</si>
  <si>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</si>
  <si>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</si>
  <si>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</si>
  <si>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</si>
  <si>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</si>
  <si>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</si>
  <si>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</si>
  <si>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</si>
  <si>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</si>
  <si>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</si>
  <si>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</si>
  <si>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</si>
  <si>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</si>
  <si>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</si>
  <si>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</si>
  <si>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</si>
  <si>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</si>
  <si>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</si>
  <si>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</si>
  <si>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</si>
  <si>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</si>
  <si>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</si>
  <si>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</si>
  <si>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</si>
  <si>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</si>
  <si>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</si>
  <si>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</si>
  <si>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</si>
  <si>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</si>
  <si>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</si>
  <si>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</si>
  <si>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</si>
  <si>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</si>
  <si>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</si>
  <si>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</si>
  <si>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</si>
  <si>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</si>
  <si>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</si>
  <si>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</si>
  <si>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</si>
  <si>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</si>
  <si>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</si>
  <si>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</si>
  <si>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</si>
  <si>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</si>
  <si>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</si>
  <si>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</si>
  <si>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</si>
  <si>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</si>
  <si>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</si>
  <si>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</si>
  <si>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</si>
  <si>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</si>
  <si>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</si>
  <si>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</si>
  <si>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</si>
  <si>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</si>
  <si>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</si>
  <si>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</si>
  <si>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</si>
  <si>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</si>
  <si>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</si>
  <si>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</si>
  <si>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</si>
  <si>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</si>
  <si>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</si>
  <si>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</si>
  <si>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</si>
  <si>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</si>
  <si>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</si>
  <si>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</si>
  <si>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</si>
  <si>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</si>
  <si>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</si>
  <si>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</si>
  <si>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</si>
  <si>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</si>
  <si>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</si>
  <si>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</si>
  <si>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</si>
  <si>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</si>
  <si>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</si>
  <si>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</si>
  <si>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</si>
  <si>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</si>
  <si>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</si>
  <si>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</si>
  <si>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</si>
  <si>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</si>
  <si>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</si>
  <si>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</si>
  <si>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</si>
  <si>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</si>
  <si>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</si>
  <si>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</si>
  <si>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</si>
  <si>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</si>
  <si>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</si>
  <si>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</si>
  <si>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</si>
  <si>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</si>
  <si>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</si>
  <si>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</si>
  <si>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</si>
  <si>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</si>
  <si>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</si>
  <si>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</si>
  <si>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</si>
  <si>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</si>
  <si>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</si>
  <si>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</si>
  <si>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</si>
  <si>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</si>
  <si>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</si>
  <si>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</si>
  <si>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</si>
  <si>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</si>
  <si>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</si>
  <si>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</si>
  <si>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</si>
  <si>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</si>
  <si>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</si>
  <si>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</si>
  <si>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</si>
  <si>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</si>
  <si>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</si>
  <si>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</si>
  <si>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</si>
  <si>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</si>
  <si>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</si>
  <si>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</si>
  <si>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</si>
  <si>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</si>
  <si>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</si>
  <si>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</si>
  <si>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</si>
  <si>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</si>
  <si>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</si>
  <si>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</si>
  <si>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</si>
  <si>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</si>
  <si>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</si>
  <si>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</si>
  <si>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</si>
  <si>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</si>
  <si>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</si>
  <si>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</si>
  <si>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</si>
  <si>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</si>
  <si>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</si>
  <si>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</si>
  <si>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</si>
  <si>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</si>
  <si>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</si>
  <si>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</si>
  <si>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</si>
  <si>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</si>
  <si>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</si>
  <si>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</si>
  <si>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</si>
  <si>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</si>
  <si>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</si>
  <si>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</si>
  <si>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</si>
  <si>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</si>
  <si>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ECA5A066</t>
  </si>
  <si>
    <t>15A36DDB</t>
  </si>
  <si>
    <t>F7E766DA</t>
  </si>
  <si>
    <t>EB31C02A</t>
  </si>
  <si>
    <t>194174AA</t>
  </si>
  <si>
    <t>FE8FEA9B</t>
  </si>
  <si>
    <t>E20ED9F8</t>
  </si>
  <si>
    <t>170AE16C</t>
  </si>
  <si>
    <t>F42C25B3</t>
  </si>
  <si>
    <t>1D2C4CD6</t>
  </si>
  <si>
    <t>15F8C632</t>
  </si>
  <si>
    <t>F668EAB1</t>
  </si>
  <si>
    <t>F5C1F8F1</t>
  </si>
  <si>
    <t>F377440F</t>
  </si>
  <si>
    <t>F62C3D41</t>
  </si>
  <si>
    <t>11F0FEC4</t>
  </si>
  <si>
    <t>158A1B19</t>
  </si>
  <si>
    <t>EBDEFAF8</t>
  </si>
  <si>
    <t>E681E535</t>
  </si>
  <si>
    <t>F2FD73E3</t>
  </si>
  <si>
    <t>F4BD049F</t>
  </si>
  <si>
    <t>FA280457</t>
  </si>
  <si>
    <t>E8E42112</t>
  </si>
  <si>
    <t>F60A3D1B</t>
  </si>
  <si>
    <t>EADA973F</t>
  </si>
  <si>
    <t>F45B3C5C</t>
  </si>
  <si>
    <t>E3034FFF</t>
  </si>
  <si>
    <t>E9A7DC3C</t>
  </si>
  <si>
    <t>E3E24AE6</t>
  </si>
  <si>
    <t>10A9D5AA</t>
  </si>
  <si>
    <t>E5536621</t>
  </si>
  <si>
    <t>F0E2F0C0</t>
  </si>
  <si>
    <t>1D9DC401</t>
  </si>
  <si>
    <t>1CFE2E53</t>
  </si>
  <si>
    <t>F84C2A19</t>
  </si>
  <si>
    <t>1FB1B383</t>
  </si>
  <si>
    <t>141108AF</t>
  </si>
  <si>
    <t>E9AA644D</t>
  </si>
  <si>
    <t>EA4590DD</t>
  </si>
  <si>
    <t>F4043A11</t>
  </si>
  <si>
    <t>E3258513</t>
  </si>
  <si>
    <t>FAE905BC</t>
  </si>
  <si>
    <t>14DA45F6</t>
  </si>
  <si>
    <t>FB8F64BA</t>
  </si>
  <si>
    <t>F682BE7F</t>
  </si>
  <si>
    <t>1A9B4B58</t>
  </si>
  <si>
    <t>FA513933</t>
  </si>
  <si>
    <t>E8464EC4</t>
  </si>
  <si>
    <t>EEC799E0</t>
  </si>
  <si>
    <t>1EC83921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</si>
  <si>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</si>
  <si>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</si>
  <si>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</si>
  <si>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</si>
  <si>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</si>
  <si>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</si>
  <si>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</si>
  <si>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</si>
  <si>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</si>
  <si>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</si>
  <si>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</si>
  <si>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</si>
  <si>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</si>
  <si>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</si>
  <si>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</si>
  <si>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</si>
  <si>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</si>
  <si>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</si>
  <si>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</si>
  <si>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</si>
  <si>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</si>
  <si>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</si>
  <si>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</si>
  <si>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</si>
  <si>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</si>
  <si>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</si>
  <si>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</si>
  <si>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</si>
  <si>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</si>
  <si>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</si>
  <si>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</si>
  <si>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</si>
  <si>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</si>
  <si>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</si>
  <si>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</si>
  <si>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</si>
  <si>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</si>
  <si>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</si>
  <si>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</si>
  <si>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</si>
  <si>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</si>
  <si>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</si>
  <si>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</si>
  <si>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</si>
  <si>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</si>
  <si>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</si>
  <si>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</si>
  <si>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</si>
  <si>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</si>
  <si>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</si>
  <si>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</si>
  <si>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</si>
  <si>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</si>
  <si>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</si>
  <si>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</si>
  <si>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</si>
  <si>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</si>
  <si>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</si>
  <si>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</si>
  <si>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</si>
  <si>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</si>
  <si>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</si>
  <si>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</si>
  <si>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</si>
  <si>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</si>
  <si>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</si>
  <si>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</si>
  <si>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</si>
  <si>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</si>
  <si>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</si>
  <si>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</si>
  <si>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</si>
  <si>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</si>
  <si>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</si>
  <si>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</si>
  <si>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</si>
  <si>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</si>
  <si>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</si>
  <si>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</si>
  <si>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</si>
  <si>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</si>
  <si>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</si>
  <si>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</si>
  <si>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</si>
  <si>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</si>
  <si>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</si>
  <si>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</si>
  <si>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</si>
  <si>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</si>
  <si>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</si>
  <si>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</si>
  <si>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</si>
  <si>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</si>
  <si>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</si>
  <si>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</si>
  <si>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</si>
  <si>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</si>
  <si>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</si>
  <si>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</si>
  <si>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</si>
  <si>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</si>
  <si>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</si>
  <si>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</si>
  <si>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</si>
  <si>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</si>
  <si>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</si>
  <si>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</si>
  <si>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</si>
  <si>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</si>
  <si>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</si>
  <si>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</si>
  <si>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</si>
  <si>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</si>
  <si>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</si>
  <si>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</si>
  <si>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</si>
  <si>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</si>
  <si>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</si>
  <si>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</si>
  <si>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</si>
  <si>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</si>
  <si>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</si>
  <si>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</si>
  <si>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</si>
  <si>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</si>
  <si>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</si>
  <si>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</si>
  <si>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</si>
  <si>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</si>
  <si>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</si>
  <si>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</si>
  <si>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</si>
  <si>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</si>
  <si>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</si>
  <si>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</si>
  <si>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</si>
  <si>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</si>
  <si>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</si>
  <si>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</si>
  <si>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008960E3</t>
  </si>
  <si>
    <t>0BF328DE</t>
  </si>
  <si>
    <t>021BA979</t>
  </si>
  <si>
    <t>06FD60DF</t>
  </si>
  <si>
    <t>00C806ED</t>
  </si>
  <si>
    <t>0D13AFD1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</si>
  <si>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</si>
  <si>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</si>
  <si>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</si>
  <si>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</si>
  <si>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</si>
  <si>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</si>
  <si>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</si>
  <si>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</si>
  <si>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</si>
  <si>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0D60715D</t>
  </si>
  <si>
    <t>069AECAC</t>
  </si>
  <si>
    <t>04F5CEB3</t>
  </si>
  <si>
    <t>0817CA49</t>
  </si>
  <si>
    <t>07495241</t>
  </si>
  <si>
    <t>045E3E61</t>
  </si>
  <si>
    <t>0A77C354</t>
  </si>
  <si>
    <t>07C0EE58</t>
  </si>
  <si>
    <t>079ED618</t>
  </si>
  <si>
    <t>001D9312</t>
  </si>
  <si>
    <t>04789D43</t>
  </si>
  <si>
    <t>04B05126</t>
  </si>
  <si>
    <t>090D92AB</t>
  </si>
  <si>
    <t>0B46C009</t>
  </si>
  <si>
    <t>0CDAB4DF</t>
  </si>
  <si>
    <t>02F405C9</t>
  </si>
  <si>
    <t>07DCF3AE</t>
  </si>
  <si>
    <t>09E7213C</t>
  </si>
  <si>
    <t>02478AF2</t>
  </si>
  <si>
    <t>082A8ED0</t>
  </si>
  <si>
    <t>0F7AFBF4</t>
  </si>
  <si>
    <t>0A8A3050</t>
  </si>
  <si>
    <t>0906DF27</t>
  </si>
  <si>
    <t>0100AB6B</t>
  </si>
  <si>
    <t>0F82C93B</t>
  </si>
  <si>
    <t>04C27024</t>
  </si>
  <si>
    <t>01B7977C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</si>
  <si>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</si>
  <si>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</si>
  <si>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</si>
  <si>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</si>
  <si>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</si>
  <si>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</si>
  <si>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</si>
  <si>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</si>
  <si>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</si>
  <si>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</si>
  <si>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</si>
  <si>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</si>
  <si>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0A059644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</si>
  <si>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</si>
  <si>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</si>
  <si>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</si>
  <si>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</si>
  <si>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</si>
  <si>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</si>
  <si>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</si>
  <si>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</si>
  <si>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</si>
  <si>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</si>
  <si>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</si>
  <si>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</si>
  <si>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</si>
  <si>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</si>
  <si>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</si>
  <si>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</si>
  <si>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</si>
  <si>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</si>
  <si>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</si>
  <si>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</si>
  <si>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</si>
  <si>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</si>
  <si>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</si>
  <si>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</si>
  <si>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</si>
  <si>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</si>
  <si>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</si>
  <si>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</si>
  <si>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</si>
  <si>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</si>
  <si>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</si>
  <si>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</si>
  <si>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</si>
  <si>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</si>
  <si>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</si>
  <si>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</si>
  <si>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</si>
  <si>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</si>
  <si>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</si>
  <si>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</si>
  <si>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</si>
  <si>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</si>
  <si>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</si>
  <si>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</si>
  <si>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</si>
  <si>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</si>
  <si>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</si>
  <si>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</si>
  <si>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</si>
  <si>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</si>
  <si>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</si>
  <si>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</si>
  <si>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</si>
  <si>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</si>
  <si>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</si>
  <si>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</si>
  <si>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</si>
  <si>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</si>
  <si>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</si>
  <si>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</si>
  <si>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</si>
  <si>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</si>
  <si>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</si>
  <si>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</si>
  <si>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</si>
  <si>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</si>
  <si>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</si>
  <si>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</si>
  <si>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</si>
  <si>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</si>
  <si>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</si>
  <si>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</si>
  <si>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</si>
  <si>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</si>
  <si>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</si>
  <si>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</si>
  <si>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</si>
  <si>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</si>
  <si>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</si>
  <si>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</si>
  <si>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</si>
  <si>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</si>
  <si>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</si>
  <si>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</si>
  <si>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</si>
  <si>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</si>
  <si>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</si>
  <si>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</si>
  <si>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</si>
  <si>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</si>
  <si>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</si>
  <si>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</si>
  <si>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</si>
  <si>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</si>
  <si>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</si>
  <si>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</si>
  <si>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</si>
  <si>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</si>
  <si>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</si>
  <si>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</si>
  <si>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01CDE4BD</t>
  </si>
  <si>
    <t>005FB1FC</t>
  </si>
  <si>
    <t>07016754</t>
  </si>
  <si>
    <t>05D90E64</t>
  </si>
  <si>
    <t>08D5ACCB</t>
  </si>
  <si>
    <t>0D6C5D7C</t>
  </si>
  <si>
    <t>03332151</t>
  </si>
  <si>
    <t>0DEC573E</t>
  </si>
  <si>
    <t>03AEA236</t>
  </si>
  <si>
    <t>063668C7</t>
  </si>
  <si>
    <t>0E1BB5F4</t>
  </si>
  <si>
    <t>0A4F080C</t>
  </si>
  <si>
    <t>0951C4BE</t>
  </si>
  <si>
    <t>01AF56A8</t>
  </si>
  <si>
    <t>0BD53F5C</t>
  </si>
  <si>
    <t>07EFBFEA</t>
  </si>
  <si>
    <t>0BB255E6</t>
  </si>
  <si>
    <t>0C0E4464</t>
  </si>
  <si>
    <t>051A1285</t>
  </si>
  <si>
    <t>0FF769A0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</si>
</sst>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17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18"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AH2653" totalsRowShown="0">
  <autoFilter ref="A1:AH2653" xr:uid="{9FC3C606-1802-4ABF-B9C6-8489A2062DCB}"/>
  <tableColumns count="34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17"/>
    <tableColumn id="19" xr3:uid="{D4EDF782-865A-4AD9-9AB0-342BB5B90AFD}" name="coil_used" dataDxfId="16"/>
    <tableColumn id="20" xr3:uid="{3A14C945-8A77-406C-B98E-3993FAD82B28}" name="wire_type" dataDxfId="15"/>
    <tableColumn id="21" xr3:uid="{D73CFAFE-DA60-4FB2-AAD2-E68BDAD81453}" name="Unc. From reading 1" dataDxfId="14">
      <calculatedColumnFormula array="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2" xr3:uid="{0727E4D5-876A-42EF-8C5B-8DE51992F381}" name="Unc. From reading 2" dataDxfId="13">
      <calculatedColumnFormula array="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3" xr3:uid="{54D059EF-904A-424D-A1B1-C6A142C31547}" name="Unc. Validation 1" dataDxfId="12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11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10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9">
      <calculatedColumnFormula>Table1[[#This Row],[Range1_High]]&lt;=Table1[[#This Row],[Range1_Low]]</calculatedColumnFormula>
    </tableColumn>
    <tableColumn id="27" xr3:uid="{396EB742-4260-4F8B-97D1-4CB06270B2F5}" name="1" dataDxfId="8"/>
    <tableColumn id="28" xr3:uid="{83C9512F-F56B-469A-BB45-FD8F337DC432}" name="2" dataDxfId="7"/>
    <tableColumn id="29" xr3:uid="{402889EE-B4AF-495B-BC29-203E930B77A3}" name="3" dataDxfId="6"/>
    <tableColumn id="30" xr3:uid="{FC6A6EAB-A3FE-4094-A6E8-A76F0A121557}" name="4" dataDxfId="5"/>
    <tableColumn id="31" xr3:uid="{70F45D0E-7463-40F9-9019-A01C47A94DD6}" name="5" dataDxfId="4"/>
    <tableColumn id="32" xr3:uid="{211BFDF4-4382-481D-8D19-74784E161571}" name="Range2_Value" dataDxfId="3">
      <calculatedColumnFormula>AVERAGE(Table1[[#This Row],[Range2_Low]:[Range2_High]])</calculatedColumnFormula>
    </tableColumn>
    <tableColumn id="33" xr3:uid="{61441311-CB29-4298-905D-0496C8B7C2DB}" name="Nominal" dataDxfId="2">
      <calculatedColumnFormula>AVERAGE(Table1[[#This Row],[Range1_Low]:[Range1_High]])</calculatedColumnFormula>
    </tableColumn>
    <tableColumn id="34" xr3:uid="{F782166B-7E92-4150-BA93-A87592D6264E}" name="Toleranc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3" totalsRowShown="0">
  <autoFilter ref="A1:O2653" xr:uid="{B1CC324D-9191-459D-B386-322CDB25EE4C}"/>
  <tableColumns count="15">
    <tableColumn id="1" xr3:uid="{336F5977-498B-4D3C-9B7F-6BDDF9A59DC1}" name="Standard"/>
    <tableColumn id="2" xr3:uid="{BB172C60-529D-4396-AA73-9C19FA1C5155}" name="Item"/>
    <tableColumn id="3" xr3:uid="{E9C1A59A-ED27-4B88-9B1E-29A6D97D3E2A}" name="Range1_Low"/>
    <tableColumn id="4" xr3:uid="{2A1EFD98-5873-4087-AED3-C50A413162E1}" name="Range1_High"/>
    <tableColumn id="5" xr3:uid="{0846A209-7F8E-4ACE-A8B8-D0ACB5864346}" name="Res"/>
    <tableColumn id="6" xr3:uid="{FB580057-7846-4706-A622-0CCD9BE8AA37}" name="Meas_Units"/>
    <tableColumn id="7" xr3:uid="{B077B238-F3B3-43B6-9A1A-AACF06D12F00}" name="Uncert_Units"/>
    <tableColumn id="8" xr3:uid="{E53EC664-50D0-4DD7-B23D-1E0E75075DCC}" name="Range2_Low"/>
    <tableColumn id="9" xr3:uid="{B1743536-2D05-4455-8603-D33D6210DE61}" name="Range2_High"/>
    <tableColumn id="10" xr3:uid="{8E230881-6475-4AEE-9D0D-E23679337D61}" name="Range2_Units"/>
    <tableColumn id="11" xr3:uid="{E0886CC1-10E8-4A15-9132-96F22EC633E4}" name="Base"/>
    <tableColumn id="12" xr3:uid="{A4F44AC5-CC84-40FC-8833-CD9CD9BCE922}" name="Mult"/>
    <tableColumn id="13" xr3:uid="{B174B1F2-1ECC-4947-8DCA-3F7BAC37D208}" name="Base2"/>
    <tableColumn id="14" xr3:uid="{375A20EF-FEE9-426C-8FF8-E4C930BF5D2C}" name="Mult2"/>
    <tableColumn id="15" xr3:uid="{DD350654-D067-4C74-B6CC-3900EC0CD7E9}" name="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topLeftCell="C1" zoomScaleNormal="100" workbookViewId="0">
      <selection activeCell="U8" sqref="U8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3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79"/>
      <c r="I1" s="70"/>
      <c r="J1" s="47"/>
      <c r="K1" s="116" t="s">
        <v>193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09" t="s">
        <v>69</v>
      </c>
      <c r="C2" s="110"/>
      <c r="D2" s="110"/>
      <c r="E2" s="71"/>
      <c r="F2" s="12"/>
      <c r="G2" s="39"/>
      <c r="H2" s="80"/>
      <c r="I2" s="64"/>
      <c r="J2" s="48"/>
      <c r="K2" s="116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2" t="s">
        <v>27</v>
      </c>
      <c r="E3" s="105">
        <f ca="1">TODAY()</f>
        <v>45159</v>
      </c>
      <c r="F3" s="16"/>
      <c r="G3" s="39"/>
      <c r="H3" s="80"/>
      <c r="I3" s="64"/>
      <c r="J3" s="48"/>
      <c r="K3" s="97">
        <v>45159.693194444444</v>
      </c>
      <c r="L3" s="5"/>
      <c r="M3" s="5"/>
      <c r="N3" s="5"/>
      <c r="O3" s="5"/>
      <c r="P3" s="6"/>
      <c r="S3" s="111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07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0"/>
      <c r="I4" s="64"/>
      <c r="J4" s="48"/>
      <c r="K4" s="17"/>
      <c r="L4" s="37" t="s">
        <v>52</v>
      </c>
      <c r="M4" s="5"/>
      <c r="N4" s="5"/>
      <c r="O4" s="5"/>
      <c r="P4" s="6"/>
      <c r="S4" s="112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07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1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13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14" t="s">
        <v>44</v>
      </c>
      <c r="AE5" s="115"/>
      <c r="AF5" s="108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3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tr" cm="1">
        <f t="array" ref="G6:H6">CalcUnc(D6,I6,J6,Q6,R6,T6,V6,AC6,AD6,L6:P6,X6,Y6)</f>
        <v>9.2 V</v>
      </c>
      <c r="H6" s="82" t="str">
        <v/>
      </c>
      <c r="I6" s="51"/>
      <c r="J6" s="36" t="s">
        <v>70</v>
      </c>
      <c r="K6" s="30"/>
      <c r="L6" s="78"/>
      <c r="M6" s="32"/>
      <c r="N6" s="32"/>
      <c r="O6" s="32"/>
      <c r="P6" s="33"/>
      <c r="Q6" s="7" t="s">
        <v>155</v>
      </c>
      <c r="S6" s="7"/>
      <c r="T6" s="100">
        <v>0.1</v>
      </c>
      <c r="U6" s="34">
        <v>60</v>
      </c>
      <c r="V6" s="9" t="s">
        <v>185</v>
      </c>
      <c r="W6" s="27" t="s">
        <v>188</v>
      </c>
      <c r="X6" s="35">
        <v>67</v>
      </c>
      <c r="Y6" s="98">
        <v>2</v>
      </c>
      <c r="Z6" s="101">
        <f>IF(T6&lt;&gt;"",ROUND(X6+Y6,-LOG10(T6)),"")</f>
        <v>69</v>
      </c>
      <c r="AA6" s="101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4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tr" cm="1">
        <f t="array" ref="G7:H7">CalcUnc(D7,I7,J7,Q7,R7,T7,V7,AC7,AD7,L7:P7,X7,Y7)</f>
        <v>2.5 mV</v>
      </c>
      <c r="H7" s="82" t="str">
        <v/>
      </c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0">
        <v>1E-3</v>
      </c>
      <c r="U7" s="34">
        <v>6</v>
      </c>
      <c r="V7" s="26" t="s">
        <v>6</v>
      </c>
      <c r="W7" s="27" t="s">
        <v>187</v>
      </c>
      <c r="X7" s="35">
        <v>5</v>
      </c>
      <c r="Y7" s="98">
        <v>5.2999999999999999E-2</v>
      </c>
      <c r="Z7" s="101">
        <f t="shared" ref="Z7:Z70" si="0">IF(T7&lt;&gt;"",ROUND(X7+Y7,-LOG10(T7)),"")</f>
        <v>5.0529999999999999</v>
      </c>
      <c r="AA7" s="101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3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tr" cm="1">
        <f t="array" ref="G8:H8">CalcUnc(D8,I8,J8,Q8,R8,T8,V8,AC8,AD8,L8:P8,X8,Y8)</f>
        <v>2.5 mV</v>
      </c>
      <c r="H8" s="82" t="str">
        <v/>
      </c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0">
        <v>1E-3</v>
      </c>
      <c r="U8" s="34">
        <v>6</v>
      </c>
      <c r="V8" s="26" t="s">
        <v>6</v>
      </c>
      <c r="W8" s="27" t="s">
        <v>187</v>
      </c>
      <c r="X8" s="35">
        <v>5</v>
      </c>
      <c r="Y8" s="98">
        <v>0.10299999999999999</v>
      </c>
      <c r="Z8" s="101">
        <f t="shared" si="0"/>
        <v>5.1029999999999998</v>
      </c>
      <c r="AA8" s="101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4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tr" cm="1">
        <f t="array" ref="G9:H9">CalcUnc(D9,I9,J9,Q9,R9,T9,V9,AC9,AD9,L9:P9,X9,Y9)</f>
        <v>58 mV</v>
      </c>
      <c r="H9" s="82" t="str">
        <v/>
      </c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0">
        <v>0.01</v>
      </c>
      <c r="U9" s="34">
        <v>60</v>
      </c>
      <c r="V9" s="26" t="s">
        <v>6</v>
      </c>
      <c r="W9" s="27" t="s">
        <v>187</v>
      </c>
      <c r="X9" s="35">
        <v>50</v>
      </c>
      <c r="Y9" s="98">
        <v>0.53</v>
      </c>
      <c r="Z9" s="101">
        <f t="shared" si="0"/>
        <v>50.53</v>
      </c>
      <c r="AA9" s="101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3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tr" cm="1">
        <f t="array" ref="G10:H10">CalcUnc(D10,I10,J10,Q10,R10,T10,V10,AC10,AD10,L10:P10,X10,Y10)</f>
        <v>58 mV</v>
      </c>
      <c r="H10" s="82" t="str">
        <v/>
      </c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0">
        <v>0.01</v>
      </c>
      <c r="U10" s="34">
        <v>60</v>
      </c>
      <c r="V10" s="26" t="s">
        <v>6</v>
      </c>
      <c r="W10" s="27" t="s">
        <v>187</v>
      </c>
      <c r="X10" s="35">
        <v>50</v>
      </c>
      <c r="Y10" s="98">
        <v>1.03</v>
      </c>
      <c r="Z10" s="101">
        <f t="shared" si="0"/>
        <v>51.03</v>
      </c>
      <c r="AA10" s="101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4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tr" cm="1">
        <f t="array" ref="G11:H11">CalcUnc(D11,I11,J11,Q11,R11,T11,V11,AC11,AD11,L11:P11,X11,Y11)</f>
        <v>190 mV</v>
      </c>
      <c r="H11" s="82" t="str">
        <v/>
      </c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0">
        <v>0.1</v>
      </c>
      <c r="U11" s="34">
        <v>600</v>
      </c>
      <c r="V11" s="26" t="s">
        <v>6</v>
      </c>
      <c r="W11" s="27" t="s">
        <v>187</v>
      </c>
      <c r="X11" s="35">
        <v>300</v>
      </c>
      <c r="Y11" s="98">
        <v>3.3</v>
      </c>
      <c r="Z11" s="101">
        <f t="shared" si="0"/>
        <v>303.3</v>
      </c>
      <c r="AA11" s="101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3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tr" cm="1">
        <f t="array" ref="G12:H12">CalcUnc(D12,I12,J12,Q12,R12,T12,V12,AC12,AD12,L12:P12,X12,Y12)</f>
        <v>670 mV</v>
      </c>
      <c r="H12" s="82" t="str">
        <v/>
      </c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0">
        <v>0.1</v>
      </c>
      <c r="U12" s="34">
        <v>600</v>
      </c>
      <c r="V12" s="26" t="s">
        <v>6</v>
      </c>
      <c r="W12" s="27" t="s">
        <v>187</v>
      </c>
      <c r="X12" s="35">
        <v>500</v>
      </c>
      <c r="Y12" s="98">
        <v>5.3</v>
      </c>
      <c r="Z12" s="101">
        <f t="shared" si="0"/>
        <v>505.3</v>
      </c>
      <c r="AA12" s="101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4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tr" cm="1">
        <f t="array" ref="G13:H13">CalcUnc(D13,I13,J13,Q13,R13,T13,V13,AC13,AD13,L13:P13,X13,Y13)</f>
        <v>670 mV</v>
      </c>
      <c r="H13" s="82" t="str">
        <v/>
      </c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0">
        <v>0.1</v>
      </c>
      <c r="U13" s="34">
        <v>600</v>
      </c>
      <c r="V13" s="26" t="s">
        <v>6</v>
      </c>
      <c r="W13" s="27" t="s">
        <v>187</v>
      </c>
      <c r="X13" s="35">
        <v>500</v>
      </c>
      <c r="Y13" s="34">
        <v>10.3</v>
      </c>
      <c r="Z13" s="101">
        <f t="shared" si="0"/>
        <v>510.3</v>
      </c>
      <c r="AA13" s="101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3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tr" cm="1">
        <f t="array" ref="G14:H14">CalcUnc(D14,I14,J14,Q14,R14,T14,V14,AC14,AD14,L14:P14,X14,Y14)</f>
        <v>5800 mV</v>
      </c>
      <c r="H14" s="82" t="str">
        <v/>
      </c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0">
        <v>1</v>
      </c>
      <c r="U14" s="34">
        <v>1000</v>
      </c>
      <c r="V14" s="26" t="s">
        <v>6</v>
      </c>
      <c r="W14" s="27" t="s">
        <v>187</v>
      </c>
      <c r="X14" s="35">
        <v>1000</v>
      </c>
      <c r="Y14" s="34">
        <v>13</v>
      </c>
      <c r="Z14" s="101">
        <f t="shared" si="0"/>
        <v>1013</v>
      </c>
      <c r="AA14" s="101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4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/>
      <c r="H15" s="82"/>
      <c r="I15" s="51"/>
      <c r="J15" s="36"/>
      <c r="K15" s="30"/>
      <c r="L15" s="31"/>
      <c r="M15" s="32"/>
      <c r="N15" s="32"/>
      <c r="O15" s="32"/>
      <c r="P15" s="33"/>
      <c r="S15" s="7"/>
      <c r="T15" s="100"/>
      <c r="U15" s="34"/>
      <c r="V15" s="26"/>
      <c r="W15" s="27"/>
      <c r="X15" s="35"/>
      <c r="Y15" s="34"/>
      <c r="Z15" s="101" t="str">
        <f t="shared" si="0"/>
        <v/>
      </c>
      <c r="AA15" s="101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3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 t="str" cm="1">
        <f t="array" ref="G16:H16">CalcUnc(D16,I16,J16,Q16,R16,T16,V16,AC16,AD16,L16:P16,X16,Y16)</f>
        <v/>
      </c>
      <c r="H16" s="82" t="str">
        <v/>
      </c>
      <c r="I16" s="51"/>
      <c r="J16" s="36"/>
      <c r="K16" s="30"/>
      <c r="L16" s="31"/>
      <c r="M16" s="32"/>
      <c r="N16" s="32"/>
      <c r="O16" s="32"/>
      <c r="P16" s="33"/>
      <c r="S16" s="7"/>
      <c r="T16" s="100"/>
      <c r="U16" s="34"/>
      <c r="V16" s="26"/>
      <c r="W16" s="27"/>
      <c r="X16" s="35"/>
      <c r="Y16" s="34"/>
      <c r="Z16" s="101" t="str">
        <f t="shared" si="0"/>
        <v/>
      </c>
      <c r="AA16" s="101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4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tr" cm="1">
        <f t="array" ref="G17:H17">CalcUnc(D17,I17,J17,Q17,R17,T17,V17,AC17,AD17,L17:P17,X17,Y17)</f>
        <v>0.72 mV</v>
      </c>
      <c r="H17" s="82" t="str">
        <v/>
      </c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0">
        <v>1E-3</v>
      </c>
      <c r="U17" s="34">
        <v>6</v>
      </c>
      <c r="V17" s="26" t="s">
        <v>6</v>
      </c>
      <c r="W17" s="27" t="s">
        <v>188</v>
      </c>
      <c r="X17" s="35">
        <v>5</v>
      </c>
      <c r="Y17" s="34">
        <v>7.0000000000000001E-3</v>
      </c>
      <c r="Z17" s="101">
        <f t="shared" si="0"/>
        <v>5.0069999999999997</v>
      </c>
      <c r="AA17" s="101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3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tr" cm="1">
        <f t="array" ref="G18:H18">CalcUnc(D18,I18,J18,Q18,R18,T18,V18,AC18,AD18,L18:P18,X18,Y18)</f>
        <v>62 mV</v>
      </c>
      <c r="H18" s="82" t="str">
        <v/>
      </c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0">
        <v>0.1</v>
      </c>
      <c r="U18" s="34">
        <v>600</v>
      </c>
      <c r="V18" s="26" t="s">
        <v>6</v>
      </c>
      <c r="W18" s="27" t="s">
        <v>188</v>
      </c>
      <c r="X18" s="35">
        <v>300</v>
      </c>
      <c r="Y18" s="34">
        <v>0.5</v>
      </c>
      <c r="Z18" s="101">
        <f t="shared" si="0"/>
        <v>300.5</v>
      </c>
      <c r="AA18" s="101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4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tr" cm="1">
        <f t="array" ref="G19:H19">CalcUnc(D19,I19,J19,Q19,R19,T19,V19,AC19,AD19,L19:P19,X19,Y19)</f>
        <v>580 mV</v>
      </c>
      <c r="H19" s="82" t="str">
        <v/>
      </c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0">
        <v>1</v>
      </c>
      <c r="U19" s="34">
        <v>1000</v>
      </c>
      <c r="V19" s="26" t="s">
        <v>6</v>
      </c>
      <c r="W19" s="27" t="s">
        <v>188</v>
      </c>
      <c r="X19" s="35">
        <v>1000</v>
      </c>
      <c r="Y19" s="34">
        <v>3</v>
      </c>
      <c r="Z19" s="101">
        <f t="shared" si="0"/>
        <v>1003</v>
      </c>
      <c r="AA19" s="101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3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tr" cm="1">
        <f t="array" ref="G20:H20">CalcUnc(D20,I20,J20,Q20,R20,T20,V20,AC20,AD20,L20:P20,X20,Y20)</f>
        <v>580 mV</v>
      </c>
      <c r="H20" s="82" t="str">
        <v/>
      </c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0">
        <v>1</v>
      </c>
      <c r="U20" s="34">
        <v>1000</v>
      </c>
      <c r="V20" s="26" t="s">
        <v>6</v>
      </c>
      <c r="W20" s="27" t="s">
        <v>188</v>
      </c>
      <c r="X20" s="35">
        <v>-1000</v>
      </c>
      <c r="Y20" s="34">
        <v>3</v>
      </c>
      <c r="Z20" s="101">
        <f t="shared" si="0"/>
        <v>-997</v>
      </c>
      <c r="AA20" s="101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4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 t="str" cm="1">
        <f t="array" ref="G21:H21">CalcUnc(D21,I21,J21,Q21,R21,T21,V21,AC21,AD21,L21:P21,X21,Y21)</f>
        <v/>
      </c>
      <c r="H21" s="82" t="str">
        <v/>
      </c>
      <c r="I21" s="51"/>
      <c r="J21" s="36"/>
      <c r="K21" s="30"/>
      <c r="L21" s="31"/>
      <c r="M21" s="32"/>
      <c r="N21" s="32"/>
      <c r="O21" s="32"/>
      <c r="P21" s="33"/>
      <c r="S21" s="7"/>
      <c r="T21" s="100"/>
      <c r="U21" s="34"/>
      <c r="V21" s="26"/>
      <c r="W21" s="27"/>
      <c r="X21" s="35"/>
      <c r="Y21" s="34"/>
      <c r="Z21" s="101" t="str">
        <f t="shared" si="0"/>
        <v/>
      </c>
      <c r="AA21" s="101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3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 t="str" cm="1">
        <f t="array" ref="G22:H22">CalcUnc(D22,I22,J22,Q22,R22,T22,V22,AC22,AD22,L22:P22,X22,Y22)</f>
        <v/>
      </c>
      <c r="H22" s="82" t="str">
        <v/>
      </c>
      <c r="I22" s="51"/>
      <c r="J22" s="36"/>
      <c r="K22" s="30"/>
      <c r="L22" s="31"/>
      <c r="M22" s="32"/>
      <c r="N22" s="32"/>
      <c r="O22" s="32"/>
      <c r="P22" s="33"/>
      <c r="S22" s="7"/>
      <c r="T22" s="100"/>
      <c r="U22" s="34"/>
      <c r="V22" s="26"/>
      <c r="W22" s="27"/>
      <c r="X22" s="35"/>
      <c r="Y22" s="34"/>
      <c r="Z22" s="101" t="str">
        <f t="shared" si="0"/>
        <v/>
      </c>
      <c r="AA22" s="101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4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tr" cm="1">
        <f t="array" ref="G23:H23">CalcUnc(D23,I23,J23,Q23,R23,T23,V23,AC23,AD23,L23:P23,X23,Y23)</f>
        <v>59 µV</v>
      </c>
      <c r="H23" s="82" t="str">
        <v/>
      </c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0">
        <v>0.1</v>
      </c>
      <c r="U23" s="34">
        <v>600</v>
      </c>
      <c r="V23" s="26" t="s">
        <v>4</v>
      </c>
      <c r="W23" s="27" t="s">
        <v>188</v>
      </c>
      <c r="X23" s="35">
        <v>30</v>
      </c>
      <c r="Y23" s="34">
        <v>0.2</v>
      </c>
      <c r="Z23" s="101">
        <f t="shared" si="0"/>
        <v>30.2</v>
      </c>
      <c r="AA23" s="101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3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tr" cm="1">
        <f t="array" ref="G24:H24">CalcUnc(D24,I24,J24,Q24,R24,T24,V24,AC24,AD24,L24:P24,X24,Y24)</f>
        <v>63 µV</v>
      </c>
      <c r="H24" s="82" t="str">
        <v/>
      </c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0">
        <v>0.1</v>
      </c>
      <c r="U24" s="34">
        <v>600</v>
      </c>
      <c r="V24" s="26" t="s">
        <v>4</v>
      </c>
      <c r="W24" s="27" t="s">
        <v>188</v>
      </c>
      <c r="X24" s="35">
        <v>-300</v>
      </c>
      <c r="Y24" s="34">
        <v>0.5</v>
      </c>
      <c r="Z24" s="101">
        <f t="shared" si="0"/>
        <v>-299.5</v>
      </c>
      <c r="AA24" s="101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4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tr" cm="1">
        <f t="array" ref="G25:H25">CalcUnc(D25,I25,J25,Q25,R25,T25,V25,AC25,AD25,L25:P25,X25,Y25)</f>
        <v>76 µV</v>
      </c>
      <c r="H25" s="82" t="str">
        <v/>
      </c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188</v>
      </c>
      <c r="X25" s="35">
        <v>600</v>
      </c>
      <c r="Y25" s="34">
        <v>0.7</v>
      </c>
      <c r="Z25" s="101">
        <f t="shared" si="0"/>
        <v>600.70000000000005</v>
      </c>
      <c r="AA25" s="101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3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tr" cm="1">
        <f t="array" ref="G26:H26">CalcUnc(D26,I26,J26,Q26,R26,T26,V26,AC26,AD26,L26:P26,X26,Y26)</f>
        <v>97 mΩ</v>
      </c>
      <c r="H26" s="82" t="str">
        <v/>
      </c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1">
        <f t="shared" si="0"/>
        <v>504.7</v>
      </c>
      <c r="AA26" s="101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4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tr" cm="1">
        <f t="array" ref="G27:H27">CalcUnc(D27,I27,J27,Q27,R27,T27,V27,AC27,AD27,L27:P27,X27,Y27)</f>
        <v>26 kΩ</v>
      </c>
      <c r="H27" s="82" t="str">
        <v/>
      </c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1">
        <f t="shared" si="0"/>
        <v>19.32</v>
      </c>
      <c r="AA27" s="101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3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tr" cm="1">
        <f t="array" ref="G28:H28">CalcUnc(D28,I28,J28,Q28,R28,T28,V28,AC28,AD28,L28:P28,X28,Y28)</f>
        <v>3.8 nF</v>
      </c>
      <c r="H28" s="82" t="str">
        <v/>
      </c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1">
        <f t="shared" si="0"/>
        <v>913</v>
      </c>
      <c r="AA28" s="101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4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 t="str" cm="1">
        <f t="array" ref="G29:H29">CalcUnc(D29,I29,J29,Q29,R29,T29,V29,AC29,AD29,L29:P29,X29,Y29)</f>
        <v/>
      </c>
      <c r="H29" s="82" t="str">
        <v/>
      </c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1" t="str">
        <f t="shared" si="0"/>
        <v/>
      </c>
      <c r="AA29" s="101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3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 t="str" cm="1">
        <f t="array" ref="G30:H30">CalcUnc(D30,I30,J30,Q30,R30,T30,V30,AC30,AD30,L30:P30,X30,Y30)</f>
        <v/>
      </c>
      <c r="H30" s="82" t="str">
        <v/>
      </c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1" t="str">
        <f t="shared" si="0"/>
        <v/>
      </c>
      <c r="AA30" s="101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4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tr" cm="1">
        <f t="array" ref="G31:H31">CalcUnc(D31,I31,J31,Q31,R31,T31,V31,AC31,AD31,L31:P31,X31,Y31)</f>
        <v>600 µV</v>
      </c>
      <c r="H31" s="82" t="str">
        <v/>
      </c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188</v>
      </c>
      <c r="X31" s="35">
        <v>2</v>
      </c>
      <c r="Y31" s="34">
        <v>2.1999999999999999E-2</v>
      </c>
      <c r="Z31" s="101">
        <f t="shared" si="0"/>
        <v>2.0219999999999998</v>
      </c>
      <c r="AA31" s="101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3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tr" cm="1">
        <f t="array" ref="G32:H32">CalcUnc(D32,I32,J32,Q32,R32,T32,V32,AC32,AD32,L32:P32,X32,Y32)</f>
        <v>7.4 µA</v>
      </c>
      <c r="H32" s="82" t="str">
        <v/>
      </c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187</v>
      </c>
      <c r="X32" s="35">
        <v>3</v>
      </c>
      <c r="Y32" s="34">
        <v>0.08</v>
      </c>
      <c r="Z32" s="101">
        <f t="shared" si="0"/>
        <v>3.08</v>
      </c>
      <c r="AA32" s="101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4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tr" cm="1">
        <f t="array" ref="G33:H33">CalcUnc(D33,I33,J33,Q33,R33,T33,V33,AC33,AD33,L33:P33,X33,Y33)</f>
        <v>0.12 mA</v>
      </c>
      <c r="H33" s="82" t="str">
        <v/>
      </c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187</v>
      </c>
      <c r="X33" s="35">
        <v>50</v>
      </c>
      <c r="Y33" s="34">
        <v>0.78</v>
      </c>
      <c r="Z33" s="101">
        <f t="shared" si="0"/>
        <v>50.78</v>
      </c>
      <c r="AA33" s="101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3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tr" cm="1">
        <f t="array" ref="G34:H34">CalcUnc(D34,I34,J34,Q34,R34,T34,V34,AC34,AD34,L34:P34,X34,Y34)</f>
        <v>0.35 mA</v>
      </c>
      <c r="H34" s="82" t="str">
        <v/>
      </c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187</v>
      </c>
      <c r="X34" s="35">
        <v>400</v>
      </c>
      <c r="Y34" s="34">
        <v>6.3</v>
      </c>
      <c r="Z34" s="101">
        <f t="shared" si="0"/>
        <v>406.3</v>
      </c>
      <c r="AA34" s="101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4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tr" cm="1">
        <f t="array" ref="G35:H35">CalcUnc(D35,I35,J35,Q35,R35,T35,V35,AC35,AD35,L35:P35,X35,Y35)</f>
        <v>5.2 mA</v>
      </c>
      <c r="H35" s="82" t="str">
        <v/>
      </c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187</v>
      </c>
      <c r="X35" s="35">
        <v>4</v>
      </c>
      <c r="Y35" s="34">
        <v>6.3E-2</v>
      </c>
      <c r="Z35" s="101">
        <f t="shared" si="0"/>
        <v>4.0629999999999997</v>
      </c>
      <c r="AA35" s="101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3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tr" cm="1">
        <f t="array" ref="G36:H36">CalcUnc(D36,I36,J36,Q36,R36,T36,V36,AC36,AD36,L36:P36,X36,Y36)</f>
        <v>14 mA</v>
      </c>
      <c r="H36" s="82" t="str">
        <v/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187</v>
      </c>
      <c r="X36" s="35">
        <v>9</v>
      </c>
      <c r="Y36" s="34">
        <v>0.17</v>
      </c>
      <c r="Z36" s="101">
        <f t="shared" si="0"/>
        <v>9.17</v>
      </c>
      <c r="AA36" s="101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4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tr" cm="1">
        <f t="array" ref="G37:H37">CalcUnc(D37,I37,J37,Q37,R37,T37,V37,AC37,AD37,L37:P37,X37,Y37)</f>
        <v>5.8 µA</v>
      </c>
      <c r="H37" s="82" t="str">
        <v/>
      </c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188</v>
      </c>
      <c r="X37" s="35">
        <v>3</v>
      </c>
      <c r="Y37" s="34">
        <v>0.06</v>
      </c>
      <c r="Z37" s="101">
        <f t="shared" si="0"/>
        <v>3.06</v>
      </c>
      <c r="AA37" s="101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3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tr" cm="1">
        <f t="array" ref="G38:H38">CalcUnc(D38,I38,J38,Q38,R38,T38,V38,AC38,AD38,L38:P38,X38,Y38)</f>
        <v>11 µA</v>
      </c>
      <c r="H38" s="82" t="str">
        <v/>
      </c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188</v>
      </c>
      <c r="X38" s="35">
        <v>50</v>
      </c>
      <c r="Y38" s="34">
        <v>0.53</v>
      </c>
      <c r="Z38" s="101">
        <f t="shared" si="0"/>
        <v>50.53</v>
      </c>
      <c r="AA38" s="101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4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tr" cm="1">
        <f t="array" ref="G39:H39">CalcUnc(D39,I39,J39,Q39,R39,T39,V39,AC39,AD39,L39:P39,X39,Y39)</f>
        <v>0.23 mA</v>
      </c>
      <c r="H39" s="82" t="str">
        <v/>
      </c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188</v>
      </c>
      <c r="X39" s="35">
        <v>-400</v>
      </c>
      <c r="Y39" s="34">
        <v>4.3</v>
      </c>
      <c r="Z39" s="101">
        <f t="shared" si="0"/>
        <v>-395.7</v>
      </c>
      <c r="AA39" s="101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3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tr" cm="1">
        <f t="array" ref="G40:H40">CalcUnc(D40,I40,J40,Q40,R40,T40,V40,AC40,AD40,L40:P40,X40,Y40)</f>
        <v>3.7 mA</v>
      </c>
      <c r="H40" s="82" t="str">
        <v/>
      </c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188</v>
      </c>
      <c r="X40" s="35">
        <v>4</v>
      </c>
      <c r="Y40" s="34">
        <v>4.2999999999999997E-2</v>
      </c>
      <c r="Z40" s="101">
        <f t="shared" si="0"/>
        <v>4.0430000000000001</v>
      </c>
      <c r="AA40" s="101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4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tr" cm="1">
        <f t="array" ref="G41:H41">CalcUnc(D41,I41,J41,Q41,R41,T41,V41,AC41,AD41,L41:P41,X41,Y41)</f>
        <v>10 mA</v>
      </c>
      <c r="H41" s="82" t="str">
        <v/>
      </c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188</v>
      </c>
      <c r="X41" s="35">
        <v>-9</v>
      </c>
      <c r="Y41" s="34">
        <v>0.12</v>
      </c>
      <c r="Z41" s="101">
        <f t="shared" si="0"/>
        <v>-8.8800000000000008</v>
      </c>
      <c r="AA41" s="101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3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tr" cm="1">
        <f t="array" ref="G42:H42">CalcUnc(D42,I42,J42,Q42,R42,T42,V42,AC42,AD42,L42:P42,X42,Y42)</f>
        <v>0.2 °C</v>
      </c>
      <c r="H42" s="82" t="str">
        <v/>
      </c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1">
        <f t="shared" si="0"/>
        <v>1</v>
      </c>
      <c r="AA42" s="101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4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tr" cm="1">
        <f t="array" ref="G43:H43">CalcUnc(D43,I43,J43,Q43,R43,T43,V43,AC43,AD43,L43:P43,X43,Y43)</f>
        <v>0.23 °C</v>
      </c>
      <c r="H43" s="82" t="str">
        <v/>
      </c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1">
        <f t="shared" si="0"/>
        <v>-38.6</v>
      </c>
      <c r="AA43" s="101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3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tr" cm="1">
        <f t="array" ref="G44:H44">CalcUnc(D44,I44,J44,Q44,R44,T44,V44,AC44,AD44,L44:P44,X44,Y44)</f>
        <v>0.31 °C</v>
      </c>
      <c r="H44" s="82" t="str">
        <v/>
      </c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1">
        <f t="shared" si="0"/>
        <v>405</v>
      </c>
      <c r="AA44" s="101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4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 t="str" cm="1">
        <f t="array" ref="G45:H45">CalcUnc(D45,I45,J45,Q45,R45,T45,V45,AC45,AD45,L45:P45,X45,Y45)</f>
        <v/>
      </c>
      <c r="H45" s="82" t="str">
        <v/>
      </c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99"/>
      <c r="Z45" s="101" t="str">
        <f t="shared" si="0"/>
        <v/>
      </c>
      <c r="AA45" s="101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3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 t="str" cm="1">
        <f t="array" ref="G46:H46">CalcUnc(D46,I46,J46,Q46,R46,T46,V46,AC46,AD46,L46:P46,X46,Y46)</f>
        <v/>
      </c>
      <c r="H46" s="82" t="str">
        <v/>
      </c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99"/>
      <c r="Z46" s="101" t="str">
        <f t="shared" si="0"/>
        <v/>
      </c>
      <c r="AA46" s="101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4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 t="str" cm="1">
        <f t="array" ref="G47:H47">CalcUnc(D47,I47,J47,Q47,R47,T47,V47,AC47,AD47,L47:P47,X47,Y47)</f>
        <v/>
      </c>
      <c r="H47" s="82" t="str">
        <v/>
      </c>
      <c r="I47" s="51"/>
      <c r="J47" s="36"/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99"/>
      <c r="Z47" s="101" t="str">
        <f t="shared" si="0"/>
        <v/>
      </c>
      <c r="AA47" s="101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3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 t="str" cm="1">
        <f t="array" ref="G48:H48">CalcUnc(D48,I48,J48,Q48,R48,T48,V48,AC48,AD48,L48:P48,X48,Y48)</f>
        <v/>
      </c>
      <c r="H48" s="82" t="str">
        <v/>
      </c>
      <c r="I48" s="51"/>
      <c r="J48" s="36"/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99"/>
      <c r="Z48" s="101" t="str">
        <f t="shared" si="0"/>
        <v/>
      </c>
      <c r="AA48" s="101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4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 t="str" cm="1">
        <f t="array" ref="G49:H49">CalcUnc(D49,I49,J49,Q49,R49,T49,V49,AC49,AD49,L49:P49,X49,Y49)</f>
        <v/>
      </c>
      <c r="H49" s="82" t="str">
        <v/>
      </c>
      <c r="I49" s="51"/>
      <c r="J49" s="36"/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99"/>
      <c r="Z49" s="101" t="str">
        <f t="shared" si="0"/>
        <v/>
      </c>
      <c r="AA49" s="101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3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 t="str" cm="1">
        <f t="array" ref="G50:H50">CalcUnc(D50,I50,J50,Q50,R50,T50,V50,AC50,AD50,L50:P50,X50,Y50)</f>
        <v/>
      </c>
      <c r="H50" s="82" t="str">
        <v/>
      </c>
      <c r="I50" s="51"/>
      <c r="J50" s="36"/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99"/>
      <c r="Z50" s="101" t="str">
        <f t="shared" si="0"/>
        <v/>
      </c>
      <c r="AA50" s="101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4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 t="str" cm="1">
        <f t="array" ref="G51:H51">CalcUnc(D51,I51,J51,Q51,R51,T51,V51,AC51,AD51,L51:P51,X51,Y51)</f>
        <v/>
      </c>
      <c r="H51" s="82" t="str">
        <v/>
      </c>
      <c r="I51" s="51"/>
      <c r="J51" s="36"/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99"/>
      <c r="Z51" s="101" t="str">
        <f t="shared" si="0"/>
        <v/>
      </c>
      <c r="AA51" s="101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3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 t="str" cm="1">
        <f t="array" ref="G52:H52">CalcUnc(D52,I52,J52,Q52,R52,T52,V52,AC52,AD52,L52:P52,X52,Y52)</f>
        <v/>
      </c>
      <c r="H52" s="82" t="str">
        <v/>
      </c>
      <c r="I52" s="51"/>
      <c r="J52" s="36"/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99"/>
      <c r="Z52" s="101" t="str">
        <f t="shared" si="0"/>
        <v/>
      </c>
      <c r="AA52" s="101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4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 t="str" cm="1">
        <f t="array" ref="G53:H53">CalcUnc(D53,I53,J53,Q53,R53,T53,V53,AC53,AD53,L53:P53,X53,Y53)</f>
        <v/>
      </c>
      <c r="H53" s="82" t="str">
        <v/>
      </c>
      <c r="I53" s="51"/>
      <c r="J53" s="36"/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99"/>
      <c r="Z53" s="101" t="str">
        <f t="shared" si="0"/>
        <v/>
      </c>
      <c r="AA53" s="101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3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 t="str" cm="1">
        <f t="array" ref="G54:H54">CalcUnc(D54,I54,J54,Q54,R54,T54,V54,AC54,AD54,L54:P54,X54,Y54)</f>
        <v/>
      </c>
      <c r="H54" s="82" t="str">
        <v/>
      </c>
      <c r="I54" s="51"/>
      <c r="J54" s="36"/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99"/>
      <c r="Z54" s="101" t="str">
        <f t="shared" si="0"/>
        <v/>
      </c>
      <c r="AA54" s="101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4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 t="str" cm="1">
        <f t="array" ref="G55:H55">CalcUnc(D55,I55,J55,Q55,R55,T55,V55,AC55,AD55,L55:P55,X55,Y55)</f>
        <v/>
      </c>
      <c r="H55" s="82" t="str">
        <v/>
      </c>
      <c r="I55" s="51"/>
      <c r="J55" s="36"/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99"/>
      <c r="Z55" s="101" t="str">
        <f t="shared" si="0"/>
        <v/>
      </c>
      <c r="AA55" s="101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3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 t="str" cm="1">
        <f t="array" ref="G56:H56">CalcUnc(D56,I56,J56,Q56,R56,T56,V56,AC56,AD56,L56:P56,X56,Y56)</f>
        <v/>
      </c>
      <c r="H56" s="82" t="str">
        <v/>
      </c>
      <c r="I56" s="51"/>
      <c r="J56" s="36"/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99"/>
      <c r="Z56" s="101" t="str">
        <f t="shared" si="0"/>
        <v/>
      </c>
      <c r="AA56" s="101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4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 t="str" cm="1">
        <f t="array" ref="G57:H57">CalcUnc(D57,I57,J57,Q57,R57,T57,V57,AC57,AD57,L57:P57,X57,Y57)</f>
        <v/>
      </c>
      <c r="H57" s="82" t="str">
        <v/>
      </c>
      <c r="I57" s="51"/>
      <c r="J57" s="36"/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99"/>
      <c r="Z57" s="101" t="str">
        <f t="shared" si="0"/>
        <v/>
      </c>
      <c r="AA57" s="101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3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 t="str" cm="1">
        <f t="array" ref="G58:H58">CalcUnc(D58,I58,J58,Q58,R58,T58,V58,AC58,AD58,L58:P58,X58,Y58)</f>
        <v/>
      </c>
      <c r="H58" s="82" t="str">
        <v/>
      </c>
      <c r="I58" s="51"/>
      <c r="J58" s="36"/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99"/>
      <c r="Z58" s="101" t="str">
        <f t="shared" si="0"/>
        <v/>
      </c>
      <c r="AA58" s="101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4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 t="str" cm="1">
        <f t="array" ref="G59:H59">CalcUnc(D59,I59,J59,Q59,R59,T59,V59,AC59,AD59,L59:P59,X59,Y59)</f>
        <v/>
      </c>
      <c r="H59" s="82" t="str">
        <v/>
      </c>
      <c r="I59" s="51"/>
      <c r="J59" s="36"/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99"/>
      <c r="Z59" s="101" t="str">
        <f t="shared" si="0"/>
        <v/>
      </c>
      <c r="AA59" s="101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3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 t="str" cm="1">
        <f t="array" ref="G60:H60">CalcUnc(D60,I60,J60,Q60,R60,T60,V60,AC60,AD60,L60:P60,X60,Y60)</f>
        <v/>
      </c>
      <c r="H60" s="82" t="str">
        <v/>
      </c>
      <c r="I60" s="51"/>
      <c r="J60" s="36"/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99"/>
      <c r="Z60" s="101" t="str">
        <f t="shared" si="0"/>
        <v/>
      </c>
      <c r="AA60" s="101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4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 t="str" cm="1">
        <f t="array" ref="G61:H61">CalcUnc(D61,I61,J61,Q61,R61,T61,V61,AC61,AD61,L61:P61,X61,Y61)</f>
        <v/>
      </c>
      <c r="H61" s="82" t="str">
        <v/>
      </c>
      <c r="I61" s="51"/>
      <c r="J61" s="36"/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99"/>
      <c r="Z61" s="101" t="str">
        <f t="shared" si="0"/>
        <v/>
      </c>
      <c r="AA61" s="101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3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 t="str" cm="1">
        <f t="array" ref="G62:H62">CalcUnc(D62,I62,J62,Q62,R62,T62,V62,AC62,AD62,L62:P62,X62,Y62)</f>
        <v/>
      </c>
      <c r="H62" s="82" t="str">
        <v/>
      </c>
      <c r="I62" s="51"/>
      <c r="J62" s="36"/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99"/>
      <c r="Z62" s="101" t="str">
        <f t="shared" si="0"/>
        <v/>
      </c>
      <c r="AA62" s="101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4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 t="str" cm="1">
        <f t="array" ref="G63:H63">CalcUnc(D63,I63,J63,Q63,R63,T63,V63,AC63,AD63,L63:P63,X63,Y63)</f>
        <v/>
      </c>
      <c r="H63" s="82" t="str">
        <v/>
      </c>
      <c r="I63" s="51"/>
      <c r="J63" s="36"/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99"/>
      <c r="Z63" s="101" t="str">
        <f t="shared" si="0"/>
        <v/>
      </c>
      <c r="AA63" s="101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3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 t="str" cm="1">
        <f t="array" ref="G64:H64">CalcUnc(D64,I64,J64,Q64,R64,T64,V64,AC64,AD64,L64:P64,X64,Y64)</f>
        <v/>
      </c>
      <c r="H64" s="82" t="str">
        <v/>
      </c>
      <c r="I64" s="51"/>
      <c r="J64" s="36"/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99"/>
      <c r="Z64" s="101" t="str">
        <f t="shared" si="0"/>
        <v/>
      </c>
      <c r="AA64" s="101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4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 t="str" cm="1">
        <f t="array" ref="G65:H65">CalcUnc(D65,I65,J65,Q65,R65,T65,V65,AC65,AD65,L65:P65,X65,Y65)</f>
        <v/>
      </c>
      <c r="H65" s="82" t="str">
        <v/>
      </c>
      <c r="I65" s="51"/>
      <c r="J65" s="36"/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99"/>
      <c r="Z65" s="101" t="str">
        <f t="shared" si="0"/>
        <v/>
      </c>
      <c r="AA65" s="101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3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 t="str" cm="1">
        <f t="array" ref="G66:H66">CalcUnc(D66,I66,J66,Q66,R66,T66,V66,AC66,AD66,L66:P66,X66,Y66)</f>
        <v/>
      </c>
      <c r="H66" s="82" t="str">
        <v/>
      </c>
      <c r="I66" s="51"/>
      <c r="J66" s="36"/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99"/>
      <c r="Z66" s="101" t="str">
        <f t="shared" si="0"/>
        <v/>
      </c>
      <c r="AA66" s="101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4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 t="str" cm="1">
        <f t="array" ref="G67:H67">CalcUnc(D67,I67,J67,Q67,R67,T67,V67,AC67,AD67,L67:P67,X67,Y67)</f>
        <v/>
      </c>
      <c r="H67" s="82" t="str">
        <v/>
      </c>
      <c r="I67" s="51"/>
      <c r="J67" s="36"/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99"/>
      <c r="Z67" s="101" t="str">
        <f t="shared" si="0"/>
        <v/>
      </c>
      <c r="AA67" s="101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3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 t="str" cm="1">
        <f t="array" ref="G68:H68">CalcUnc(D68,I68,J68,Q68,R68,T68,V68,AC68,AD68,L68:P68,X68,Y68)</f>
        <v/>
      </c>
      <c r="H68" s="82" t="str">
        <v/>
      </c>
      <c r="I68" s="51"/>
      <c r="J68" s="36"/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99"/>
      <c r="Z68" s="101" t="str">
        <f t="shared" si="0"/>
        <v/>
      </c>
      <c r="AA68" s="101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4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 t="str" cm="1">
        <f t="array" ref="G69:H69">CalcUnc(D69,I69,J69,Q69,R69,T69,V69,AC69,AD69,L69:P69,X69,Y69)</f>
        <v/>
      </c>
      <c r="H69" s="82" t="str">
        <v/>
      </c>
      <c r="I69" s="51"/>
      <c r="J69" s="36"/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99"/>
      <c r="Z69" s="101" t="str">
        <f t="shared" si="0"/>
        <v/>
      </c>
      <c r="AA69" s="101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3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 t="str" cm="1">
        <f t="array" ref="G70:H70">CalcUnc(D70,I70,J70,Q70,R70,T70,V70,AC70,AD70,L70:P70,X70,Y70)</f>
        <v/>
      </c>
      <c r="H70" s="82" t="str">
        <v/>
      </c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1" t="str">
        <f t="shared" si="0"/>
        <v/>
      </c>
      <c r="AA70" s="101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4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 t="str" cm="1">
        <f t="array" ref="G71:H71">CalcUnc(D71,I71,J71,Q71,R71,T71,V71,AC71,AD71,L71:P71,X71,Y71)</f>
        <v/>
      </c>
      <c r="H71" s="82" t="str">
        <v/>
      </c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1" t="str">
        <f t="shared" ref="Z71:Z110" si="4">IF(T71&lt;&gt;"",ROUND(X71+Y71,-LOG10(T71)),"")</f>
        <v/>
      </c>
      <c r="AA71" s="101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3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 t="str" cm="1">
        <f t="array" ref="G72:H72">CalcUnc(D72,I72,J72,Q72,R72,T72,V72,AC72,AD72,L72:P72,X72,Y72)</f>
        <v/>
      </c>
      <c r="H72" s="82" t="str">
        <v/>
      </c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1" t="str">
        <f t="shared" si="4"/>
        <v/>
      </c>
      <c r="AA72" s="101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4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 t="str" cm="1">
        <f t="array" ref="G73:H73">CalcUnc(D73,I73,J73,Q73,R73,T73,V73,AC73,AD73,L73:P73,X73,Y73)</f>
        <v/>
      </c>
      <c r="H73" s="82" t="str">
        <v/>
      </c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1" t="str">
        <f t="shared" si="4"/>
        <v/>
      </c>
      <c r="AA73" s="101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3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 t="str" cm="1">
        <f t="array" ref="G74:H74">CalcUnc(D74,I74,J74,Q74,R74,T74,V74,AC74,AD74,L74:P74,X74,Y74)</f>
        <v/>
      </c>
      <c r="H74" s="82" t="str">
        <v/>
      </c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1" t="str">
        <f t="shared" si="4"/>
        <v/>
      </c>
      <c r="AA74" s="101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4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 t="str" cm="1">
        <f t="array" ref="G75:H75">CalcUnc(D75,I75,J75,Q75,R75,T75,V75,AC75,AD75,L75:P75,X75,Y75)</f>
        <v/>
      </c>
      <c r="H75" s="82" t="str">
        <v/>
      </c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1" t="str">
        <f t="shared" si="4"/>
        <v/>
      </c>
      <c r="AA75" s="101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3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 t="str" cm="1">
        <f t="array" ref="G76:H76">CalcUnc(D76,I76,J76,Q76,R76,T76,V76,AC76,AD76,L76:P76,X76,Y76)</f>
        <v/>
      </c>
      <c r="H76" s="82" t="str">
        <v/>
      </c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1" t="str">
        <f t="shared" si="4"/>
        <v/>
      </c>
      <c r="AA76" s="101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4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 t="str" cm="1">
        <f t="array" ref="G77:H77">CalcUnc(D77,I77,J77,Q77,R77,T77,V77,AC77,AD77,L77:P77,X77,Y77)</f>
        <v/>
      </c>
      <c r="H77" s="82" t="str">
        <v/>
      </c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1" t="str">
        <f t="shared" si="4"/>
        <v/>
      </c>
      <c r="AA77" s="101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3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 t="str" cm="1">
        <f t="array" ref="G78:H78">CalcUnc(D78,I78,J78,Q78,R78,T78,V78,AC78,AD78,L78:P78,X78,Y78)</f>
        <v/>
      </c>
      <c r="H78" s="82" t="str">
        <v/>
      </c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1" t="str">
        <f t="shared" si="4"/>
        <v/>
      </c>
      <c r="AA78" s="101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4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 t="str" cm="1">
        <f t="array" ref="G79:H79">CalcUnc(D79,I79,J79,Q79,R79,T79,V79,AC79,AD79,L79:P79,X79,Y79)</f>
        <v/>
      </c>
      <c r="H79" s="82" t="str">
        <v/>
      </c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1" t="str">
        <f t="shared" si="4"/>
        <v/>
      </c>
      <c r="AA79" s="101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3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 t="str" cm="1">
        <f t="array" ref="G80:H80">CalcUnc(D80,I80,J80,Q80,R80,T80,V80,AC80,AD80,L80:P80,X80,Y80)</f>
        <v/>
      </c>
      <c r="H80" s="82" t="str">
        <v/>
      </c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1" t="str">
        <f t="shared" si="4"/>
        <v/>
      </c>
      <c r="AA80" s="101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4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 t="str" cm="1">
        <f t="array" ref="G81:H81">CalcUnc(D81,I81,J81,Q81,R81,T81,V81,AC81,AD81,L81:P81,X81,Y81)</f>
        <v/>
      </c>
      <c r="H81" s="82" t="str">
        <v/>
      </c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1" t="str">
        <f t="shared" si="4"/>
        <v/>
      </c>
      <c r="AA81" s="101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3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 t="str" cm="1">
        <f t="array" ref="G82:H82">CalcUnc(D82,I82,J82,Q82,R82,T82,V82,AC82,AD82,L82:P82,X82,Y82)</f>
        <v/>
      </c>
      <c r="H82" s="82" t="str">
        <v/>
      </c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1" t="str">
        <f t="shared" si="4"/>
        <v/>
      </c>
      <c r="AA82" s="101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4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 t="str" cm="1">
        <f t="array" ref="G83:H83">CalcUnc(D83,I83,J83,Q83,R83,T83,V83,AC83,AD83,L83:P83,X83,Y83)</f>
        <v/>
      </c>
      <c r="H83" s="82" t="str">
        <v/>
      </c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1" t="str">
        <f t="shared" si="4"/>
        <v/>
      </c>
      <c r="AA83" s="101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3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 t="str" cm="1">
        <f t="array" ref="G84:H84">CalcUnc(D84,I84,J84,Q84,R84,T84,V84,AC84,AD84,L84:P84,X84,Y84)</f>
        <v/>
      </c>
      <c r="H84" s="82" t="str">
        <v/>
      </c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1" t="str">
        <f t="shared" si="4"/>
        <v/>
      </c>
      <c r="AA84" s="101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4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 t="str" cm="1">
        <f t="array" ref="G85:H85">CalcUnc(D85,I85,J85,Q85,R85,T85,V85,AC85,AD85,L85:P85,X85,Y85)</f>
        <v/>
      </c>
      <c r="H85" s="82" t="str">
        <v/>
      </c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1" t="str">
        <f t="shared" si="4"/>
        <v/>
      </c>
      <c r="AA85" s="101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3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 t="str" cm="1">
        <f t="array" ref="G86:H86">CalcUnc(D86,I86,J86,Q86,R86,T86,V86,AC86,AD86,L86:P86,X86,Y86)</f>
        <v/>
      </c>
      <c r="H86" s="82" t="str">
        <v/>
      </c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1" t="str">
        <f t="shared" si="4"/>
        <v/>
      </c>
      <c r="AA86" s="101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4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 t="str" cm="1">
        <f t="array" ref="G87:H87">CalcUnc(D87,I87,J87,Q87,R87,T87,V87,AC87,AD87,L87:P87,X87,Y87)</f>
        <v/>
      </c>
      <c r="H87" s="82" t="str">
        <v/>
      </c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1" t="str">
        <f t="shared" si="4"/>
        <v/>
      </c>
      <c r="AA87" s="101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3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 t="str" cm="1">
        <f t="array" ref="G88:H88">CalcUnc(D88,I88,J88,Q88,R88,T88,V88,AC88,AD88,L88:P88,X88,Y88)</f>
        <v/>
      </c>
      <c r="H88" s="82" t="str">
        <v/>
      </c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1" t="str">
        <f t="shared" si="4"/>
        <v/>
      </c>
      <c r="AA88" s="101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4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 t="str" cm="1">
        <f t="array" ref="G89:H89">CalcUnc(D89,I89,J89,Q89,R89,T89,V89,AC89,AD89,L89:P89,X89,Y89)</f>
        <v/>
      </c>
      <c r="H89" s="82" t="str">
        <v/>
      </c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1" t="str">
        <f t="shared" si="4"/>
        <v/>
      </c>
      <c r="AA89" s="101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3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 t="str" cm="1">
        <f t="array" ref="G90:H90">CalcUnc(D90,I90,J90,Q90,R90,T90,V90,AC90,AD90,L90:P90,X90,Y90)</f>
        <v/>
      </c>
      <c r="H90" s="82" t="str">
        <v/>
      </c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1" t="str">
        <f t="shared" si="4"/>
        <v/>
      </c>
      <c r="AA90" s="101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4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 t="str" cm="1">
        <f t="array" ref="G91:H91">CalcUnc(D91,I91,J91,Q91,R91,T91,V91,AC91,AD91,L91:P91,X91,Y91)</f>
        <v/>
      </c>
      <c r="H91" s="82" t="str">
        <v/>
      </c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1" t="str">
        <f t="shared" si="4"/>
        <v/>
      </c>
      <c r="AA91" s="101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3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 t="str" cm="1">
        <f t="array" ref="G92:H92">CalcUnc(D92,I92,J92,Q92,R92,T92,V92,AC92,AD92,L92:P92,X92,Y92)</f>
        <v/>
      </c>
      <c r="H92" s="82" t="str">
        <v/>
      </c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1" t="str">
        <f t="shared" si="4"/>
        <v/>
      </c>
      <c r="AA92" s="101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4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 t="str" cm="1">
        <f t="array" ref="G93:H93">CalcUnc(D93,I93,J93,Q93,R93,T93,V93,AC93,AD93,L93:P93,X93,Y93)</f>
        <v/>
      </c>
      <c r="H93" s="82" t="str">
        <v/>
      </c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1" t="str">
        <f t="shared" si="4"/>
        <v/>
      </c>
      <c r="AA93" s="101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3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 t="str" cm="1">
        <f t="array" ref="G94:H94">CalcUnc(D94,I94,J94,Q94,R94,T94,V94,AC94,AD94,L94:P94,X94,Y94)</f>
        <v/>
      </c>
      <c r="H94" s="82" t="str">
        <v/>
      </c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1" t="str">
        <f t="shared" si="4"/>
        <v/>
      </c>
      <c r="AA94" s="101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4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 t="str" cm="1">
        <f t="array" ref="G95:H95">CalcUnc(D95,I95,J95,Q95,R95,T95,V95,AC95,AD95,L95:P95,X95,Y95)</f>
        <v/>
      </c>
      <c r="H95" s="82" t="str">
        <v/>
      </c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1" t="str">
        <f t="shared" si="4"/>
        <v/>
      </c>
      <c r="AA95" s="101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3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 t="str" cm="1">
        <f t="array" ref="G96:H96">CalcUnc(D96,I96,J96,Q96,R96,T96,V96,AC96,AD96,L96:P96,X96,Y96)</f>
        <v/>
      </c>
      <c r="H96" s="82" t="str">
        <v/>
      </c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1" t="str">
        <f t="shared" si="4"/>
        <v/>
      </c>
      <c r="AA96" s="101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4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 t="str" cm="1">
        <f t="array" ref="G97:H97">CalcUnc(D97,I97,J97,Q97,R97,T97,V97,AC97,AD97,L97:P97,X97,Y97)</f>
        <v/>
      </c>
      <c r="H97" s="82" t="str">
        <v/>
      </c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1" t="str">
        <f t="shared" si="4"/>
        <v/>
      </c>
      <c r="AA97" s="101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3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 t="str" cm="1">
        <f t="array" ref="G98:H98">CalcUnc(D98,I98,J98,Q98,R98,T98,V98,AC98,AD98,L98:P98,X98,Y98)</f>
        <v/>
      </c>
      <c r="H98" s="82" t="str">
        <v/>
      </c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1" t="str">
        <f t="shared" si="4"/>
        <v/>
      </c>
      <c r="AA98" s="101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4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 t="str" cm="1">
        <f t="array" ref="G99:H99">CalcUnc(D99,I99,J99,Q99,R99,T99,V99,AC99,AD99,L99:P99,X99,Y99)</f>
        <v/>
      </c>
      <c r="H99" s="82" t="str">
        <v/>
      </c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1" t="str">
        <f t="shared" si="4"/>
        <v/>
      </c>
      <c r="AA99" s="101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3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 t="str" cm="1">
        <f t="array" ref="G100:H100">CalcUnc(D100,I100,J100,Q100,R100,T100,V100,AC100,AD100,L100:P100,X100,Y100)</f>
        <v/>
      </c>
      <c r="H100" s="82" t="str">
        <v/>
      </c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1" t="str">
        <f t="shared" si="4"/>
        <v/>
      </c>
      <c r="AA100" s="101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4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 t="str" cm="1">
        <f t="array" ref="G101:H101">CalcUnc(D101,I101,J101,Q101,R101,T101,V101,AC101,AD101,L101:P101,X101,Y101)</f>
        <v/>
      </c>
      <c r="H101" s="82" t="str">
        <v/>
      </c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1" t="str">
        <f t="shared" si="4"/>
        <v/>
      </c>
      <c r="AA101" s="101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3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 t="str" cm="1">
        <f t="array" ref="G102:H102">CalcUnc(D102,I102,J102,Q102,R102,T102,V102,AC102,AD102,L102:P102,X102,Y102)</f>
        <v/>
      </c>
      <c r="H102" s="82" t="str">
        <v/>
      </c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1" t="str">
        <f t="shared" si="4"/>
        <v/>
      </c>
      <c r="AA102" s="101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4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 t="str" cm="1">
        <f t="array" ref="G103:H103">CalcUnc(D103,I103,J103,Q103,R103,T103,V103,AC103,AD103,L103:P103,X103,Y103)</f>
        <v/>
      </c>
      <c r="H103" s="82" t="str">
        <v/>
      </c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1" t="str">
        <f t="shared" si="4"/>
        <v/>
      </c>
      <c r="AA103" s="101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3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 t="str" cm="1">
        <f t="array" ref="G104:H104">CalcUnc(D104,I104,J104,Q104,R104,T104,V104,AC104,AD104,L104:P104,X104,Y104)</f>
        <v/>
      </c>
      <c r="H104" s="82" t="str">
        <v/>
      </c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1" t="str">
        <f t="shared" si="4"/>
        <v/>
      </c>
      <c r="AA104" s="101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4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 t="str" cm="1">
        <f t="array" ref="G105:H105">CalcUnc(D105,I105,J105,Q105,R105,T105,V105,AC105,AD105,L105:P105,X105,Y105)</f>
        <v/>
      </c>
      <c r="H105" s="82" t="str">
        <v/>
      </c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1" t="str">
        <f t="shared" si="4"/>
        <v/>
      </c>
      <c r="AA105" s="101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3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 t="str" cm="1">
        <f t="array" ref="G106:H106">CalcUnc(D106,I106,J106,Q106,R106,T106,V106,AC106,AD106,L106:P106,X106,Y106)</f>
        <v/>
      </c>
      <c r="H106" s="82" t="str">
        <v/>
      </c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1" t="str">
        <f t="shared" si="4"/>
        <v/>
      </c>
      <c r="AA106" s="101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4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 t="str" cm="1">
        <f t="array" ref="G107:H107">CalcUnc(D107,I107,J107,Q107,R107,T107,V107,AC107,AD107,L107:P107,X107,Y107)</f>
        <v/>
      </c>
      <c r="H107" s="82" t="str">
        <v/>
      </c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1" t="str">
        <f t="shared" si="4"/>
        <v/>
      </c>
      <c r="AA107" s="101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3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 t="str" cm="1">
        <f t="array" ref="G108:H108">CalcUnc(D108,I108,J108,Q108,R108,T108,V108,AC108,AD108,L108:P108,X108,Y108)</f>
        <v/>
      </c>
      <c r="H108" s="82" t="str">
        <v/>
      </c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1" t="str">
        <f t="shared" si="4"/>
        <v/>
      </c>
      <c r="AA108" s="101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4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 t="str" cm="1">
        <f t="array" ref="G109:H109">CalcUnc(D109,I109,J109,Q109,R109,T109,V109,AC109,AD109,L109:P109,X109,Y109)</f>
        <v/>
      </c>
      <c r="H109" s="82" t="str">
        <v/>
      </c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1" t="str">
        <f t="shared" si="4"/>
        <v/>
      </c>
      <c r="AA109" s="101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3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 t="str" cm="1">
        <f t="array" ref="G110:H110">CalcUnc(D110,I110,J110,Q110,R110,T110,V110,AC110,AD110,L110:P110,X110,Y110)</f>
        <v/>
      </c>
      <c r="H110" s="82" t="str">
        <v/>
      </c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1" t="str">
        <f t="shared" si="4"/>
        <v/>
      </c>
      <c r="AA110" s="101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0" priority="41">
      <formula>ABS(D6:D110-X6:X110)&gt;Y6:Y110</formula>
    </cfRule>
  </conditionalFormatting>
  <dataValidations count="6">
    <dataValidation type="list" allowBlank="1" showInputMessage="1" showErrorMessage="1" sqref="Q7:Q110 Q6" xr:uid="{C3D1B1D7-FE3C-40CE-91F2-36F2E7599CBE}">
      <formula1>"Tcindicator,Insulation,meas"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sqref="T6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189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186</v>
      </c>
      <c r="B2">
        <f ca="1">$A2*(RAND()+99.5)/100</f>
        <v>66.777572512379876</v>
      </c>
      <c r="C2">
        <f t="shared" ref="C2:F16" ca="1" si="0">$A2*(RAND()+99.5)/100</f>
        <v>67.217528212987162</v>
      </c>
      <c r="D2">
        <f t="shared" ca="1" si="0"/>
        <v>66.89284501250151</v>
      </c>
      <c r="E2">
        <f t="shared" ca="1" si="0"/>
        <v>67.076723948747699</v>
      </c>
      <c r="F2">
        <f t="shared" ca="1" si="0"/>
        <v>66.604221691356116</v>
      </c>
    </row>
    <row r="3" spans="1:6" x14ac:dyDescent="0.25">
      <c r="A3" t="s">
        <v>115</v>
      </c>
      <c r="B3">
        <f t="shared" ref="B3:B16" ca="1" si="1">$A3*(RAND()+99.5)/100</f>
        <v>4.9852374886427269</v>
      </c>
      <c r="C3">
        <f t="shared" ca="1" si="0"/>
        <v>4.9764481560628129</v>
      </c>
      <c r="D3">
        <f t="shared" ca="1" si="0"/>
        <v>4.980827539738172</v>
      </c>
      <c r="E3">
        <f t="shared" ca="1" si="0"/>
        <v>4.9877032705202193</v>
      </c>
      <c r="F3">
        <f t="shared" ca="1" si="0"/>
        <v>4.973407005132902</v>
      </c>
    </row>
    <row r="4" spans="1:6" x14ac:dyDescent="0.25">
      <c r="A4" t="s">
        <v>116</v>
      </c>
      <c r="B4">
        <f t="shared" ca="1" si="1"/>
        <v>4.9648953287632818</v>
      </c>
      <c r="C4">
        <f t="shared" ca="1" si="0"/>
        <v>4.9783203499934743</v>
      </c>
      <c r="D4">
        <f t="shared" ca="1" si="0"/>
        <v>4.9796467822851698</v>
      </c>
      <c r="E4">
        <f t="shared" ca="1" si="0"/>
        <v>4.9396500506689822</v>
      </c>
      <c r="F4">
        <f t="shared" ca="1" si="0"/>
        <v>4.95645201139184</v>
      </c>
    </row>
    <row r="5" spans="1:6" x14ac:dyDescent="0.25">
      <c r="A5" t="s">
        <v>117</v>
      </c>
      <c r="B5">
        <f t="shared" ca="1" si="1"/>
        <v>50.175375965103676</v>
      </c>
      <c r="C5">
        <f t="shared" ca="1" si="0"/>
        <v>49.85258347173928</v>
      </c>
      <c r="D5">
        <f t="shared" ca="1" si="0"/>
        <v>49.975895276236578</v>
      </c>
      <c r="E5">
        <f t="shared" ca="1" si="0"/>
        <v>49.878478585382283</v>
      </c>
      <c r="F5">
        <f t="shared" ca="1" si="0"/>
        <v>50.090050033461068</v>
      </c>
    </row>
    <row r="6" spans="1:6" x14ac:dyDescent="0.25">
      <c r="A6" t="s">
        <v>118</v>
      </c>
      <c r="B6">
        <f t="shared" ca="1" si="1"/>
        <v>50.007233680636425</v>
      </c>
      <c r="C6">
        <f t="shared" ca="1" si="0"/>
        <v>50.102031497954769</v>
      </c>
      <c r="D6">
        <f t="shared" ca="1" si="0"/>
        <v>50.214160012280487</v>
      </c>
      <c r="E6">
        <f t="shared" ca="1" si="0"/>
        <v>50.262008706080316</v>
      </c>
      <c r="F6">
        <f t="shared" ca="1" si="0"/>
        <v>50.282796521649146</v>
      </c>
    </row>
    <row r="7" spans="1:6" x14ac:dyDescent="0.25">
      <c r="A7" t="s">
        <v>114</v>
      </c>
      <c r="B7">
        <f t="shared" ca="1" si="1"/>
        <v>301.28632552347716</v>
      </c>
      <c r="C7">
        <f t="shared" ca="1" si="0"/>
        <v>299.58584916800754</v>
      </c>
      <c r="D7">
        <f t="shared" ca="1" si="0"/>
        <v>298.92908775364077</v>
      </c>
      <c r="E7">
        <f t="shared" ca="1" si="0"/>
        <v>301.33714005879739</v>
      </c>
      <c r="F7">
        <f t="shared" ca="1" si="0"/>
        <v>299.46606787847782</v>
      </c>
    </row>
    <row r="8" spans="1:6" x14ac:dyDescent="0.25">
      <c r="A8" t="s">
        <v>119</v>
      </c>
      <c r="B8">
        <f t="shared" ca="1" si="1"/>
        <v>498.89027883132019</v>
      </c>
      <c r="C8">
        <f t="shared" ca="1" si="0"/>
        <v>498.75644060873259</v>
      </c>
      <c r="D8">
        <f t="shared" ca="1" si="0"/>
        <v>502.74523858656363</v>
      </c>
      <c r="E8">
        <f t="shared" ca="1" si="0"/>
        <v>503.41003695253278</v>
      </c>
      <c r="F8">
        <f t="shared" ca="1" si="0"/>
        <v>499.74291788518281</v>
      </c>
    </row>
    <row r="9" spans="1:6" x14ac:dyDescent="0.25">
      <c r="A9" t="s">
        <v>119</v>
      </c>
      <c r="B9">
        <f t="shared" ca="1" si="1"/>
        <v>501.61511687115558</v>
      </c>
      <c r="C9">
        <f t="shared" ca="1" si="0"/>
        <v>498.89529409235479</v>
      </c>
      <c r="D9">
        <f t="shared" ca="1" si="0"/>
        <v>498.84697990151238</v>
      </c>
      <c r="E9">
        <f t="shared" ca="1" si="0"/>
        <v>499.68275569621949</v>
      </c>
      <c r="F9">
        <f t="shared" ca="1" si="0"/>
        <v>501.8674147306719</v>
      </c>
    </row>
    <row r="10" spans="1:6" x14ac:dyDescent="0.25">
      <c r="A10" t="s">
        <v>120</v>
      </c>
      <c r="B10">
        <f t="shared" ca="1" si="1"/>
        <v>1002.2042752043988</v>
      </c>
      <c r="C10">
        <f t="shared" ca="1" si="0"/>
        <v>1004.2760285221893</v>
      </c>
      <c r="D10">
        <f t="shared" ca="1" si="0"/>
        <v>1002.8543387160015</v>
      </c>
      <c r="E10">
        <f t="shared" ca="1" si="0"/>
        <v>999.92707845112659</v>
      </c>
      <c r="F10">
        <f t="shared" ca="1" si="0"/>
        <v>1002.3870352710057</v>
      </c>
    </row>
    <row r="13" spans="1:6" x14ac:dyDescent="0.25">
      <c r="A13" t="s">
        <v>121</v>
      </c>
      <c r="B13">
        <f t="shared" ca="1" si="1"/>
        <v>5.016729086233668</v>
      </c>
      <c r="C13">
        <f t="shared" ca="1" si="0"/>
        <v>5.0165074675324171</v>
      </c>
      <c r="D13">
        <f t="shared" ca="1" si="0"/>
        <v>4.9899984283713152</v>
      </c>
      <c r="E13">
        <f t="shared" ca="1" si="0"/>
        <v>5.0130822191735964</v>
      </c>
      <c r="F13">
        <f t="shared" ca="1" si="0"/>
        <v>4.9893407122228259</v>
      </c>
    </row>
    <row r="14" spans="1:6" x14ac:dyDescent="0.25">
      <c r="A14" t="s">
        <v>122</v>
      </c>
      <c r="B14">
        <f t="shared" ca="1" si="1"/>
        <v>300.60754809743486</v>
      </c>
      <c r="C14">
        <f t="shared" ca="1" si="0"/>
        <v>300.32934994634638</v>
      </c>
      <c r="D14">
        <f t="shared" ca="1" si="0"/>
        <v>299.96288295606911</v>
      </c>
      <c r="E14">
        <f t="shared" ca="1" si="0"/>
        <v>299.64679803487036</v>
      </c>
      <c r="F14">
        <f t="shared" ca="1" si="0"/>
        <v>299.29468987726813</v>
      </c>
    </row>
    <row r="15" spans="1:6" x14ac:dyDescent="0.25">
      <c r="A15" t="s">
        <v>123</v>
      </c>
      <c r="B15">
        <f t="shared" ca="1" si="1"/>
        <v>1003.0328323036659</v>
      </c>
      <c r="C15">
        <f t="shared" ca="1" si="0"/>
        <v>1000.6101304006125</v>
      </c>
      <c r="D15">
        <f t="shared" ca="1" si="0"/>
        <v>995.08074567249275</v>
      </c>
      <c r="E15">
        <f t="shared" ca="1" si="0"/>
        <v>1004.4610203341094</v>
      </c>
      <c r="F15">
        <f t="shared" ca="1" si="0"/>
        <v>996.40757328909103</v>
      </c>
    </row>
    <row r="16" spans="1:6" x14ac:dyDescent="0.25">
      <c r="A16" t="s">
        <v>124</v>
      </c>
      <c r="B16">
        <f t="shared" ca="1" si="1"/>
        <v>-997.98032569299528</v>
      </c>
      <c r="C16">
        <f t="shared" ca="1" si="0"/>
        <v>-1003.5076570236931</v>
      </c>
      <c r="D16">
        <f t="shared" ca="1" si="0"/>
        <v>-1001.1886160412816</v>
      </c>
      <c r="E16">
        <f t="shared" ca="1" si="0"/>
        <v>-1000.2298626518765</v>
      </c>
      <c r="F16">
        <f t="shared" ca="1" si="0"/>
        <v>-1004.504941405115</v>
      </c>
    </row>
    <row r="19" spans="1:6" x14ac:dyDescent="0.25">
      <c r="A19" t="s">
        <v>125</v>
      </c>
      <c r="B19">
        <f t="shared" ref="B19:F40" ca="1" si="2">$A19*(RAND()+99.5)/100</f>
        <v>30.038338435666709</v>
      </c>
      <c r="C19">
        <f t="shared" ca="1" si="2"/>
        <v>29.997549558360703</v>
      </c>
      <c r="D19">
        <f t="shared" ca="1" si="2"/>
        <v>30.089078346659623</v>
      </c>
      <c r="E19">
        <f t="shared" ca="1" si="2"/>
        <v>30.061232428101508</v>
      </c>
      <c r="F19">
        <f t="shared" ca="1" si="2"/>
        <v>29.906702694973578</v>
      </c>
    </row>
    <row r="20" spans="1:6" x14ac:dyDescent="0.25">
      <c r="A20" t="s">
        <v>126</v>
      </c>
      <c r="B20">
        <f t="shared" ca="1" si="2"/>
        <v>-300.09395863915137</v>
      </c>
      <c r="C20">
        <f t="shared" ca="1" si="2"/>
        <v>-298.93382838966585</v>
      </c>
      <c r="D20">
        <f t="shared" ca="1" si="2"/>
        <v>-301.14568651423428</v>
      </c>
      <c r="E20">
        <f t="shared" ca="1" si="2"/>
        <v>-298.99736606981071</v>
      </c>
      <c r="F20">
        <f t="shared" ca="1" si="2"/>
        <v>-300.53913195449201</v>
      </c>
    </row>
    <row r="21" spans="1:6" x14ac:dyDescent="0.25">
      <c r="A21" t="s">
        <v>127</v>
      </c>
      <c r="B21">
        <f t="shared" ca="1" si="2"/>
        <v>600.09506244242255</v>
      </c>
      <c r="C21">
        <f t="shared" ca="1" si="2"/>
        <v>602.33961081872724</v>
      </c>
      <c r="D21">
        <f t="shared" ca="1" si="2"/>
        <v>597.76092188213659</v>
      </c>
      <c r="E21">
        <f t="shared" ca="1" si="2"/>
        <v>602.85862406762749</v>
      </c>
      <c r="F21">
        <f t="shared" ca="1" si="2"/>
        <v>599.77529273925688</v>
      </c>
    </row>
    <row r="22" spans="1:6" x14ac:dyDescent="0.25">
      <c r="A22" t="s">
        <v>128</v>
      </c>
      <c r="B22">
        <f t="shared" ca="1" si="2"/>
        <v>501.06025511345257</v>
      </c>
      <c r="C22">
        <f t="shared" ca="1" si="2"/>
        <v>500.23431776955834</v>
      </c>
      <c r="D22">
        <f t="shared" ca="1" si="2"/>
        <v>499.59744628219551</v>
      </c>
      <c r="E22">
        <f t="shared" ca="1" si="2"/>
        <v>501.84781110314509</v>
      </c>
      <c r="F22">
        <f t="shared" ca="1" si="2"/>
        <v>498.25823080082722</v>
      </c>
    </row>
    <row r="23" spans="1:6" x14ac:dyDescent="0.25">
      <c r="A23" t="s">
        <v>129</v>
      </c>
      <c r="B23">
        <f t="shared" ca="1" si="2"/>
        <v>18.951932423253812</v>
      </c>
      <c r="C23">
        <f t="shared" ca="1" si="2"/>
        <v>18.963705182902427</v>
      </c>
      <c r="D23">
        <f t="shared" ca="1" si="2"/>
        <v>18.964549329199617</v>
      </c>
      <c r="E23">
        <f t="shared" ca="1" si="2"/>
        <v>18.907684450526233</v>
      </c>
      <c r="F23">
        <f t="shared" ca="1" si="2"/>
        <v>18.982849001122368</v>
      </c>
    </row>
    <row r="24" spans="1:6" x14ac:dyDescent="0.25">
      <c r="A24" t="s">
        <v>130</v>
      </c>
      <c r="B24">
        <f t="shared" ca="1" si="2"/>
        <v>900.45269359106283</v>
      </c>
      <c r="C24">
        <f t="shared" ca="1" si="2"/>
        <v>899.67375260028848</v>
      </c>
      <c r="D24">
        <f t="shared" ca="1" si="2"/>
        <v>901.01412584440175</v>
      </c>
      <c r="E24">
        <f t="shared" ca="1" si="2"/>
        <v>897.51873807473112</v>
      </c>
      <c r="F24">
        <f t="shared" ca="1" si="2"/>
        <v>902.16664890718482</v>
      </c>
    </row>
    <row r="27" spans="1:6" x14ac:dyDescent="0.25">
      <c r="A27" t="s">
        <v>131</v>
      </c>
      <c r="B27">
        <f t="shared" ca="1" si="2"/>
        <v>1.9920897990006612</v>
      </c>
      <c r="C27">
        <f t="shared" ca="1" si="2"/>
        <v>1.9941844296659597</v>
      </c>
      <c r="D27">
        <f t="shared" ca="1" si="2"/>
        <v>1.9959619678265283</v>
      </c>
      <c r="E27">
        <f t="shared" ca="1" si="2"/>
        <v>1.9907691907750598</v>
      </c>
      <c r="F27">
        <f t="shared" ca="1" si="2"/>
        <v>1.9934442045842116</v>
      </c>
    </row>
    <row r="28" spans="1:6" x14ac:dyDescent="0.25">
      <c r="A28" t="s">
        <v>132</v>
      </c>
      <c r="B28">
        <f t="shared" ca="1" si="2"/>
        <v>2.9932996145324307</v>
      </c>
      <c r="C28">
        <f t="shared" ca="1" si="2"/>
        <v>3.009655013952218</v>
      </c>
      <c r="D28">
        <f t="shared" ca="1" si="2"/>
        <v>3.0144681058240836</v>
      </c>
      <c r="E28">
        <f t="shared" ca="1" si="2"/>
        <v>2.987427599927778</v>
      </c>
      <c r="F28">
        <f t="shared" ca="1" si="2"/>
        <v>2.9941728195183135</v>
      </c>
    </row>
    <row r="29" spans="1:6" x14ac:dyDescent="0.25">
      <c r="A29" t="s">
        <v>133</v>
      </c>
      <c r="B29">
        <f t="shared" ca="1" si="2"/>
        <v>50.234198807071451</v>
      </c>
      <c r="C29">
        <f t="shared" ca="1" si="2"/>
        <v>50.16758533132348</v>
      </c>
      <c r="D29">
        <f t="shared" ca="1" si="2"/>
        <v>50.137456267790064</v>
      </c>
      <c r="E29">
        <f t="shared" ca="1" si="2"/>
        <v>50.124243653507435</v>
      </c>
      <c r="F29">
        <f t="shared" ca="1" si="2"/>
        <v>50.122928407715293</v>
      </c>
    </row>
    <row r="30" spans="1:6" x14ac:dyDescent="0.25">
      <c r="A30" t="s">
        <v>134</v>
      </c>
      <c r="B30">
        <f t="shared" ca="1" si="2"/>
        <v>400.97509071116582</v>
      </c>
      <c r="C30">
        <f t="shared" ca="1" si="2"/>
        <v>400.78664730284169</v>
      </c>
      <c r="D30">
        <f t="shared" ca="1" si="2"/>
        <v>400.1663274942137</v>
      </c>
      <c r="E30">
        <f t="shared" ca="1" si="2"/>
        <v>400.53241964035084</v>
      </c>
      <c r="F30">
        <f t="shared" ca="1" si="2"/>
        <v>401.22768302007671</v>
      </c>
    </row>
    <row r="31" spans="1:6" x14ac:dyDescent="0.25">
      <c r="A31" t="s">
        <v>135</v>
      </c>
      <c r="B31">
        <f t="shared" ca="1" si="2"/>
        <v>4.0085460243446391</v>
      </c>
      <c r="C31">
        <f t="shared" ca="1" si="2"/>
        <v>3.9816963434417723</v>
      </c>
      <c r="D31">
        <f t="shared" ca="1" si="2"/>
        <v>3.9905956887995857</v>
      </c>
      <c r="E31">
        <f t="shared" ca="1" si="2"/>
        <v>4.0104435335738495</v>
      </c>
      <c r="F31">
        <f t="shared" ca="1" si="2"/>
        <v>4.009590393726409</v>
      </c>
    </row>
    <row r="32" spans="1:6" x14ac:dyDescent="0.25">
      <c r="A32" t="s">
        <v>136</v>
      </c>
      <c r="B32">
        <f t="shared" ca="1" si="2"/>
        <v>9.0131180678977021</v>
      </c>
      <c r="C32">
        <f t="shared" ca="1" si="2"/>
        <v>9.0140762664229364</v>
      </c>
      <c r="D32">
        <f t="shared" ca="1" si="2"/>
        <v>9.0299643134237702</v>
      </c>
      <c r="E32">
        <f t="shared" ca="1" si="2"/>
        <v>9.0070017562488474</v>
      </c>
      <c r="F32">
        <f t="shared" ca="1" si="2"/>
        <v>9.0415206619835544</v>
      </c>
    </row>
    <row r="33" spans="1:6" x14ac:dyDescent="0.25">
      <c r="A33" t="s">
        <v>132</v>
      </c>
      <c r="B33">
        <f t="shared" ca="1" si="2"/>
        <v>2.9998237827614638</v>
      </c>
      <c r="C33">
        <f t="shared" ca="1" si="2"/>
        <v>2.9904053153447854</v>
      </c>
      <c r="D33">
        <f t="shared" ca="1" si="2"/>
        <v>3.0049221238352453</v>
      </c>
      <c r="E33">
        <f t="shared" ca="1" si="2"/>
        <v>3.0014345206519226</v>
      </c>
      <c r="F33">
        <f t="shared" ca="1" si="2"/>
        <v>3.0035308088795789</v>
      </c>
    </row>
    <row r="34" spans="1:6" x14ac:dyDescent="0.25">
      <c r="A34" t="s">
        <v>117</v>
      </c>
      <c r="B34">
        <f t="shared" ca="1" si="2"/>
        <v>50.044903538499064</v>
      </c>
      <c r="C34">
        <f t="shared" ca="1" si="2"/>
        <v>50.012807933093335</v>
      </c>
      <c r="D34">
        <f t="shared" ca="1" si="2"/>
        <v>49.913305930845347</v>
      </c>
      <c r="E34">
        <f t="shared" ca="1" si="2"/>
        <v>49.90245662433594</v>
      </c>
      <c r="F34">
        <f t="shared" ca="1" si="2"/>
        <v>49.82884546694612</v>
      </c>
    </row>
    <row r="35" spans="1:6" x14ac:dyDescent="0.25">
      <c r="A35" t="s">
        <v>137</v>
      </c>
      <c r="B35">
        <f t="shared" ca="1" si="2"/>
        <v>-400.83794328526113</v>
      </c>
      <c r="C35">
        <f t="shared" ca="1" si="2"/>
        <v>-397.98478774475751</v>
      </c>
      <c r="D35">
        <f t="shared" ca="1" si="2"/>
        <v>-401.15003940550139</v>
      </c>
      <c r="E35">
        <f t="shared" ca="1" si="2"/>
        <v>-400.19249702791683</v>
      </c>
      <c r="F35">
        <f t="shared" ca="1" si="2"/>
        <v>-399.51429295437242</v>
      </c>
    </row>
    <row r="36" spans="1:6" x14ac:dyDescent="0.25">
      <c r="A36" t="s">
        <v>135</v>
      </c>
      <c r="B36">
        <f t="shared" ca="1" si="2"/>
        <v>3.9847612759952966</v>
      </c>
      <c r="C36">
        <f t="shared" ca="1" si="2"/>
        <v>3.9939469168908137</v>
      </c>
      <c r="D36">
        <f t="shared" ca="1" si="2"/>
        <v>3.9858579428119842</v>
      </c>
      <c r="E36">
        <f t="shared" ca="1" si="2"/>
        <v>4.0056586029164487</v>
      </c>
      <c r="F36">
        <f t="shared" ca="1" si="2"/>
        <v>4.0102126853204521</v>
      </c>
    </row>
    <row r="37" spans="1:6" x14ac:dyDescent="0.25">
      <c r="A37" t="s">
        <v>138</v>
      </c>
      <c r="B37">
        <f t="shared" ca="1" si="2"/>
        <v>-9.0332262476379963</v>
      </c>
      <c r="C37">
        <f t="shared" ca="1" si="2"/>
        <v>-9.0347754832186755</v>
      </c>
      <c r="D37">
        <f t="shared" ca="1" si="2"/>
        <v>-8.9863052846378011</v>
      </c>
      <c r="E37">
        <f t="shared" ca="1" si="2"/>
        <v>-9.0120446982424642</v>
      </c>
      <c r="F37">
        <f t="shared" ca="1" si="2"/>
        <v>-9.0090511871861469</v>
      </c>
    </row>
    <row r="38" spans="1:6" x14ac:dyDescent="0.25">
      <c r="A38" t="s">
        <v>139</v>
      </c>
      <c r="B38">
        <f t="shared" ca="1" si="2"/>
        <v>0.19949492508812955</v>
      </c>
      <c r="C38">
        <f t="shared" ca="1" si="2"/>
        <v>0.19960773428076284</v>
      </c>
      <c r="D38">
        <f t="shared" ca="1" si="2"/>
        <v>0.20044867209882811</v>
      </c>
      <c r="E38">
        <f t="shared" ca="1" si="2"/>
        <v>0.20040059666681986</v>
      </c>
      <c r="F38">
        <f t="shared" ca="1" si="2"/>
        <v>0.20082006672453431</v>
      </c>
    </row>
    <row r="39" spans="1:6" x14ac:dyDescent="0.25">
      <c r="A39" t="s">
        <v>140</v>
      </c>
      <c r="B39">
        <f t="shared" ca="1" si="2"/>
        <v>-39.859482348918917</v>
      </c>
      <c r="C39">
        <f t="shared" ca="1" si="2"/>
        <v>-39.765001769070381</v>
      </c>
      <c r="D39">
        <f t="shared" ca="1" si="2"/>
        <v>-39.723415403568247</v>
      </c>
      <c r="E39">
        <f t="shared" ca="1" si="2"/>
        <v>-39.944378512511541</v>
      </c>
      <c r="F39">
        <f t="shared" ca="1" si="2"/>
        <v>-39.697692852182897</v>
      </c>
    </row>
    <row r="40" spans="1:6" x14ac:dyDescent="0.25">
      <c r="A40" t="s">
        <v>141</v>
      </c>
      <c r="B40">
        <f t="shared" ca="1" si="2"/>
        <v>398.01499069746006</v>
      </c>
      <c r="C40">
        <f t="shared" ca="1" si="2"/>
        <v>398.77514766520932</v>
      </c>
      <c r="D40">
        <f t="shared" ca="1" si="2"/>
        <v>401.3593686852891</v>
      </c>
      <c r="E40">
        <f t="shared" ca="1" si="2"/>
        <v>398.33880494647929</v>
      </c>
      <c r="F40">
        <f t="shared" ca="1" si="2"/>
        <v>400.68869203316171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M2653"/>
  <sheetViews>
    <sheetView topLeftCell="N1" workbookViewId="0">
      <selection activeCell="V2" sqref="V2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35" max="35" width="7" bestFit="1" customWidth="1"/>
    <col min="36" max="36" width="7.42578125" bestFit="1" customWidth="1"/>
    <col min="37" max="37" width="5.42578125" bestFit="1" customWidth="1"/>
    <col min="38" max="38" width="9.42578125" bestFit="1" customWidth="1"/>
    <col min="39" max="39" width="9" bestFit="1" customWidth="1"/>
  </cols>
  <sheetData>
    <row r="1" spans="1:39" x14ac:dyDescent="0.25">
      <c r="A1" t="s">
        <v>172</v>
      </c>
      <c r="B1" t="s">
        <v>173</v>
      </c>
      <c r="C1" t="s">
        <v>184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156</v>
      </c>
      <c r="S1" t="s">
        <v>157</v>
      </c>
      <c r="T1" t="s">
        <v>158</v>
      </c>
      <c r="U1" t="s">
        <v>174</v>
      </c>
      <c r="V1" t="s">
        <v>175</v>
      </c>
      <c r="W1" t="s">
        <v>177</v>
      </c>
      <c r="X1" t="s">
        <v>178</v>
      </c>
      <c r="Y1" t="s">
        <v>176</v>
      </c>
      <c r="Z1" t="s">
        <v>190</v>
      </c>
      <c r="AA1" t="s">
        <v>197</v>
      </c>
      <c r="AB1" t="s">
        <v>195</v>
      </c>
      <c r="AC1" t="s">
        <v>196</v>
      </c>
      <c r="AD1" t="s">
        <v>198</v>
      </c>
      <c r="AE1" t="s">
        <v>199</v>
      </c>
      <c r="AF1" t="s">
        <v>200</v>
      </c>
      <c r="AG1" t="s">
        <v>39</v>
      </c>
      <c r="AH1" t="s">
        <v>201</v>
      </c>
      <c r="AI1" s="62" t="s">
        <v>183</v>
      </c>
      <c r="AJ1" s="62" t="s">
        <v>179</v>
      </c>
      <c r="AK1" s="62" t="s">
        <v>180</v>
      </c>
      <c r="AL1" s="62" t="s">
        <v>181</v>
      </c>
      <c r="AM1" s="62" t="s">
        <v>182</v>
      </c>
    </row>
    <row r="2" spans="1:39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tr" cm="1">
        <f t="array" ref="U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2" t="str" cm="1">
        <f t="array" ref="V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F2">
        <f>AVERAGE(Table1[[#This Row],[Range2_Low]:[Range2_High]])</f>
        <v>0</v>
      </c>
      <c r="AG2">
        <f>AVERAGE(Table1[[#This Row],[Range1_Low]:[Range1_High]])</f>
        <v>500</v>
      </c>
      <c r="AH2">
        <v>1</v>
      </c>
      <c r="AI2">
        <f>COUNTIF(Y:Y,FALSE)</f>
        <v>31</v>
      </c>
      <c r="AJ2">
        <f>COUNTIF(Y:Y,TRUE)</f>
        <v>2621</v>
      </c>
      <c r="AK2">
        <f>SUM(AI2:AJ2)</f>
        <v>2652</v>
      </c>
      <c r="AL2" s="77">
        <f>AJ2/AK2</f>
        <v>0.98831070889894423</v>
      </c>
      <c r="AM2" s="77">
        <f>AI2/AK2</f>
        <v>1.1689291101055807E-2</v>
      </c>
    </row>
    <row r="3" spans="1:39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tr" cm="1">
        <f t="array" ref="U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3" t="str" cm="1">
        <f t="array" ref="V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  <c r="AF3">
        <f>AVERAGE(Table1[[#This Row],[Range2_Low]:[Range2_High]])</f>
        <v>0</v>
      </c>
      <c r="AG3">
        <f>AVERAGE(Table1[[#This Row],[Range1_Low]:[Range1_High]])</f>
        <v>500</v>
      </c>
      <c r="AH3">
        <v>1</v>
      </c>
    </row>
    <row r="4" spans="1:39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tr" cm="1">
        <f t="array" ref="U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µΩ</v>
      </c>
      <c r="V4" t="str" cm="1">
        <f t="array" ref="V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µΩ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  <c r="AF4">
        <f>AVERAGE(Table1[[#This Row],[Range2_Low]:[Range2_High]])</f>
        <v>0</v>
      </c>
      <c r="AG4">
        <f>AVERAGE(Table1[[#This Row],[Range1_Low]:[Range1_High]])</f>
        <v>500</v>
      </c>
      <c r="AH4">
        <v>1</v>
      </c>
    </row>
    <row r="5" spans="1:39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tr" cm="1">
        <f t="array" ref="U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µΩ</v>
      </c>
      <c r="V5" t="str" cm="1">
        <f t="array" ref="V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µΩ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  <c r="AF5">
        <f>AVERAGE(Table1[[#This Row],[Range2_Low]:[Range2_High]])</f>
        <v>0</v>
      </c>
      <c r="AG5">
        <f>AVERAGE(Table1[[#This Row],[Range1_Low]:[Range1_High]])</f>
        <v>500</v>
      </c>
      <c r="AH5">
        <v>1</v>
      </c>
    </row>
    <row r="6" spans="1:39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tr" cm="1">
        <f t="array" ref="U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mΩ</v>
      </c>
      <c r="V6" t="str" cm="1">
        <f t="array" ref="V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mΩ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  <c r="AF6">
        <f>AVERAGE(Table1[[#This Row],[Range2_Low]:[Range2_High]])</f>
        <v>0</v>
      </c>
      <c r="AG6">
        <f>AVERAGE(Table1[[#This Row],[Range1_Low]:[Range1_High]])</f>
        <v>500</v>
      </c>
      <c r="AH6">
        <v>1</v>
      </c>
    </row>
    <row r="7" spans="1:39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tr" cm="1">
        <f t="array" ref="U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µΩ</v>
      </c>
      <c r="V7" t="str" cm="1">
        <f t="array" ref="V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µΩ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F7">
        <f>AVERAGE(Table1[[#This Row],[Range2_Low]:[Range2_High]])</f>
        <v>0</v>
      </c>
      <c r="AG7">
        <f>AVERAGE(Table1[[#This Row],[Range1_Low]:[Range1_High]])</f>
        <v>5500</v>
      </c>
      <c r="AH7">
        <v>1</v>
      </c>
      <c r="AJ7" s="77"/>
    </row>
    <row r="8" spans="1:39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tr" cm="1">
        <f t="array" ref="U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µΩ</v>
      </c>
      <c r="V8" t="str" cm="1">
        <f t="array" ref="V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µΩ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F8">
        <f>AVERAGE(Table1[[#This Row],[Range2_Low]:[Range2_High]])</f>
        <v>0</v>
      </c>
      <c r="AG8">
        <f>AVERAGE(Table1[[#This Row],[Range1_Low]:[Range1_High]])</f>
        <v>5500</v>
      </c>
      <c r="AH8">
        <v>1</v>
      </c>
      <c r="AJ8" s="77"/>
    </row>
    <row r="9" spans="1:39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tr" cm="1">
        <f t="array" ref="U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µΩ</v>
      </c>
      <c r="V9" t="str" cm="1">
        <f t="array" ref="V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µΩ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  <c r="AF9">
        <f>AVERAGE(Table1[[#This Row],[Range2_Low]:[Range2_High]])</f>
        <v>0</v>
      </c>
      <c r="AG9">
        <f>AVERAGE(Table1[[#This Row],[Range1_Low]:[Range1_High]])</f>
        <v>5500</v>
      </c>
      <c r="AH9">
        <v>1</v>
      </c>
    </row>
    <row r="10" spans="1:39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tr" cm="1">
        <f t="array" ref="U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mΩ</v>
      </c>
      <c r="V10" t="str" cm="1">
        <f t="array" ref="V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mΩ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  <c r="AF10">
        <f>AVERAGE(Table1[[#This Row],[Range2_Low]:[Range2_High]])</f>
        <v>0</v>
      </c>
      <c r="AG10">
        <f>AVERAGE(Table1[[#This Row],[Range1_Low]:[Range1_High]])</f>
        <v>5500</v>
      </c>
      <c r="AH10">
        <v>1</v>
      </c>
    </row>
    <row r="11" spans="1:39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tr" cm="1">
        <f t="array" ref="U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V11" t="str" cm="1">
        <f t="array" ref="V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  <c r="AF11">
        <f>AVERAGE(Table1[[#This Row],[Range2_Low]:[Range2_High]])</f>
        <v>0</v>
      </c>
      <c r="AG11">
        <f>AVERAGE(Table1[[#This Row],[Range1_Low]:[Range1_High]])</f>
        <v>5500</v>
      </c>
      <c r="AH11">
        <v>1</v>
      </c>
    </row>
    <row r="12" spans="1:39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tr" cm="1">
        <f t="array" ref="U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2" t="str" cm="1">
        <f t="array" ref="V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mΩ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  <c r="AF12">
        <f>AVERAGE(Table1[[#This Row],[Range2_Low]:[Range2_High]])</f>
        <v>0</v>
      </c>
      <c r="AG12">
        <f>AVERAGE(Table1[[#This Row],[Range1_Low]:[Range1_High]])</f>
        <v>5500</v>
      </c>
      <c r="AH12">
        <v>1</v>
      </c>
    </row>
    <row r="13" spans="1:39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tr" cm="1">
        <f t="array" ref="U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V13" t="str" cm="1">
        <f t="array" ref="V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  <c r="AF13">
        <f>AVERAGE(Table1[[#This Row],[Range2_Low]:[Range2_High]])</f>
        <v>0</v>
      </c>
      <c r="AG13">
        <f>AVERAGE(Table1[[#This Row],[Range1_Low]:[Range1_High]])</f>
        <v>5500</v>
      </c>
      <c r="AH13">
        <v>1</v>
      </c>
    </row>
    <row r="14" spans="1:39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tr" cm="1">
        <f t="array" ref="U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V14" t="str" cm="1">
        <f t="array" ref="V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  <c r="AF14">
        <f>AVERAGE(Table1[[#This Row],[Range2_Low]:[Range2_High]])</f>
        <v>0</v>
      </c>
      <c r="AG14">
        <f>AVERAGE(Table1[[#This Row],[Range1_Low]:[Range1_High]])</f>
        <v>5500</v>
      </c>
      <c r="AH14">
        <v>1</v>
      </c>
    </row>
    <row r="15" spans="1:39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tr" cm="1">
        <f t="array" ref="U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V15" t="str" cm="1">
        <f t="array" ref="V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  <c r="AF15">
        <f>AVERAGE(Table1[[#This Row],[Range2_Low]:[Range2_High]])</f>
        <v>0</v>
      </c>
      <c r="AG15">
        <f>AVERAGE(Table1[[#This Row],[Range1_Low]:[Range1_High]])</f>
        <v>5500</v>
      </c>
      <c r="AH15">
        <v>1</v>
      </c>
    </row>
    <row r="16" spans="1:39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tr" cm="1">
        <f t="array" ref="U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6" t="str" cm="1">
        <f t="array" ref="V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  <c r="AF16">
        <f>AVERAGE(Table1[[#This Row],[Range2_Low]:[Range2_High]])</f>
        <v>0</v>
      </c>
      <c r="AG16">
        <f>AVERAGE(Table1[[#This Row],[Range1_Low]:[Range1_High]])</f>
        <v>5500</v>
      </c>
      <c r="AH16">
        <v>1</v>
      </c>
    </row>
    <row r="17" spans="1:34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tr" cm="1">
        <f t="array" ref="U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mΩ</v>
      </c>
      <c r="V17" t="str" cm="1">
        <f t="array" ref="V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mΩ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  <c r="AF17">
        <f>AVERAGE(Table1[[#This Row],[Range2_Low]:[Range2_High]])</f>
        <v>0</v>
      </c>
      <c r="AG17">
        <f>AVERAGE(Table1[[#This Row],[Range1_Low]:[Range1_High]])</f>
        <v>55000</v>
      </c>
      <c r="AH17">
        <v>1</v>
      </c>
    </row>
    <row r="18" spans="1:34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tr" cm="1">
        <f t="array" ref="U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mΩ</v>
      </c>
      <c r="V18" t="str" cm="1">
        <f t="array" ref="V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mΩ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  <c r="AF18">
        <f>AVERAGE(Table1[[#This Row],[Range2_Low]:[Range2_High]])</f>
        <v>0</v>
      </c>
      <c r="AG18">
        <f>AVERAGE(Table1[[#This Row],[Range1_Low]:[Range1_High]])</f>
        <v>55000</v>
      </c>
      <c r="AH18">
        <v>1</v>
      </c>
    </row>
    <row r="19" spans="1:34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tr" cm="1">
        <f t="array" ref="U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mΩ</v>
      </c>
      <c r="V19" t="str" cm="1">
        <f t="array" ref="V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mΩ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  <c r="AF19">
        <f>AVERAGE(Table1[[#This Row],[Range2_Low]:[Range2_High]])</f>
        <v>0</v>
      </c>
      <c r="AG19">
        <f>AVERAGE(Table1[[#This Row],[Range1_Low]:[Range1_High]])</f>
        <v>55000</v>
      </c>
      <c r="AH19">
        <v>1</v>
      </c>
    </row>
    <row r="20" spans="1:34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tr" cm="1">
        <f t="array" ref="U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V20" t="str" cm="1">
        <f t="array" ref="V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  <c r="AF20">
        <f>AVERAGE(Table1[[#This Row],[Range2_Low]:[Range2_High]])</f>
        <v>0</v>
      </c>
      <c r="AG20">
        <f>AVERAGE(Table1[[#This Row],[Range1_Low]:[Range1_High]])</f>
        <v>55000</v>
      </c>
      <c r="AH20">
        <v>1</v>
      </c>
    </row>
    <row r="21" spans="1:34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tr" cm="1">
        <f t="array" ref="U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1" t="str" cm="1">
        <f t="array" ref="V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  <c r="AF21">
        <f>AVERAGE(Table1[[#This Row],[Range2_Low]:[Range2_High]])</f>
        <v>0</v>
      </c>
      <c r="AG21">
        <f>AVERAGE(Table1[[#This Row],[Range1_Low]:[Range1_High]])</f>
        <v>55000</v>
      </c>
      <c r="AH21">
        <v>1</v>
      </c>
    </row>
    <row r="22" spans="1:34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tr" cm="1">
        <f t="array" ref="U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2" t="str" cm="1">
        <f t="array" ref="V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  <c r="AF22">
        <f>AVERAGE(Table1[[#This Row],[Range2_Low]:[Range2_High]])</f>
        <v>0</v>
      </c>
      <c r="AG22">
        <f>AVERAGE(Table1[[#This Row],[Range1_Low]:[Range1_High]])</f>
        <v>55000</v>
      </c>
      <c r="AH22">
        <v>1</v>
      </c>
    </row>
    <row r="23" spans="1:34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tr" cm="1">
        <f t="array" ref="U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23" t="str" cm="1">
        <f t="array" ref="V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  <c r="AF23">
        <f>AVERAGE(Table1[[#This Row],[Range2_Low]:[Range2_High]])</f>
        <v>0</v>
      </c>
      <c r="AG23">
        <f>AVERAGE(Table1[[#This Row],[Range1_Low]:[Range1_High]])</f>
        <v>55000</v>
      </c>
      <c r="AH23">
        <v>1</v>
      </c>
    </row>
    <row r="24" spans="1:34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tr" cm="1">
        <f t="array" ref="U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24" t="str" cm="1">
        <f t="array" ref="V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  <c r="AF24">
        <f>AVERAGE(Table1[[#This Row],[Range2_Low]:[Range2_High]])</f>
        <v>0</v>
      </c>
      <c r="AG24">
        <f>AVERAGE(Table1[[#This Row],[Range1_Low]:[Range1_High]])</f>
        <v>55000</v>
      </c>
      <c r="AH24">
        <v>1</v>
      </c>
    </row>
    <row r="25" spans="1:34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tr" cm="1">
        <f t="array" ref="U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V25" t="str" cm="1">
        <f t="array" ref="V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  <c r="AF25">
        <f>AVERAGE(Table1[[#This Row],[Range2_Low]:[Range2_High]])</f>
        <v>0</v>
      </c>
      <c r="AG25">
        <f>AVERAGE(Table1[[#This Row],[Range1_Low]:[Range1_High]])</f>
        <v>55000</v>
      </c>
      <c r="AH25">
        <v>1</v>
      </c>
    </row>
    <row r="26" spans="1:34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tr" cm="1">
        <f t="array" ref="U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26" t="str" cm="1">
        <f t="array" ref="V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  <c r="AF26">
        <f>AVERAGE(Table1[[#This Row],[Range2_Low]:[Range2_High]])</f>
        <v>0</v>
      </c>
      <c r="AG26">
        <f>AVERAGE(Table1[[#This Row],[Range1_Low]:[Range1_High]])</f>
        <v>55000</v>
      </c>
      <c r="AH26">
        <v>1</v>
      </c>
    </row>
    <row r="27" spans="1:34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tr" cm="1">
        <f t="array" ref="U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7" t="str" cm="1">
        <f t="array" ref="V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  <c r="AF27">
        <f>AVERAGE(Table1[[#This Row],[Range2_Low]:[Range2_High]])</f>
        <v>0</v>
      </c>
      <c r="AG27">
        <f>AVERAGE(Table1[[#This Row],[Range1_Low]:[Range1_High]])</f>
        <v>50500</v>
      </c>
      <c r="AH27">
        <v>1</v>
      </c>
    </row>
    <row r="28" spans="1:34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 t="str" cm="1">
        <f t="array" ref="U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28" t="str" cm="1">
        <f t="array" ref="V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  <c r="AF28">
        <f>AVERAGE(Table1[[#This Row],[Range2_Low]:[Range2_High]])</f>
        <v>0</v>
      </c>
      <c r="AG28">
        <f>AVERAGE(Table1[[#This Row],[Range1_Low]:[Range1_High]])</f>
        <v>50500</v>
      </c>
      <c r="AH28">
        <v>1</v>
      </c>
    </row>
    <row r="29" spans="1:34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tr" cm="1">
        <f t="array" ref="U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9" t="str" cm="1">
        <f t="array" ref="V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  <c r="AF29">
        <f>AVERAGE(Table1[[#This Row],[Range2_Low]:[Range2_High]])</f>
        <v>0</v>
      </c>
      <c r="AG29">
        <f>AVERAGE(Table1[[#This Row],[Range1_Low]:[Range1_High]])</f>
        <v>50500</v>
      </c>
      <c r="AH29">
        <v>1</v>
      </c>
    </row>
    <row r="30" spans="1:34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tr" cm="1">
        <f t="array" ref="U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30" t="str" cm="1">
        <f t="array" ref="V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  <c r="AF30">
        <f>AVERAGE(Table1[[#This Row],[Range2_Low]:[Range2_High]])</f>
        <v>0</v>
      </c>
      <c r="AG30">
        <f>AVERAGE(Table1[[#This Row],[Range1_Low]:[Range1_High]])</f>
        <v>50500</v>
      </c>
      <c r="AH30">
        <v>1</v>
      </c>
    </row>
    <row r="31" spans="1:34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tr" cm="1">
        <f t="array" ref="U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31" t="str" cm="1">
        <f t="array" ref="V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  <c r="AF31">
        <f>AVERAGE(Table1[[#This Row],[Range2_Low]:[Range2_High]])</f>
        <v>0</v>
      </c>
      <c r="AG31">
        <f>AVERAGE(Table1[[#This Row],[Range1_Low]:[Range1_High]])</f>
        <v>50500</v>
      </c>
      <c r="AH31">
        <v>1</v>
      </c>
    </row>
    <row r="32" spans="1:34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tr" cm="1">
        <f t="array" ref="U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32" t="str" cm="1">
        <f t="array" ref="V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  <c r="AF32">
        <f>AVERAGE(Table1[[#This Row],[Range2_Low]:[Range2_High]])</f>
        <v>0</v>
      </c>
      <c r="AG32">
        <f>AVERAGE(Table1[[#This Row],[Range1_Low]:[Range1_High]])</f>
        <v>50500</v>
      </c>
      <c r="AH32">
        <v>1</v>
      </c>
    </row>
    <row r="33" spans="1:34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 t="str" cm="1">
        <f t="array" ref="U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3" t="str" cm="1">
        <f t="array" ref="V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  <c r="AF33">
        <f>AVERAGE(Table1[[#This Row],[Range2_Low]:[Range2_High]])</f>
        <v>0</v>
      </c>
      <c r="AG33">
        <f>AVERAGE(Table1[[#This Row],[Range1_Low]:[Range1_High]])</f>
        <v>50500</v>
      </c>
      <c r="AH33">
        <v>1</v>
      </c>
    </row>
    <row r="34" spans="1:34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 t="str" cm="1">
        <f t="array" ref="U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4" t="str" cm="1">
        <f t="array" ref="V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  <c r="AF34">
        <f>AVERAGE(Table1[[#This Row],[Range2_Low]:[Range2_High]])</f>
        <v>0</v>
      </c>
      <c r="AG34">
        <f>AVERAGE(Table1[[#This Row],[Range1_Low]:[Range1_High]])</f>
        <v>50500</v>
      </c>
      <c r="AH34">
        <v>1</v>
      </c>
    </row>
    <row r="35" spans="1:34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 t="str" cm="1">
        <f t="array" ref="U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5" t="str" cm="1">
        <f t="array" ref="V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  <c r="AF35">
        <f>AVERAGE(Table1[[#This Row],[Range2_Low]:[Range2_High]])</f>
        <v>0</v>
      </c>
      <c r="AG35">
        <f>AVERAGE(Table1[[#This Row],[Range1_Low]:[Range1_High]])</f>
        <v>50500</v>
      </c>
      <c r="AH35">
        <v>1</v>
      </c>
    </row>
    <row r="36" spans="1:34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 t="str" cm="1">
        <f t="array" ref="U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6" t="str" cm="1">
        <f t="array" ref="V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  <c r="AF36">
        <f>AVERAGE(Table1[[#This Row],[Range2_Low]:[Range2_High]])</f>
        <v>0</v>
      </c>
      <c r="AG36">
        <f>AVERAGE(Table1[[#This Row],[Range1_Low]:[Range1_High]])</f>
        <v>50500</v>
      </c>
      <c r="AH36">
        <v>1</v>
      </c>
    </row>
    <row r="37" spans="1:34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170</v>
      </c>
      <c r="U37" t="str" cm="1">
        <f t="array" ref="U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7" t="str" cm="1">
        <f t="array" ref="V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  <c r="AF37">
        <f>AVERAGE(Table1[[#This Row],[Range2_Low]:[Range2_High]])</f>
        <v>0</v>
      </c>
      <c r="AG37">
        <f>AVERAGE(Table1[[#This Row],[Range1_Low]:[Range1_High]])</f>
        <v>5.0000000000000001E-4</v>
      </c>
      <c r="AH37">
        <v>1</v>
      </c>
    </row>
    <row r="38" spans="1:34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170</v>
      </c>
      <c r="U38" t="str" cm="1">
        <f t="array" ref="U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8" t="str" cm="1">
        <f t="array" ref="V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  <c r="AF38">
        <f>AVERAGE(Table1[[#This Row],[Range2_Low]:[Range2_High]])</f>
        <v>0</v>
      </c>
      <c r="AG38">
        <f>AVERAGE(Table1[[#This Row],[Range1_Low]:[Range1_High]])</f>
        <v>5.0000000000000001E-4</v>
      </c>
      <c r="AH38">
        <v>1</v>
      </c>
    </row>
    <row r="39" spans="1:34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170</v>
      </c>
      <c r="U39" t="str" cm="1">
        <f t="array" ref="U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9" t="str" cm="1">
        <f t="array" ref="V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  <c r="AF39">
        <f>AVERAGE(Table1[[#This Row],[Range2_Low]:[Range2_High]])</f>
        <v>0</v>
      </c>
      <c r="AG39">
        <f>AVERAGE(Table1[[#This Row],[Range1_Low]:[Range1_High]])</f>
        <v>5.0000000000000001E-4</v>
      </c>
      <c r="AH39">
        <v>1</v>
      </c>
    </row>
    <row r="40" spans="1:34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170</v>
      </c>
      <c r="U40" t="str" cm="1">
        <f t="array" ref="U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0" t="str" cm="1">
        <f t="array" ref="V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  <c r="AF40">
        <f>AVERAGE(Table1[[#This Row],[Range2_Low]:[Range2_High]])</f>
        <v>0</v>
      </c>
      <c r="AG40">
        <f>AVERAGE(Table1[[#This Row],[Range1_Low]:[Range1_High]])</f>
        <v>5.0000000000000001E-4</v>
      </c>
      <c r="AH40">
        <v>1</v>
      </c>
    </row>
    <row r="41" spans="1:34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170</v>
      </c>
      <c r="U41" t="str" cm="1">
        <f t="array" ref="U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1" t="str" cm="1">
        <f t="array" ref="V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  <c r="AF41">
        <f>AVERAGE(Table1[[#This Row],[Range2_Low]:[Range2_High]])</f>
        <v>0</v>
      </c>
      <c r="AG41">
        <f>AVERAGE(Table1[[#This Row],[Range1_Low]:[Range1_High]])</f>
        <v>5.0000000000000001E-4</v>
      </c>
      <c r="AH41">
        <v>1</v>
      </c>
    </row>
    <row r="42" spans="1:34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170</v>
      </c>
      <c r="U42" t="str" cm="1">
        <f t="array" ref="U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2" t="str" cm="1">
        <f t="array" ref="V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  <c r="AF42">
        <f>AVERAGE(Table1[[#This Row],[Range2_Low]:[Range2_High]])</f>
        <v>0</v>
      </c>
      <c r="AG42">
        <f>AVERAGE(Table1[[#This Row],[Range1_Low]:[Range1_High]])</f>
        <v>5.0000000000000001E-4</v>
      </c>
      <c r="AH42">
        <v>1</v>
      </c>
    </row>
    <row r="43" spans="1:34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170</v>
      </c>
      <c r="U43" t="str" cm="1">
        <f t="array" ref="U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3" t="str" cm="1">
        <f t="array" ref="V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  <c r="AF43">
        <f>AVERAGE(Table1[[#This Row],[Range2_Low]:[Range2_High]])</f>
        <v>0</v>
      </c>
      <c r="AG43">
        <f>AVERAGE(Table1[[#This Row],[Range1_Low]:[Range1_High]])</f>
        <v>5.4999999999999997E-3</v>
      </c>
      <c r="AH43">
        <v>1</v>
      </c>
    </row>
    <row r="44" spans="1:34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170</v>
      </c>
      <c r="U44" t="str" cm="1">
        <f t="array" ref="U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4" t="str" cm="1">
        <f t="array" ref="V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  <c r="AF44">
        <f>AVERAGE(Table1[[#This Row],[Range2_Low]:[Range2_High]])</f>
        <v>0</v>
      </c>
      <c r="AG44">
        <f>AVERAGE(Table1[[#This Row],[Range1_Low]:[Range1_High]])</f>
        <v>5.4999999999999997E-3</v>
      </c>
      <c r="AH44">
        <v>1</v>
      </c>
    </row>
    <row r="45" spans="1:34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170</v>
      </c>
      <c r="U45" t="str" cm="1">
        <f t="array" ref="U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µV</v>
      </c>
      <c r="V45" t="str" cm="1">
        <f t="array" ref="V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µV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  <c r="AF45">
        <f>AVERAGE(Table1[[#This Row],[Range2_Low]:[Range2_High]])</f>
        <v>0</v>
      </c>
      <c r="AG45">
        <f>AVERAGE(Table1[[#This Row],[Range1_Low]:[Range1_High]])</f>
        <v>5.4999999999999997E-3</v>
      </c>
      <c r="AH45">
        <v>1</v>
      </c>
    </row>
    <row r="46" spans="1:34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170</v>
      </c>
      <c r="U46" t="str" cm="1">
        <f t="array" ref="U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6" t="str" cm="1">
        <f t="array" ref="V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  <c r="AF46">
        <f>AVERAGE(Table1[[#This Row],[Range2_Low]:[Range2_High]])</f>
        <v>0</v>
      </c>
      <c r="AG46">
        <f>AVERAGE(Table1[[#This Row],[Range1_Low]:[Range1_High]])</f>
        <v>5.4999999999999997E-3</v>
      </c>
      <c r="AH46">
        <v>1</v>
      </c>
    </row>
    <row r="47" spans="1:34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170</v>
      </c>
      <c r="U47" t="str" cm="1">
        <f t="array" ref="U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" t="str" cm="1">
        <f t="array" ref="V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  <c r="AF47">
        <f>AVERAGE(Table1[[#This Row],[Range2_Low]:[Range2_High]])</f>
        <v>0</v>
      </c>
      <c r="AG47">
        <f>AVERAGE(Table1[[#This Row],[Range1_Low]:[Range1_High]])</f>
        <v>5.4999999999999997E-3</v>
      </c>
      <c r="AH47">
        <v>1</v>
      </c>
    </row>
    <row r="48" spans="1:34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170</v>
      </c>
      <c r="U48" t="str" cm="1">
        <f t="array" ref="U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" t="str" cm="1">
        <f t="array" ref="V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  <c r="AF48">
        <f>AVERAGE(Table1[[#This Row],[Range2_Low]:[Range2_High]])</f>
        <v>0</v>
      </c>
      <c r="AG48">
        <f>AVERAGE(Table1[[#This Row],[Range1_Low]:[Range1_High]])</f>
        <v>5.4999999999999997E-3</v>
      </c>
      <c r="AH48">
        <v>1</v>
      </c>
    </row>
    <row r="49" spans="1:34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170</v>
      </c>
      <c r="U49" t="str" cm="1">
        <f t="array" ref="U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µV</v>
      </c>
      <c r="V49" t="str" cm="1">
        <f t="array" ref="V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  <c r="AF49">
        <f>AVERAGE(Table1[[#This Row],[Range2_Low]:[Range2_High]])</f>
        <v>0</v>
      </c>
      <c r="AG49">
        <f>AVERAGE(Table1[[#This Row],[Range1_Low]:[Range1_High]])</f>
        <v>5.5E-2</v>
      </c>
      <c r="AH49">
        <v>1</v>
      </c>
    </row>
    <row r="50" spans="1:34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170</v>
      </c>
      <c r="U50" t="str" cm="1">
        <f t="array" ref="U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µV</v>
      </c>
      <c r="V50" t="str" cm="1">
        <f t="array" ref="V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  <c r="AF50">
        <f>AVERAGE(Table1[[#This Row],[Range2_Low]:[Range2_High]])</f>
        <v>0</v>
      </c>
      <c r="AG50">
        <f>AVERAGE(Table1[[#This Row],[Range1_Low]:[Range1_High]])</f>
        <v>5.5E-2</v>
      </c>
      <c r="AH50">
        <v>1</v>
      </c>
    </row>
    <row r="51" spans="1:34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170</v>
      </c>
      <c r="U51" t="str" cm="1">
        <f t="array" ref="U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µV</v>
      </c>
      <c r="V51" t="str" cm="1">
        <f t="array" ref="V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  <c r="AF51">
        <f>AVERAGE(Table1[[#This Row],[Range2_Low]:[Range2_High]])</f>
        <v>0</v>
      </c>
      <c r="AG51">
        <f>AVERAGE(Table1[[#This Row],[Range1_Low]:[Range1_High]])</f>
        <v>5.5E-2</v>
      </c>
      <c r="AH51">
        <v>1</v>
      </c>
    </row>
    <row r="52" spans="1:34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170</v>
      </c>
      <c r="U52" t="str" cm="1">
        <f t="array" ref="U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2" t="str" cm="1">
        <f t="array" ref="V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  <c r="AF52">
        <f>AVERAGE(Table1[[#This Row],[Range2_Low]:[Range2_High]])</f>
        <v>0</v>
      </c>
      <c r="AG52">
        <f>AVERAGE(Table1[[#This Row],[Range1_Low]:[Range1_High]])</f>
        <v>5.5E-2</v>
      </c>
      <c r="AH52">
        <v>1</v>
      </c>
    </row>
    <row r="53" spans="1:34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170</v>
      </c>
      <c r="U53" t="str" cm="1">
        <f t="array" ref="U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3" t="str" cm="1">
        <f t="array" ref="V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  <c r="AF53">
        <f>AVERAGE(Table1[[#This Row],[Range2_Low]:[Range2_High]])</f>
        <v>0</v>
      </c>
      <c r="AG53">
        <f>AVERAGE(Table1[[#This Row],[Range1_Low]:[Range1_High]])</f>
        <v>5.5E-2</v>
      </c>
      <c r="AH53">
        <v>1</v>
      </c>
    </row>
    <row r="54" spans="1:34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170</v>
      </c>
      <c r="U54" t="str" cm="1">
        <f t="array" ref="U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4" t="str" cm="1">
        <f t="array" ref="V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  <c r="AF54">
        <f>AVERAGE(Table1[[#This Row],[Range2_Low]:[Range2_High]])</f>
        <v>0</v>
      </c>
      <c r="AG54">
        <f>AVERAGE(Table1[[#This Row],[Range1_Low]:[Range1_High]])</f>
        <v>5.5E-2</v>
      </c>
      <c r="AH54">
        <v>1</v>
      </c>
    </row>
    <row r="55" spans="1:34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170</v>
      </c>
      <c r="U55" t="str" cm="1">
        <f t="array" ref="U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µV</v>
      </c>
      <c r="V55" t="str" cm="1">
        <f t="array" ref="V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µV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  <c r="AF55">
        <f>AVERAGE(Table1[[#This Row],[Range2_Low]:[Range2_High]])</f>
        <v>0</v>
      </c>
      <c r="AG55">
        <f>AVERAGE(Table1[[#This Row],[Range1_Low]:[Range1_High]])</f>
        <v>0.55000000000000004</v>
      </c>
      <c r="AH55">
        <v>1</v>
      </c>
    </row>
    <row r="56" spans="1:34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170</v>
      </c>
      <c r="U56" t="str" cm="1">
        <f t="array" ref="U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56" t="str" cm="1">
        <f t="array" ref="V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µV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  <c r="AF56">
        <f>AVERAGE(Table1[[#This Row],[Range2_Low]:[Range2_High]])</f>
        <v>0</v>
      </c>
      <c r="AG56">
        <f>AVERAGE(Table1[[#This Row],[Range1_Low]:[Range1_High]])</f>
        <v>0.55000000000000004</v>
      </c>
      <c r="AH56">
        <v>1</v>
      </c>
    </row>
    <row r="57" spans="1:34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170</v>
      </c>
      <c r="U57" t="str" cm="1">
        <f t="array" ref="U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57" t="str" cm="1">
        <f t="array" ref="V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  <c r="AF57">
        <f>AVERAGE(Table1[[#This Row],[Range2_Low]:[Range2_High]])</f>
        <v>0</v>
      </c>
      <c r="AG57">
        <f>AVERAGE(Table1[[#This Row],[Range1_Low]:[Range1_High]])</f>
        <v>0.55000000000000004</v>
      </c>
      <c r="AH57">
        <v>1</v>
      </c>
    </row>
    <row r="58" spans="1:34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170</v>
      </c>
      <c r="U58" t="str" cm="1">
        <f t="array" ref="U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8" t="str" cm="1">
        <f t="array" ref="V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  <c r="AF58">
        <f>AVERAGE(Table1[[#This Row],[Range2_Low]:[Range2_High]])</f>
        <v>0</v>
      </c>
      <c r="AG58">
        <f>AVERAGE(Table1[[#This Row],[Range1_Low]:[Range1_High]])</f>
        <v>0.55000000000000004</v>
      </c>
      <c r="AH58">
        <v>1</v>
      </c>
    </row>
    <row r="59" spans="1:34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170</v>
      </c>
      <c r="U59" t="str" cm="1">
        <f t="array" ref="U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9" t="str" cm="1">
        <f t="array" ref="V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  <c r="AF59">
        <f>AVERAGE(Table1[[#This Row],[Range2_Low]:[Range2_High]])</f>
        <v>0</v>
      </c>
      <c r="AG59">
        <f>AVERAGE(Table1[[#This Row],[Range1_Low]:[Range1_High]])</f>
        <v>0.55000000000000004</v>
      </c>
      <c r="AH59">
        <v>1</v>
      </c>
    </row>
    <row r="60" spans="1:34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170</v>
      </c>
      <c r="U60" t="str" cm="1">
        <f t="array" ref="U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0" t="str" cm="1">
        <f t="array" ref="V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  <c r="AF60">
        <f>AVERAGE(Table1[[#This Row],[Range2_Low]:[Range2_High]])</f>
        <v>0</v>
      </c>
      <c r="AG60">
        <f>AVERAGE(Table1[[#This Row],[Range1_Low]:[Range1_High]])</f>
        <v>0.55000000000000004</v>
      </c>
      <c r="AH60">
        <v>1</v>
      </c>
    </row>
    <row r="61" spans="1:34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170</v>
      </c>
      <c r="U61" t="str" cm="1">
        <f t="array" ref="U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µV</v>
      </c>
      <c r="V61" t="str" cm="1">
        <f t="array" ref="V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  <c r="AF61">
        <f>AVERAGE(Table1[[#This Row],[Range2_Low]:[Range2_High]])</f>
        <v>0</v>
      </c>
      <c r="AG61">
        <f>AVERAGE(Table1[[#This Row],[Range1_Low]:[Range1_High]])</f>
        <v>5.5</v>
      </c>
      <c r="AH61">
        <v>1</v>
      </c>
    </row>
    <row r="62" spans="1:34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170</v>
      </c>
      <c r="U62" t="str" cm="1">
        <f t="array" ref="U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62" t="str" cm="1">
        <f t="array" ref="V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µV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  <c r="AF62">
        <f>AVERAGE(Table1[[#This Row],[Range2_Low]:[Range2_High]])</f>
        <v>0</v>
      </c>
      <c r="AG62">
        <f>AVERAGE(Table1[[#This Row],[Range1_Low]:[Range1_High]])</f>
        <v>5.5</v>
      </c>
      <c r="AH62">
        <v>1</v>
      </c>
    </row>
    <row r="63" spans="1:34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170</v>
      </c>
      <c r="U63" t="str" cm="1">
        <f t="array" ref="U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3" t="str" cm="1">
        <f t="array" ref="V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µV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  <c r="AF63">
        <f>AVERAGE(Table1[[#This Row],[Range2_Low]:[Range2_High]])</f>
        <v>0</v>
      </c>
      <c r="AG63">
        <f>AVERAGE(Table1[[#This Row],[Range1_Low]:[Range1_High]])</f>
        <v>5.5</v>
      </c>
      <c r="AH63">
        <v>1</v>
      </c>
    </row>
    <row r="64" spans="1:34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170</v>
      </c>
      <c r="U64" t="str" cm="1">
        <f t="array" ref="U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4" t="str" cm="1">
        <f t="array" ref="V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  <c r="AF64">
        <f>AVERAGE(Table1[[#This Row],[Range2_Low]:[Range2_High]])</f>
        <v>0</v>
      </c>
      <c r="AG64">
        <f>AVERAGE(Table1[[#This Row],[Range1_Low]:[Range1_High]])</f>
        <v>5.5</v>
      </c>
      <c r="AH64">
        <v>1</v>
      </c>
    </row>
    <row r="65" spans="1:34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170</v>
      </c>
      <c r="U65" t="str" cm="1">
        <f t="array" ref="U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5" t="str" cm="1">
        <f t="array" ref="V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  <c r="AF65">
        <f>AVERAGE(Table1[[#This Row],[Range2_Low]:[Range2_High]])</f>
        <v>0</v>
      </c>
      <c r="AG65">
        <f>AVERAGE(Table1[[#This Row],[Range1_Low]:[Range1_High]])</f>
        <v>5.5</v>
      </c>
      <c r="AH65">
        <v>1</v>
      </c>
    </row>
    <row r="66" spans="1:34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170</v>
      </c>
      <c r="U66" t="str" cm="1">
        <f t="array" ref="U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66" t="str" cm="1">
        <f t="array" ref="V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  <c r="AF66">
        <f>AVERAGE(Table1[[#This Row],[Range2_Low]:[Range2_High]])</f>
        <v>0</v>
      </c>
      <c r="AG66">
        <f>AVERAGE(Table1[[#This Row],[Range1_Low]:[Range1_High]])</f>
        <v>5.5</v>
      </c>
      <c r="AH66">
        <v>1</v>
      </c>
    </row>
    <row r="67" spans="1:34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170</v>
      </c>
      <c r="U67" t="str" cm="1">
        <f t="array" ref="U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mV</v>
      </c>
      <c r="V67" t="str" cm="1">
        <f t="array" ref="V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mV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  <c r="AF67">
        <f>AVERAGE(Table1[[#This Row],[Range2_Low]:[Range2_High]])</f>
        <v>0</v>
      </c>
      <c r="AG67">
        <f>AVERAGE(Table1[[#This Row],[Range1_Low]:[Range1_High]])</f>
        <v>55</v>
      </c>
      <c r="AH67">
        <v>1</v>
      </c>
    </row>
    <row r="68" spans="1:34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170</v>
      </c>
      <c r="U68" t="str" cm="1">
        <f t="array" ref="U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mV</v>
      </c>
      <c r="V68" t="str" cm="1">
        <f t="array" ref="V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mV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  <c r="AF68">
        <f>AVERAGE(Table1[[#This Row],[Range2_Low]:[Range2_High]])</f>
        <v>0</v>
      </c>
      <c r="AG68">
        <f>AVERAGE(Table1[[#This Row],[Range1_Low]:[Range1_High]])</f>
        <v>55</v>
      </c>
      <c r="AH68">
        <v>1</v>
      </c>
    </row>
    <row r="69" spans="1:34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170</v>
      </c>
      <c r="U69" t="str" cm="1">
        <f t="array" ref="U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V69" t="str" cm="1">
        <f t="array" ref="V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  <c r="AF69">
        <f>AVERAGE(Table1[[#This Row],[Range2_Low]:[Range2_High]])</f>
        <v>0</v>
      </c>
      <c r="AG69">
        <f>AVERAGE(Table1[[#This Row],[Range1_Low]:[Range1_High]])</f>
        <v>55</v>
      </c>
      <c r="AH69">
        <v>1</v>
      </c>
    </row>
    <row r="70" spans="1:34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170</v>
      </c>
      <c r="U70" t="str" cm="1">
        <f t="array" ref="U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0" t="str" cm="1">
        <f t="array" ref="V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  <c r="AF70">
        <f>AVERAGE(Table1[[#This Row],[Range2_Low]:[Range2_High]])</f>
        <v>0</v>
      </c>
      <c r="AG70">
        <f>AVERAGE(Table1[[#This Row],[Range1_Low]:[Range1_High]])</f>
        <v>55</v>
      </c>
      <c r="AH70">
        <v>1</v>
      </c>
    </row>
    <row r="71" spans="1:34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170</v>
      </c>
      <c r="U71" t="str" cm="1">
        <f t="array" ref="U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1" t="str" cm="1">
        <f t="array" ref="V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  <c r="AF71">
        <f>AVERAGE(Table1[[#This Row],[Range2_Low]:[Range2_High]])</f>
        <v>0</v>
      </c>
      <c r="AG71">
        <f>AVERAGE(Table1[[#This Row],[Range1_Low]:[Range1_High]])</f>
        <v>55</v>
      </c>
      <c r="AH71">
        <v>1</v>
      </c>
    </row>
    <row r="72" spans="1:34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tr" cm="1">
        <f t="array" ref="U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µΩ</v>
      </c>
      <c r="V72" t="str" cm="1">
        <f t="array" ref="V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µΩ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  <c r="AF72">
        <f>AVERAGE(Table1[[#This Row],[Range2_Low]:[Range2_High]])</f>
        <v>0</v>
      </c>
      <c r="AG72">
        <f>AVERAGE(Table1[[#This Row],[Range1_Low]:[Range1_High]])</f>
        <v>5</v>
      </c>
      <c r="AH72">
        <v>1</v>
      </c>
    </row>
    <row r="73" spans="1:34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tr" cm="1">
        <f t="array" ref="U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µΩ</v>
      </c>
      <c r="V73" t="str" cm="1">
        <f t="array" ref="V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µΩ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  <c r="AF73">
        <f>AVERAGE(Table1[[#This Row],[Range2_Low]:[Range2_High]])</f>
        <v>0</v>
      </c>
      <c r="AG73">
        <f>AVERAGE(Table1[[#This Row],[Range1_Low]:[Range1_High]])</f>
        <v>5</v>
      </c>
      <c r="AH73">
        <v>1</v>
      </c>
    </row>
    <row r="74" spans="1:34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tr" cm="1">
        <f t="array" ref="U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µΩ</v>
      </c>
      <c r="V74" t="str" cm="1">
        <f t="array" ref="V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µΩ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  <c r="AF74">
        <f>AVERAGE(Table1[[#This Row],[Range2_Low]:[Range2_High]])</f>
        <v>0</v>
      </c>
      <c r="AG74">
        <f>AVERAGE(Table1[[#This Row],[Range1_Low]:[Range1_High]])</f>
        <v>5</v>
      </c>
      <c r="AH74">
        <v>1</v>
      </c>
    </row>
    <row r="75" spans="1:34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tr" cm="1">
        <f t="array" ref="U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V75" t="str" cm="1">
        <f t="array" ref="V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  <c r="AF75">
        <f>AVERAGE(Table1[[#This Row],[Range2_Low]:[Range2_High]])</f>
        <v>0</v>
      </c>
      <c r="AG75">
        <f>AVERAGE(Table1[[#This Row],[Range1_Low]:[Range1_High]])</f>
        <v>5</v>
      </c>
      <c r="AH75">
        <v>1</v>
      </c>
    </row>
    <row r="76" spans="1:34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tr" cm="1">
        <f t="array" ref="U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76" t="str" cm="1">
        <f t="array" ref="V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  <c r="AF76">
        <f>AVERAGE(Table1[[#This Row],[Range2_Low]:[Range2_High]])</f>
        <v>0</v>
      </c>
      <c r="AG76">
        <f>AVERAGE(Table1[[#This Row],[Range1_Low]:[Range1_High]])</f>
        <v>5</v>
      </c>
      <c r="AH76">
        <v>1</v>
      </c>
    </row>
    <row r="77" spans="1:34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tr" cm="1">
        <f t="array" ref="U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77" t="str" cm="1">
        <f t="array" ref="V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  <c r="AF77">
        <f>AVERAGE(Table1[[#This Row],[Range2_Low]:[Range2_High]])</f>
        <v>0</v>
      </c>
      <c r="AG77">
        <f>AVERAGE(Table1[[#This Row],[Range1_Low]:[Range1_High]])</f>
        <v>5</v>
      </c>
      <c r="AH77">
        <v>1</v>
      </c>
    </row>
    <row r="78" spans="1:34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tr" cm="1">
        <f t="array" ref="U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78" t="str" cm="1">
        <f t="array" ref="V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  <c r="AF78">
        <f>AVERAGE(Table1[[#This Row],[Range2_Low]:[Range2_High]])</f>
        <v>0</v>
      </c>
      <c r="AG78">
        <f>AVERAGE(Table1[[#This Row],[Range1_Low]:[Range1_High]])</f>
        <v>5</v>
      </c>
      <c r="AH78">
        <v>1</v>
      </c>
    </row>
    <row r="79" spans="1:34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tr" cm="1">
        <f t="array" ref="U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V79" t="str" cm="1">
        <f t="array" ref="V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  <c r="AF79">
        <f>AVERAGE(Table1[[#This Row],[Range2_Low]:[Range2_High]])</f>
        <v>0</v>
      </c>
      <c r="AG79">
        <f>AVERAGE(Table1[[#This Row],[Range1_Low]:[Range1_High]])</f>
        <v>5</v>
      </c>
      <c r="AH79">
        <v>1</v>
      </c>
    </row>
    <row r="80" spans="1:34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tr" cm="1">
        <f t="array" ref="U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V80" t="str" cm="1">
        <f t="array" ref="V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  <c r="AF80">
        <f>AVERAGE(Table1[[#This Row],[Range2_Low]:[Range2_High]])</f>
        <v>0</v>
      </c>
      <c r="AG80">
        <f>AVERAGE(Table1[[#This Row],[Range1_Low]:[Range1_High]])</f>
        <v>5</v>
      </c>
      <c r="AH80">
        <v>1</v>
      </c>
    </row>
    <row r="81" spans="1:34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tr" cm="1">
        <f t="array" ref="U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V81" t="str" cm="1">
        <f t="array" ref="V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  <c r="AF81">
        <f>AVERAGE(Table1[[#This Row],[Range2_Low]:[Range2_High]])</f>
        <v>0</v>
      </c>
      <c r="AG81">
        <f>AVERAGE(Table1[[#This Row],[Range1_Low]:[Range1_High]])</f>
        <v>5</v>
      </c>
      <c r="AH81">
        <v>1</v>
      </c>
    </row>
    <row r="82" spans="1:34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tr" cm="1">
        <f t="array" ref="U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V82" t="str" cm="1">
        <f t="array" ref="V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  <c r="AF82">
        <f>AVERAGE(Table1[[#This Row],[Range2_Low]:[Range2_High]])</f>
        <v>0</v>
      </c>
      <c r="AG82">
        <f>AVERAGE(Table1[[#This Row],[Range1_Low]:[Range1_High]])</f>
        <v>5</v>
      </c>
      <c r="AH82">
        <v>1</v>
      </c>
    </row>
    <row r="83" spans="1:34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tr" cm="1">
        <f t="array" ref="U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V83" t="str" cm="1">
        <f t="array" ref="V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  <c r="AF83">
        <f>AVERAGE(Table1[[#This Row],[Range2_Low]:[Range2_High]])</f>
        <v>0</v>
      </c>
      <c r="AG83">
        <f>AVERAGE(Table1[[#This Row],[Range1_Low]:[Range1_High]])</f>
        <v>5</v>
      </c>
      <c r="AH83">
        <v>1</v>
      </c>
    </row>
    <row r="84" spans="1:34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tr" cm="1">
        <f t="array" ref="U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4" t="str" cm="1">
        <f t="array" ref="V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  <c r="AF84">
        <f>AVERAGE(Table1[[#This Row],[Range2_Low]:[Range2_High]])</f>
        <v>0</v>
      </c>
      <c r="AG84">
        <f>AVERAGE(Table1[[#This Row],[Range1_Low]:[Range1_High]])</f>
        <v>55</v>
      </c>
      <c r="AH84">
        <v>1</v>
      </c>
    </row>
    <row r="85" spans="1:34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tr" cm="1">
        <f t="array" ref="U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5" t="str" cm="1">
        <f t="array" ref="V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  <c r="AF85">
        <f>AVERAGE(Table1[[#This Row],[Range2_Low]:[Range2_High]])</f>
        <v>0</v>
      </c>
      <c r="AG85">
        <f>AVERAGE(Table1[[#This Row],[Range1_Low]:[Range1_High]])</f>
        <v>55</v>
      </c>
      <c r="AH85">
        <v>1</v>
      </c>
    </row>
    <row r="86" spans="1:34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tr" cm="1">
        <f t="array" ref="U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µΩ</v>
      </c>
      <c r="V86" t="str" cm="1">
        <f t="array" ref="V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µΩ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  <c r="AF86">
        <f>AVERAGE(Table1[[#This Row],[Range2_Low]:[Range2_High]])</f>
        <v>0</v>
      </c>
      <c r="AG86">
        <f>AVERAGE(Table1[[#This Row],[Range1_Low]:[Range1_High]])</f>
        <v>55</v>
      </c>
      <c r="AH86">
        <v>1</v>
      </c>
    </row>
    <row r="87" spans="1:34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tr" cm="1">
        <f t="array" ref="U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µΩ</v>
      </c>
      <c r="V87" t="str" cm="1">
        <f t="array" ref="V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µΩ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  <c r="AF87">
        <f>AVERAGE(Table1[[#This Row],[Range2_Low]:[Range2_High]])</f>
        <v>0</v>
      </c>
      <c r="AG87">
        <f>AVERAGE(Table1[[#This Row],[Range1_Low]:[Range1_High]])</f>
        <v>55</v>
      </c>
      <c r="AH87">
        <v>1</v>
      </c>
    </row>
    <row r="88" spans="1:34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tr" cm="1">
        <f t="array" ref="U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88" t="str" cm="1">
        <f t="array" ref="V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  <c r="AF88">
        <f>AVERAGE(Table1[[#This Row],[Range2_Low]:[Range2_High]])</f>
        <v>0</v>
      </c>
      <c r="AG88">
        <f>AVERAGE(Table1[[#This Row],[Range1_Low]:[Range1_High]])</f>
        <v>55</v>
      </c>
      <c r="AH88">
        <v>1</v>
      </c>
    </row>
    <row r="89" spans="1:34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tr" cm="1">
        <f t="array" ref="U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89" t="str" cm="1">
        <f t="array" ref="V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  <c r="AF89">
        <f>AVERAGE(Table1[[#This Row],[Range2_Low]:[Range2_High]])</f>
        <v>0</v>
      </c>
      <c r="AG89">
        <f>AVERAGE(Table1[[#This Row],[Range1_Low]:[Range1_High]])</f>
        <v>55</v>
      </c>
      <c r="AH89">
        <v>1</v>
      </c>
    </row>
    <row r="90" spans="1:34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tr" cm="1">
        <f t="array" ref="U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0" t="str" cm="1">
        <f t="array" ref="V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  <c r="AF90">
        <f>AVERAGE(Table1[[#This Row],[Range2_Low]:[Range2_High]])</f>
        <v>0</v>
      </c>
      <c r="AG90">
        <f>AVERAGE(Table1[[#This Row],[Range1_Low]:[Range1_High]])</f>
        <v>550</v>
      </c>
      <c r="AH90">
        <v>1</v>
      </c>
    </row>
    <row r="91" spans="1:34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tr" cm="1">
        <f t="array" ref="U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1" t="str" cm="1">
        <f t="array" ref="V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  <c r="AF91">
        <f>AVERAGE(Table1[[#This Row],[Range2_Low]:[Range2_High]])</f>
        <v>0</v>
      </c>
      <c r="AG91">
        <f>AVERAGE(Table1[[#This Row],[Range1_Low]:[Range1_High]])</f>
        <v>550</v>
      </c>
      <c r="AH91">
        <v>1</v>
      </c>
    </row>
    <row r="92" spans="1:34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tr" cm="1">
        <f t="array" ref="U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8600 µΩ</v>
      </c>
      <c r="V92" t="str" cm="1">
        <f t="array" ref="V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µΩ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  <c r="AF92">
        <f>AVERAGE(Table1[[#This Row],[Range2_Low]:[Range2_High]])</f>
        <v>0</v>
      </c>
      <c r="AG92">
        <f>AVERAGE(Table1[[#This Row],[Range1_Low]:[Range1_High]])</f>
        <v>550</v>
      </c>
      <c r="AH92">
        <v>1</v>
      </c>
    </row>
    <row r="93" spans="1:34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tr" cm="1">
        <f t="array" ref="U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93" t="str" cm="1">
        <f t="array" ref="V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µΩ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  <c r="AF93">
        <f>AVERAGE(Table1[[#This Row],[Range2_Low]:[Range2_High]])</f>
        <v>0</v>
      </c>
      <c r="AG93">
        <f>AVERAGE(Table1[[#This Row],[Range1_Low]:[Range1_High]])</f>
        <v>550</v>
      </c>
      <c r="AH93">
        <v>1</v>
      </c>
    </row>
    <row r="94" spans="1:34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tr" cm="1">
        <f t="array" ref="U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94" t="str" cm="1">
        <f t="array" ref="V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  <c r="AF94">
        <f>AVERAGE(Table1[[#This Row],[Range2_Low]:[Range2_High]])</f>
        <v>0</v>
      </c>
      <c r="AG94">
        <f>AVERAGE(Table1[[#This Row],[Range1_Low]:[Range1_High]])</f>
        <v>550</v>
      </c>
      <c r="AH94">
        <v>1</v>
      </c>
    </row>
    <row r="95" spans="1:34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tr" cm="1">
        <f t="array" ref="U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95" t="str" cm="1">
        <f t="array" ref="V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  <c r="AF95">
        <f>AVERAGE(Table1[[#This Row],[Range2_Low]:[Range2_High]])</f>
        <v>0</v>
      </c>
      <c r="AG95">
        <f>AVERAGE(Table1[[#This Row],[Range1_Low]:[Range1_High]])</f>
        <v>550</v>
      </c>
      <c r="AH95">
        <v>1</v>
      </c>
    </row>
    <row r="96" spans="1:34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tr" cm="1">
        <f t="array" ref="U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6" t="str" cm="1">
        <f t="array" ref="V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  <c r="AF96">
        <f>AVERAGE(Table1[[#This Row],[Range2_Low]:[Range2_High]])</f>
        <v>0</v>
      </c>
      <c r="AG96">
        <f>AVERAGE(Table1[[#This Row],[Range1_Low]:[Range1_High]])</f>
        <v>5500</v>
      </c>
      <c r="AH96">
        <v>1</v>
      </c>
    </row>
    <row r="97" spans="1:34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tr" cm="1">
        <f t="array" ref="U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7" t="str" cm="1">
        <f t="array" ref="V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  <c r="AF97">
        <f>AVERAGE(Table1[[#This Row],[Range2_Low]:[Range2_High]])</f>
        <v>0</v>
      </c>
      <c r="AG97">
        <f>AVERAGE(Table1[[#This Row],[Range1_Low]:[Range1_High]])</f>
        <v>5500</v>
      </c>
      <c r="AH97">
        <v>1</v>
      </c>
    </row>
    <row r="98" spans="1:34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tr" cm="1">
        <f t="array" ref="U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mΩ</v>
      </c>
      <c r="V98" t="str" cm="1">
        <f t="array" ref="V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  <c r="AF98">
        <f>AVERAGE(Table1[[#This Row],[Range2_Low]:[Range2_High]])</f>
        <v>0</v>
      </c>
      <c r="AG98">
        <f>AVERAGE(Table1[[#This Row],[Range1_Low]:[Range1_High]])</f>
        <v>5500</v>
      </c>
      <c r="AH98">
        <v>1</v>
      </c>
    </row>
    <row r="99" spans="1:34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tr" cm="1">
        <f t="array" ref="U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99" t="str" cm="1">
        <f t="array" ref="V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  <c r="AF99">
        <f>AVERAGE(Table1[[#This Row],[Range2_Low]:[Range2_High]])</f>
        <v>0</v>
      </c>
      <c r="AG99">
        <f>AVERAGE(Table1[[#This Row],[Range1_Low]:[Range1_High]])</f>
        <v>5500</v>
      </c>
      <c r="AH99">
        <v>1</v>
      </c>
    </row>
    <row r="100" spans="1:34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tr" cm="1">
        <f t="array" ref="U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0" t="str" cm="1">
        <f t="array" ref="V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  <c r="AF100">
        <f>AVERAGE(Table1[[#This Row],[Range2_Low]:[Range2_High]])</f>
        <v>0</v>
      </c>
      <c r="AG100">
        <f>AVERAGE(Table1[[#This Row],[Range1_Low]:[Range1_High]])</f>
        <v>5500</v>
      </c>
      <c r="AH100">
        <v>1</v>
      </c>
    </row>
    <row r="101" spans="1:34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tr" cm="1">
        <f t="array" ref="U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1" t="str" cm="1">
        <f t="array" ref="V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  <c r="AF101">
        <f>AVERAGE(Table1[[#This Row],[Range2_Low]:[Range2_High]])</f>
        <v>0</v>
      </c>
      <c r="AG101">
        <f>AVERAGE(Table1[[#This Row],[Range1_Low]:[Range1_High]])</f>
        <v>5500</v>
      </c>
      <c r="AH101">
        <v>1</v>
      </c>
    </row>
    <row r="102" spans="1:34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tr" cm="1">
        <f t="array" ref="U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2" t="str" cm="1">
        <f t="array" ref="V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  <c r="AF102">
        <f>AVERAGE(Table1[[#This Row],[Range2_Low]:[Range2_High]])</f>
        <v>0</v>
      </c>
      <c r="AG102">
        <f>AVERAGE(Table1[[#This Row],[Range1_Low]:[Range1_High]])</f>
        <v>55000</v>
      </c>
      <c r="AH102">
        <v>1</v>
      </c>
    </row>
    <row r="103" spans="1:34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tr" cm="1">
        <f t="array" ref="U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3" t="str" cm="1">
        <f t="array" ref="V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  <c r="AF103">
        <f>AVERAGE(Table1[[#This Row],[Range2_Low]:[Range2_High]])</f>
        <v>0</v>
      </c>
      <c r="AG103">
        <f>AVERAGE(Table1[[#This Row],[Range1_Low]:[Range1_High]])</f>
        <v>55000</v>
      </c>
      <c r="AH103">
        <v>1</v>
      </c>
    </row>
    <row r="104" spans="1:34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tr" cm="1">
        <f t="array" ref="U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mΩ</v>
      </c>
      <c r="V104" t="str" cm="1">
        <f t="array" ref="V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mΩ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  <c r="AF104">
        <f>AVERAGE(Table1[[#This Row],[Range2_Low]:[Range2_High]])</f>
        <v>0</v>
      </c>
      <c r="AG104">
        <f>AVERAGE(Table1[[#This Row],[Range1_Low]:[Range1_High]])</f>
        <v>55000</v>
      </c>
      <c r="AH104">
        <v>1</v>
      </c>
    </row>
    <row r="105" spans="1:34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tr" cm="1">
        <f t="array" ref="U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" t="str" cm="1">
        <f t="array" ref="V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mΩ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  <c r="AF105">
        <f>AVERAGE(Table1[[#This Row],[Range2_Low]:[Range2_High]])</f>
        <v>0</v>
      </c>
      <c r="AG105">
        <f>AVERAGE(Table1[[#This Row],[Range1_Low]:[Range1_High]])</f>
        <v>55000</v>
      </c>
      <c r="AH105">
        <v>1</v>
      </c>
    </row>
    <row r="106" spans="1:34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tr" cm="1">
        <f t="array" ref="U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6" t="str" cm="1">
        <f t="array" ref="V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  <c r="AF106">
        <f>AVERAGE(Table1[[#This Row],[Range2_Low]:[Range2_High]])</f>
        <v>0</v>
      </c>
      <c r="AG106">
        <f>AVERAGE(Table1[[#This Row],[Range1_Low]:[Range1_High]])</f>
        <v>55000</v>
      </c>
      <c r="AH106">
        <v>1</v>
      </c>
    </row>
    <row r="107" spans="1:34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tr" cm="1">
        <f t="array" ref="U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7" t="str" cm="1">
        <f t="array" ref="V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  <c r="AF107">
        <f>AVERAGE(Table1[[#This Row],[Range2_Low]:[Range2_High]])</f>
        <v>0</v>
      </c>
      <c r="AG107">
        <f>AVERAGE(Table1[[#This Row],[Range1_Low]:[Range1_High]])</f>
        <v>55000</v>
      </c>
      <c r="AH107">
        <v>1</v>
      </c>
    </row>
    <row r="108" spans="1:34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tr" cm="1">
        <f t="array" ref="U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8" t="str" cm="1">
        <f t="array" ref="V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  <c r="AF108">
        <f>AVERAGE(Table1[[#This Row],[Range2_Low]:[Range2_High]])</f>
        <v>0</v>
      </c>
      <c r="AG108">
        <f>AVERAGE(Table1[[#This Row],[Range1_Low]:[Range1_High]])</f>
        <v>550000</v>
      </c>
      <c r="AH108">
        <v>1</v>
      </c>
    </row>
    <row r="109" spans="1:34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tr" cm="1">
        <f t="array" ref="U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9" t="str" cm="1">
        <f t="array" ref="V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  <c r="AF109">
        <f>AVERAGE(Table1[[#This Row],[Range2_Low]:[Range2_High]])</f>
        <v>0</v>
      </c>
      <c r="AG109">
        <f>AVERAGE(Table1[[#This Row],[Range1_Low]:[Range1_High]])</f>
        <v>550000</v>
      </c>
      <c r="AH109">
        <v>1</v>
      </c>
    </row>
    <row r="110" spans="1:34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tr" cm="1">
        <f t="array" ref="U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V110" t="str" cm="1">
        <f t="array" ref="V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Ω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  <c r="AF110">
        <f>AVERAGE(Table1[[#This Row],[Range2_Low]:[Range2_High]])</f>
        <v>0</v>
      </c>
      <c r="AG110">
        <f>AVERAGE(Table1[[#This Row],[Range1_Low]:[Range1_High]])</f>
        <v>550000</v>
      </c>
      <c r="AH110">
        <v>1</v>
      </c>
    </row>
    <row r="111" spans="1:34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tr" cm="1">
        <f t="array" ref="U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11" t="str" cm="1">
        <f t="array" ref="V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  <c r="AF111">
        <f>AVERAGE(Table1[[#This Row],[Range2_Low]:[Range2_High]])</f>
        <v>0</v>
      </c>
      <c r="AG111">
        <f>AVERAGE(Table1[[#This Row],[Range1_Low]:[Range1_High]])</f>
        <v>550000</v>
      </c>
      <c r="AH111">
        <v>1</v>
      </c>
    </row>
    <row r="112" spans="1:34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tr" cm="1">
        <f t="array" ref="U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12" t="str" cm="1">
        <f t="array" ref="V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  <c r="AF112">
        <f>AVERAGE(Table1[[#This Row],[Range2_Low]:[Range2_High]])</f>
        <v>0</v>
      </c>
      <c r="AG112">
        <f>AVERAGE(Table1[[#This Row],[Range1_Low]:[Range1_High]])</f>
        <v>550000</v>
      </c>
      <c r="AH112">
        <v>1</v>
      </c>
    </row>
    <row r="113" spans="1:34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tr" cm="1">
        <f t="array" ref="U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3" t="str" cm="1">
        <f t="array" ref="V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  <c r="AF113">
        <f>AVERAGE(Table1[[#This Row],[Range2_Low]:[Range2_High]])</f>
        <v>0</v>
      </c>
      <c r="AG113">
        <f>AVERAGE(Table1[[#This Row],[Range1_Low]:[Range1_High]])</f>
        <v>550000</v>
      </c>
      <c r="AH113">
        <v>1</v>
      </c>
    </row>
    <row r="114" spans="1:34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tr" cm="1">
        <f t="array" ref="U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4" t="str" cm="1">
        <f t="array" ref="V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  <c r="AF114">
        <f>AVERAGE(Table1[[#This Row],[Range2_Low]:[Range2_High]])</f>
        <v>0</v>
      </c>
      <c r="AG114">
        <f>AVERAGE(Table1[[#This Row],[Range1_Low]:[Range1_High]])</f>
        <v>5500000</v>
      </c>
      <c r="AH114">
        <v>1</v>
      </c>
    </row>
    <row r="115" spans="1:34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tr" cm="1">
        <f t="array" ref="U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5" t="str" cm="1">
        <f t="array" ref="V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  <c r="AF115">
        <f>AVERAGE(Table1[[#This Row],[Range2_Low]:[Range2_High]])</f>
        <v>0</v>
      </c>
      <c r="AG115">
        <f>AVERAGE(Table1[[#This Row],[Range1_Low]:[Range1_High]])</f>
        <v>5500000</v>
      </c>
      <c r="AH115">
        <v>1</v>
      </c>
    </row>
    <row r="116" spans="1:34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tr" cm="1">
        <f t="array" ref="U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6" t="str" cm="1">
        <f t="array" ref="V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  <c r="AF116">
        <f>AVERAGE(Table1[[#This Row],[Range2_Low]:[Range2_High]])</f>
        <v>0</v>
      </c>
      <c r="AG116">
        <f>AVERAGE(Table1[[#This Row],[Range1_Low]:[Range1_High]])</f>
        <v>5500000</v>
      </c>
      <c r="AH116">
        <v>1</v>
      </c>
    </row>
    <row r="117" spans="1:34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tr" cm="1">
        <f t="array" ref="U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Ω</v>
      </c>
      <c r="V117" t="str" cm="1">
        <f t="array" ref="V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Ω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  <c r="AF117">
        <f>AVERAGE(Table1[[#This Row],[Range2_Low]:[Range2_High]])</f>
        <v>0</v>
      </c>
      <c r="AG117">
        <f>AVERAGE(Table1[[#This Row],[Range1_Low]:[Range1_High]])</f>
        <v>5500000</v>
      </c>
      <c r="AH117">
        <v>1</v>
      </c>
    </row>
    <row r="118" spans="1:34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tr" cm="1">
        <f t="array" ref="U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8" t="str" cm="1">
        <f t="array" ref="V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  <c r="AF118">
        <f>AVERAGE(Table1[[#This Row],[Range2_Low]:[Range2_High]])</f>
        <v>0</v>
      </c>
      <c r="AG118">
        <f>AVERAGE(Table1[[#This Row],[Range1_Low]:[Range1_High]])</f>
        <v>5500000</v>
      </c>
      <c r="AH118">
        <v>1</v>
      </c>
    </row>
    <row r="119" spans="1:34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tr" cm="1">
        <f t="array" ref="U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V119" t="str" cm="1">
        <f t="array" ref="V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  <c r="AF119">
        <f>AVERAGE(Table1[[#This Row],[Range2_Low]:[Range2_High]])</f>
        <v>0</v>
      </c>
      <c r="AG119">
        <f>AVERAGE(Table1[[#This Row],[Range1_Low]:[Range1_High]])</f>
        <v>5500000</v>
      </c>
      <c r="AH119">
        <v>1</v>
      </c>
    </row>
    <row r="120" spans="1:34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194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tr" cm="1">
        <f t="array" ref="U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0" t="str" cm="1">
        <f t="array" ref="V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  <c r="AF120">
        <f>AVERAGE(Table1[[#This Row],[Range2_Low]:[Range2_High]])</f>
        <v>0</v>
      </c>
      <c r="AG120">
        <f>AVERAGE(Table1[[#This Row],[Range1_Low]:[Range1_High]])</f>
        <v>55000000</v>
      </c>
      <c r="AH120">
        <v>1</v>
      </c>
    </row>
    <row r="121" spans="1:34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194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tr" cm="1">
        <f t="array" ref="U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1" t="str" cm="1">
        <f t="array" ref="V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  <c r="AF121">
        <f>AVERAGE(Table1[[#This Row],[Range2_Low]:[Range2_High]])</f>
        <v>0</v>
      </c>
      <c r="AG121">
        <f>AVERAGE(Table1[[#This Row],[Range1_Low]:[Range1_High]])</f>
        <v>55000000</v>
      </c>
      <c r="AH121">
        <v>1</v>
      </c>
    </row>
    <row r="122" spans="1:34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194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tr" cm="1">
        <f t="array" ref="U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2" t="str" cm="1">
        <f t="array" ref="V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  <c r="AF122">
        <f>AVERAGE(Table1[[#This Row],[Range2_Low]:[Range2_High]])</f>
        <v>0</v>
      </c>
      <c r="AG122">
        <f>AVERAGE(Table1[[#This Row],[Range1_Low]:[Range1_High]])</f>
        <v>55000000</v>
      </c>
      <c r="AH122">
        <v>1</v>
      </c>
    </row>
    <row r="123" spans="1:34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194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tr" cm="1">
        <f t="array" ref="U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kΩ</v>
      </c>
      <c r="V123" t="str" cm="1">
        <f t="array" ref="V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  <c r="AF123">
        <f>AVERAGE(Table1[[#This Row],[Range2_Low]:[Range2_High]])</f>
        <v>0</v>
      </c>
      <c r="AG123">
        <f>AVERAGE(Table1[[#This Row],[Range1_Low]:[Range1_High]])</f>
        <v>55000000</v>
      </c>
      <c r="AH123">
        <v>1</v>
      </c>
    </row>
    <row r="124" spans="1:34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194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tr" cm="1">
        <f t="array" ref="U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kΩ</v>
      </c>
      <c r="V124" t="str" cm="1">
        <f t="array" ref="V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kΩ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  <c r="AF124">
        <f>AVERAGE(Table1[[#This Row],[Range2_Low]:[Range2_High]])</f>
        <v>0</v>
      </c>
      <c r="AG124">
        <f>AVERAGE(Table1[[#This Row],[Range1_Low]:[Range1_High]])</f>
        <v>55000000</v>
      </c>
      <c r="AH124">
        <v>1</v>
      </c>
    </row>
    <row r="125" spans="1:34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194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tr" cm="1">
        <f t="array" ref="U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125" t="str" cm="1">
        <f t="array" ref="V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  <c r="AF125">
        <f>AVERAGE(Table1[[#This Row],[Range2_Low]:[Range2_High]])</f>
        <v>0</v>
      </c>
      <c r="AG125">
        <f>AVERAGE(Table1[[#This Row],[Range1_Low]:[Range1_High]])</f>
        <v>55000000</v>
      </c>
      <c r="AH125">
        <v>1</v>
      </c>
    </row>
    <row r="126" spans="1:34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194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tr" cm="1">
        <f t="array" ref="U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6" t="str" cm="1">
        <f t="array" ref="V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  <c r="AF126">
        <f>AVERAGE(Table1[[#This Row],[Range2_Low]:[Range2_High]])</f>
        <v>0</v>
      </c>
      <c r="AG126">
        <f>AVERAGE(Table1[[#This Row],[Range1_Low]:[Range1_High]])</f>
        <v>550000000</v>
      </c>
      <c r="AH126">
        <v>1</v>
      </c>
    </row>
    <row r="127" spans="1:34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194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tr" cm="1">
        <f t="array" ref="U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7" t="str" cm="1">
        <f t="array" ref="V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  <c r="AF127">
        <f>AVERAGE(Table1[[#This Row],[Range2_Low]:[Range2_High]])</f>
        <v>0</v>
      </c>
      <c r="AG127">
        <f>AVERAGE(Table1[[#This Row],[Range1_Low]:[Range1_High]])</f>
        <v>550000000</v>
      </c>
      <c r="AH127">
        <v>1</v>
      </c>
    </row>
    <row r="128" spans="1:34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194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tr" cm="1">
        <f t="array" ref="U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8" t="str" cm="1">
        <f t="array" ref="V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  <c r="AF128">
        <f>AVERAGE(Table1[[#This Row],[Range2_Low]:[Range2_High]])</f>
        <v>0</v>
      </c>
      <c r="AG128">
        <f>AVERAGE(Table1[[#This Row],[Range1_Low]:[Range1_High]])</f>
        <v>550000000</v>
      </c>
      <c r="AH128">
        <v>1</v>
      </c>
    </row>
    <row r="129" spans="1:34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194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tr" cm="1">
        <f t="array" ref="U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9" t="str" cm="1">
        <f t="array" ref="V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  <c r="AF129">
        <f>AVERAGE(Table1[[#This Row],[Range2_Low]:[Range2_High]])</f>
        <v>0</v>
      </c>
      <c r="AG129">
        <f>AVERAGE(Table1[[#This Row],[Range1_Low]:[Range1_High]])</f>
        <v>550000000</v>
      </c>
      <c r="AH129">
        <v>1</v>
      </c>
    </row>
    <row r="130" spans="1:34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194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tr" cm="1">
        <f t="array" ref="U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kΩ</v>
      </c>
      <c r="V130" t="str" cm="1">
        <f t="array" ref="V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  <c r="AF130">
        <f>AVERAGE(Table1[[#This Row],[Range2_Low]:[Range2_High]])</f>
        <v>0</v>
      </c>
      <c r="AG130">
        <f>AVERAGE(Table1[[#This Row],[Range1_Low]:[Range1_High]])</f>
        <v>550000000</v>
      </c>
      <c r="AH130">
        <v>1</v>
      </c>
    </row>
    <row r="131" spans="1:34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194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tr" cm="1">
        <f t="array" ref="U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131" t="str" cm="1">
        <f t="array" ref="V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  <c r="AF131">
        <f>AVERAGE(Table1[[#This Row],[Range2_Low]:[Range2_High]])</f>
        <v>0</v>
      </c>
      <c r="AG131">
        <f>AVERAGE(Table1[[#This Row],[Range1_Low]:[Range1_High]])</f>
        <v>550000000</v>
      </c>
      <c r="AH131">
        <v>1</v>
      </c>
    </row>
    <row r="132" spans="1:34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tr" cm="1">
        <f t="array" ref="U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2" t="str" cm="1">
        <f t="array" ref="V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  <c r="AF132">
        <f>AVERAGE(Table1[[#This Row],[Range2_Low]:[Range2_High]])</f>
        <v>0</v>
      </c>
      <c r="AG132">
        <f>AVERAGE(Table1[[#This Row],[Range1_Low]:[Range1_High]])</f>
        <v>20</v>
      </c>
      <c r="AH132">
        <v>1</v>
      </c>
    </row>
    <row r="133" spans="1:34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tr" cm="1">
        <f t="array" ref="U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3" t="str" cm="1">
        <f t="array" ref="V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  <c r="AF133">
        <f>AVERAGE(Table1[[#This Row],[Range2_Low]:[Range2_High]])</f>
        <v>0</v>
      </c>
      <c r="AG133">
        <f>AVERAGE(Table1[[#This Row],[Range1_Low]:[Range1_High]])</f>
        <v>20</v>
      </c>
      <c r="AH133">
        <v>1</v>
      </c>
    </row>
    <row r="134" spans="1:34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tr" cm="1">
        <f t="array" ref="U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4" t="str" cm="1">
        <f t="array" ref="V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  <c r="AF134">
        <f>AVERAGE(Table1[[#This Row],[Range2_Low]:[Range2_High]])</f>
        <v>0</v>
      </c>
      <c r="AG134">
        <f>AVERAGE(Table1[[#This Row],[Range1_Low]:[Range1_High]])</f>
        <v>20</v>
      </c>
      <c r="AH134">
        <v>1</v>
      </c>
    </row>
    <row r="135" spans="1:34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tr" cm="1">
        <f t="array" ref="U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0.00000023 Hz</v>
      </c>
      <c r="V135" t="str" cm="1">
        <f t="array" ref="V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0.00000024 Hz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  <c r="AF135">
        <f>AVERAGE(Table1[[#This Row],[Range2_Low]:[Range2_High]])</f>
        <v>0</v>
      </c>
      <c r="AG135">
        <f>AVERAGE(Table1[[#This Row],[Range1_Low]:[Range1_High]])</f>
        <v>20</v>
      </c>
      <c r="AH135">
        <v>1</v>
      </c>
    </row>
    <row r="136" spans="1:34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tr" cm="1">
        <f t="array" ref="U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V136" t="str" cm="1">
        <f t="array" ref="V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  <c r="AF136">
        <f>AVERAGE(Table1[[#This Row],[Range2_Low]:[Range2_High]])</f>
        <v>0</v>
      </c>
      <c r="AG136">
        <f>AVERAGE(Table1[[#This Row],[Range1_Low]:[Range1_High]])</f>
        <v>20</v>
      </c>
      <c r="AH136">
        <v>1</v>
      </c>
    </row>
    <row r="137" spans="1:34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tr" cm="1">
        <f t="array" ref="U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V137" t="str" cm="1">
        <f t="array" ref="V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  <c r="AF137">
        <f>AVERAGE(Table1[[#This Row],[Range2_Low]:[Range2_High]])</f>
        <v>0</v>
      </c>
      <c r="AG137">
        <f>AVERAGE(Table1[[#This Row],[Range1_Low]:[Range1_High]])</f>
        <v>20</v>
      </c>
      <c r="AH137">
        <v>1</v>
      </c>
    </row>
    <row r="138" spans="1:34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tr" cm="1">
        <f t="array" ref="U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V138" t="str" cm="1">
        <f t="array" ref="V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  <c r="AF138">
        <f>AVERAGE(Table1[[#This Row],[Range2_Low]:[Range2_High]])</f>
        <v>0</v>
      </c>
      <c r="AG138">
        <f>AVERAGE(Table1[[#This Row],[Range1_Low]:[Range1_High]])</f>
        <v>20</v>
      </c>
      <c r="AH138">
        <v>1</v>
      </c>
    </row>
    <row r="139" spans="1:34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tr" cm="1">
        <f t="array" ref="U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39" t="str" cm="1">
        <f t="array" ref="V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  <c r="AF139">
        <f>AVERAGE(Table1[[#This Row],[Range2_Low]:[Range2_High]])</f>
        <v>0</v>
      </c>
      <c r="AG139">
        <f>AVERAGE(Table1[[#This Row],[Range1_Low]:[Range1_High]])</f>
        <v>20</v>
      </c>
      <c r="AH139">
        <v>1</v>
      </c>
    </row>
    <row r="140" spans="1:34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tr" cm="1">
        <f t="array" ref="U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40" t="str" cm="1">
        <f t="array" ref="V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  <c r="AF140">
        <f>AVERAGE(Table1[[#This Row],[Range2_Low]:[Range2_High]])</f>
        <v>0</v>
      </c>
      <c r="AG140">
        <f>AVERAGE(Table1[[#This Row],[Range1_Low]:[Range1_High]])</f>
        <v>20</v>
      </c>
      <c r="AH140">
        <v>1</v>
      </c>
    </row>
    <row r="141" spans="1:34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tr" cm="1">
        <f t="array" ref="U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41" t="str" cm="1">
        <f t="array" ref="V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  <c r="AF141">
        <f>AVERAGE(Table1[[#This Row],[Range2_Low]:[Range2_High]])</f>
        <v>0</v>
      </c>
      <c r="AG141">
        <f>AVERAGE(Table1[[#This Row],[Range1_Low]:[Range1_High]])</f>
        <v>20</v>
      </c>
      <c r="AH141">
        <v>1</v>
      </c>
    </row>
    <row r="142" spans="1:34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tr" cm="1">
        <f t="array" ref="U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42" t="str" cm="1">
        <f t="array" ref="V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  <c r="AF142">
        <f>AVERAGE(Table1[[#This Row],[Range2_Low]:[Range2_High]])</f>
        <v>0</v>
      </c>
      <c r="AG142">
        <f>AVERAGE(Table1[[#This Row],[Range1_Low]:[Range1_High]])</f>
        <v>20</v>
      </c>
      <c r="AH142">
        <v>1</v>
      </c>
    </row>
    <row r="143" spans="1:34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tr" cm="1">
        <f t="array" ref="U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3" t="str" cm="1">
        <f t="array" ref="V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0.000089 Hz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  <c r="AF143">
        <f>AVERAGE(Table1[[#This Row],[Range2_Low]:[Range2_High]])</f>
        <v>0</v>
      </c>
      <c r="AG143">
        <f>AVERAGE(Table1[[#This Row],[Range1_Low]:[Range1_High]])</f>
        <v>520</v>
      </c>
      <c r="AH143">
        <v>1</v>
      </c>
    </row>
    <row r="144" spans="1:34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tr" cm="1">
        <f t="array" ref="U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4" t="str" cm="1">
        <f t="array" ref="V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0.000088 Hz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  <c r="AF144">
        <f>AVERAGE(Table1[[#This Row],[Range2_Low]:[Range2_High]])</f>
        <v>0</v>
      </c>
      <c r="AG144">
        <f>AVERAGE(Table1[[#This Row],[Range1_Low]:[Range1_High]])</f>
        <v>520</v>
      </c>
      <c r="AH144">
        <v>1</v>
      </c>
    </row>
    <row r="145" spans="1:34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tr" cm="1">
        <f t="array" ref="U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0.000076 Hz</v>
      </c>
      <c r="V145" t="str" cm="1">
        <f t="array" ref="V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0.00012 Hz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  <c r="AF145">
        <f>AVERAGE(Table1[[#This Row],[Range2_Low]:[Range2_High]])</f>
        <v>0</v>
      </c>
      <c r="AG145">
        <f>AVERAGE(Table1[[#This Row],[Range1_Low]:[Range1_High]])</f>
        <v>520</v>
      </c>
      <c r="AH145">
        <v>1</v>
      </c>
    </row>
    <row r="146" spans="1:34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tr" cm="1">
        <f t="array" ref="U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0.0006 Hz</v>
      </c>
      <c r="V146" t="str" cm="1">
        <f t="array" ref="V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0.00077 Hz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  <c r="AF146">
        <f>AVERAGE(Table1[[#This Row],[Range2_Low]:[Range2_High]])</f>
        <v>0</v>
      </c>
      <c r="AG146">
        <f>AVERAGE(Table1[[#This Row],[Range1_Low]:[Range1_High]])</f>
        <v>520</v>
      </c>
      <c r="AH146">
        <v>1</v>
      </c>
    </row>
    <row r="147" spans="1:34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tr" cm="1">
        <f t="array" ref="U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V147" t="str" cm="1">
        <f t="array" ref="V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0.0077 Hz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  <c r="AF147">
        <f>AVERAGE(Table1[[#This Row],[Range2_Low]:[Range2_High]])</f>
        <v>0</v>
      </c>
      <c r="AG147">
        <f>AVERAGE(Table1[[#This Row],[Range1_Low]:[Range1_High]])</f>
        <v>520</v>
      </c>
      <c r="AH147">
        <v>1</v>
      </c>
    </row>
    <row r="148" spans="1:34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tr" cm="1">
        <f t="array" ref="U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Hz</v>
      </c>
      <c r="V148" t="str" cm="1">
        <f t="array" ref="V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0.093 Hz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  <c r="AF148">
        <f>AVERAGE(Table1[[#This Row],[Range2_Low]:[Range2_High]])</f>
        <v>0</v>
      </c>
      <c r="AG148">
        <f>AVERAGE(Table1[[#This Row],[Range1_Low]:[Range1_High]])</f>
        <v>520</v>
      </c>
      <c r="AH148">
        <v>1</v>
      </c>
    </row>
    <row r="149" spans="1:34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tr" cm="1">
        <f t="array" ref="U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49" t="str" cm="1">
        <f t="array" ref="V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  <c r="AF149">
        <f>AVERAGE(Table1[[#This Row],[Range2_Low]:[Range2_High]])</f>
        <v>0</v>
      </c>
      <c r="AG149">
        <f>AVERAGE(Table1[[#This Row],[Range1_Low]:[Range1_High]])</f>
        <v>5500</v>
      </c>
      <c r="AH149">
        <v>1</v>
      </c>
    </row>
    <row r="150" spans="1:34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tr" cm="1">
        <f t="array" ref="U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50" t="str" cm="1">
        <f t="array" ref="V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 Hz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  <c r="AF150">
        <f>AVERAGE(Table1[[#This Row],[Range2_Low]:[Range2_High]])</f>
        <v>0</v>
      </c>
      <c r="AG150">
        <f>AVERAGE(Table1[[#This Row],[Range1_Low]:[Range1_High]])</f>
        <v>5500</v>
      </c>
      <c r="AH150">
        <v>1</v>
      </c>
    </row>
    <row r="151" spans="1:34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tr" cm="1">
        <f t="array" ref="U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0.00053 Hz</v>
      </c>
      <c r="V151" t="str" cm="1">
        <f t="array" ref="V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  <c r="AF151">
        <f>AVERAGE(Table1[[#This Row],[Range2_Low]:[Range2_High]])</f>
        <v>0</v>
      </c>
      <c r="AG151">
        <f>AVERAGE(Table1[[#This Row],[Range1_Low]:[Range1_High]])</f>
        <v>5500</v>
      </c>
      <c r="AH151">
        <v>1</v>
      </c>
    </row>
    <row r="152" spans="1:34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tr" cm="1">
        <f t="array" ref="U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0.0011 Hz</v>
      </c>
      <c r="V152" t="str" cm="1">
        <f t="array" ref="V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0.0013 Hz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  <c r="AF152">
        <f>AVERAGE(Table1[[#This Row],[Range2_Low]:[Range2_High]])</f>
        <v>0</v>
      </c>
      <c r="AG152">
        <f>AVERAGE(Table1[[#This Row],[Range1_Low]:[Range1_High]])</f>
        <v>5500</v>
      </c>
      <c r="AH152">
        <v>1</v>
      </c>
    </row>
    <row r="153" spans="1:34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tr" cm="1">
        <f t="array" ref="U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53" t="str" cm="1">
        <f t="array" ref="V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  <c r="AF153">
        <f>AVERAGE(Table1[[#This Row],[Range2_Low]:[Range2_High]])</f>
        <v>0</v>
      </c>
      <c r="AG153">
        <f>AVERAGE(Table1[[#This Row],[Range1_Low]:[Range1_High]])</f>
        <v>5500</v>
      </c>
      <c r="AH153">
        <v>1</v>
      </c>
    </row>
    <row r="154" spans="1:34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tr" cm="1">
        <f t="array" ref="U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54" t="str" cm="1">
        <f t="array" ref="V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  <c r="AF154">
        <f>AVERAGE(Table1[[#This Row],[Range2_Low]:[Range2_High]])</f>
        <v>0</v>
      </c>
      <c r="AG154">
        <f>AVERAGE(Table1[[#This Row],[Range1_Low]:[Range1_High]])</f>
        <v>5500</v>
      </c>
      <c r="AH154">
        <v>1</v>
      </c>
    </row>
    <row r="155" spans="1:34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tr" cm="1">
        <f t="array" ref="U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0.00000032 Hz</v>
      </c>
      <c r="V155" t="str" cm="1">
        <f t="array" ref="V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0.00000053 Hz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  <c r="AF155">
        <f>AVERAGE(Table1[[#This Row],[Range2_Low]:[Range2_High]])</f>
        <v>0</v>
      </c>
      <c r="AG155">
        <f>AVERAGE(Table1[[#This Row],[Range1_Low]:[Range1_High]])</f>
        <v>55000</v>
      </c>
      <c r="AH155">
        <v>1</v>
      </c>
    </row>
    <row r="156" spans="1:34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tr" cm="1">
        <f t="array" ref="U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0.000057 Hz</v>
      </c>
      <c r="V156" t="str" cm="1">
        <f t="array" ref="V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0.000099 Hz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  <c r="AF156">
        <f>AVERAGE(Table1[[#This Row],[Range2_Low]:[Range2_High]])</f>
        <v>0</v>
      </c>
      <c r="AG156">
        <f>AVERAGE(Table1[[#This Row],[Range1_Low]:[Range1_High]])</f>
        <v>55000</v>
      </c>
      <c r="AH156">
        <v>1</v>
      </c>
    </row>
    <row r="157" spans="1:34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tr" cm="1">
        <f t="array" ref="U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0.0056 Hz</v>
      </c>
      <c r="V157" t="str" cm="1">
        <f t="array" ref="V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0.0096 Hz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  <c r="AF157">
        <f>AVERAGE(Table1[[#This Row],[Range2_Low]:[Range2_High]])</f>
        <v>0</v>
      </c>
      <c r="AG157">
        <f>AVERAGE(Table1[[#This Row],[Range1_Low]:[Range1_High]])</f>
        <v>55000</v>
      </c>
      <c r="AH157">
        <v>1</v>
      </c>
    </row>
    <row r="158" spans="1:34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tr" cm="1">
        <f t="array" ref="U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Hz</v>
      </c>
      <c r="V158" t="str" cm="1">
        <f t="array" ref="V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Hz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  <c r="AF158">
        <f>AVERAGE(Table1[[#This Row],[Range2_Low]:[Range2_High]])</f>
        <v>0</v>
      </c>
      <c r="AG158">
        <f>AVERAGE(Table1[[#This Row],[Range1_Low]:[Range1_High]])</f>
        <v>55000</v>
      </c>
      <c r="AH158">
        <v>1</v>
      </c>
    </row>
    <row r="159" spans="1:34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tr" cm="1">
        <f t="array" ref="U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Hz</v>
      </c>
      <c r="V159" t="str" cm="1">
        <f t="array" ref="V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Hz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  <c r="AF159">
        <f>AVERAGE(Table1[[#This Row],[Range2_Low]:[Range2_High]])</f>
        <v>0</v>
      </c>
      <c r="AG159">
        <f>AVERAGE(Table1[[#This Row],[Range1_Low]:[Range1_High]])</f>
        <v>55000</v>
      </c>
      <c r="AH159">
        <v>1</v>
      </c>
    </row>
    <row r="160" spans="1:34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tr" cm="1">
        <f t="array" ref="U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Hz</v>
      </c>
      <c r="V160" t="str" cm="1">
        <f t="array" ref="V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 Hz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  <c r="AF160">
        <f>AVERAGE(Table1[[#This Row],[Range2_Low]:[Range2_High]])</f>
        <v>0</v>
      </c>
      <c r="AG160">
        <f>AVERAGE(Table1[[#This Row],[Range1_Low]:[Range1_High]])</f>
        <v>55000</v>
      </c>
      <c r="AH160">
        <v>1</v>
      </c>
    </row>
    <row r="161" spans="1:34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tr" cm="1">
        <f t="array" ref="U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Hz</v>
      </c>
      <c r="V161" t="str" cm="1">
        <f t="array" ref="V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Hz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  <c r="AF161">
        <f>AVERAGE(Table1[[#This Row],[Range2_Low]:[Range2_High]])</f>
        <v>0</v>
      </c>
      <c r="AG161">
        <f>AVERAGE(Table1[[#This Row],[Range1_Low]:[Range1_High]])</f>
        <v>55000</v>
      </c>
      <c r="AH161">
        <v>1</v>
      </c>
    </row>
    <row r="162" spans="1:34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tr" cm="1">
        <f t="array" ref="U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2" t="str" cm="1">
        <f t="array" ref="V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  <c r="AF162">
        <f>AVERAGE(Table1[[#This Row],[Range2_Low]:[Range2_High]])</f>
        <v>0</v>
      </c>
      <c r="AG162">
        <f>AVERAGE(Table1[[#This Row],[Range1_Low]:[Range1_High]])</f>
        <v>550000</v>
      </c>
      <c r="AH162">
        <v>1</v>
      </c>
    </row>
    <row r="163" spans="1:34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tr" cm="1">
        <f t="array" ref="U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3" t="str" cm="1">
        <f t="array" ref="V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Hz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  <c r="AF163">
        <f>AVERAGE(Table1[[#This Row],[Range2_Low]:[Range2_High]])</f>
        <v>0</v>
      </c>
      <c r="AG163">
        <f>AVERAGE(Table1[[#This Row],[Range1_Low]:[Range1_High]])</f>
        <v>550000</v>
      </c>
      <c r="AH163">
        <v>1</v>
      </c>
    </row>
    <row r="164" spans="1:34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tr" cm="1">
        <f t="array" ref="U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0.053 Hz</v>
      </c>
      <c r="V164" t="str" cm="1">
        <f t="array" ref="V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  <c r="AF164">
        <f>AVERAGE(Table1[[#This Row],[Range2_Low]:[Range2_High]])</f>
        <v>0</v>
      </c>
      <c r="AG164">
        <f>AVERAGE(Table1[[#This Row],[Range1_Low]:[Range1_High]])</f>
        <v>550000</v>
      </c>
      <c r="AH164">
        <v>1</v>
      </c>
    </row>
    <row r="165" spans="1:34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tr" cm="1">
        <f t="array" ref="U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Hz</v>
      </c>
      <c r="V165" t="str" cm="1">
        <f t="array" ref="V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Hz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  <c r="AF165">
        <f>AVERAGE(Table1[[#This Row],[Range2_Low]:[Range2_High]])</f>
        <v>0</v>
      </c>
      <c r="AG165">
        <f>AVERAGE(Table1[[#This Row],[Range1_Low]:[Range1_High]])</f>
        <v>550000</v>
      </c>
      <c r="AH165">
        <v>1</v>
      </c>
    </row>
    <row r="166" spans="1:34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tr" cm="1">
        <f t="array" ref="U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66" t="str" cm="1">
        <f t="array" ref="V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Hz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  <c r="AF166">
        <f>AVERAGE(Table1[[#This Row],[Range2_Low]:[Range2_High]])</f>
        <v>0</v>
      </c>
      <c r="AG166">
        <f>AVERAGE(Table1[[#This Row],[Range1_Low]:[Range1_High]])</f>
        <v>550000</v>
      </c>
      <c r="AH166">
        <v>1</v>
      </c>
    </row>
    <row r="167" spans="1:34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tr" cm="1">
        <f t="array" ref="U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67" t="str" cm="1">
        <f t="array" ref="V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  <c r="AF167">
        <f>AVERAGE(Table1[[#This Row],[Range2_Low]:[Range2_High]])</f>
        <v>0</v>
      </c>
      <c r="AG167">
        <f>AVERAGE(Table1[[#This Row],[Range1_Low]:[Range1_High]])</f>
        <v>550000</v>
      </c>
      <c r="AH167">
        <v>1</v>
      </c>
    </row>
    <row r="168" spans="1:34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tr" cm="1">
        <f t="array" ref="U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8" t="str" cm="1">
        <f t="array" ref="V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  <c r="AF168">
        <f>AVERAGE(Table1[[#This Row],[Range2_Low]:[Range2_High]])</f>
        <v>0</v>
      </c>
      <c r="AG168">
        <f>AVERAGE(Table1[[#This Row],[Range1_Low]:[Range1_High]])</f>
        <v>5500000</v>
      </c>
      <c r="AH168">
        <v>1</v>
      </c>
    </row>
    <row r="169" spans="1:34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tr" cm="1">
        <f t="array" ref="U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9" t="str" cm="1">
        <f t="array" ref="V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Hz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  <c r="AF169">
        <f>AVERAGE(Table1[[#This Row],[Range2_Low]:[Range2_High]])</f>
        <v>0</v>
      </c>
      <c r="AG169">
        <f>AVERAGE(Table1[[#This Row],[Range1_Low]:[Range1_High]])</f>
        <v>5500000</v>
      </c>
      <c r="AH169">
        <v>1</v>
      </c>
    </row>
    <row r="170" spans="1:34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tr" cm="1">
        <f t="array" ref="U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Hz</v>
      </c>
      <c r="V170" t="str" cm="1">
        <f t="array" ref="V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  <c r="AF170">
        <f>AVERAGE(Table1[[#This Row],[Range2_Low]:[Range2_High]])</f>
        <v>0</v>
      </c>
      <c r="AG170">
        <f>AVERAGE(Table1[[#This Row],[Range1_Low]:[Range1_High]])</f>
        <v>5500000</v>
      </c>
      <c r="AH170">
        <v>1</v>
      </c>
    </row>
    <row r="171" spans="1:34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tr" cm="1">
        <f t="array" ref="U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Hz</v>
      </c>
      <c r="V171" t="str" cm="1">
        <f t="array" ref="V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Hz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  <c r="AF171">
        <f>AVERAGE(Table1[[#This Row],[Range2_Low]:[Range2_High]])</f>
        <v>0</v>
      </c>
      <c r="AG171">
        <f>AVERAGE(Table1[[#This Row],[Range1_Low]:[Range1_High]])</f>
        <v>5500000</v>
      </c>
      <c r="AH171">
        <v>1</v>
      </c>
    </row>
    <row r="172" spans="1:34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tr" cm="1">
        <f t="array" ref="U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72" t="str" cm="1">
        <f t="array" ref="V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Hz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  <c r="AF172">
        <f>AVERAGE(Table1[[#This Row],[Range2_Low]:[Range2_High]])</f>
        <v>0</v>
      </c>
      <c r="AG172">
        <f>AVERAGE(Table1[[#This Row],[Range1_Low]:[Range1_High]])</f>
        <v>5500000</v>
      </c>
      <c r="AH172">
        <v>1</v>
      </c>
    </row>
    <row r="173" spans="1:34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tr" cm="1">
        <f t="array" ref="U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73" t="str" cm="1">
        <f t="array" ref="V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  <c r="AF173">
        <f>AVERAGE(Table1[[#This Row],[Range2_Low]:[Range2_High]])</f>
        <v>0</v>
      </c>
      <c r="AG173">
        <f>AVERAGE(Table1[[#This Row],[Range1_Low]:[Range1_High]])</f>
        <v>5500000</v>
      </c>
      <c r="AH173">
        <v>1</v>
      </c>
    </row>
    <row r="174" spans="1:34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167</v>
      </c>
      <c r="U174" t="str" cm="1">
        <f t="array" ref="U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V174" t="str" cm="1">
        <f t="array" ref="V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  <c r="AF174">
        <f>AVERAGE(Table1[[#This Row],[Range2_Low]:[Range2_High]])</f>
        <v>0</v>
      </c>
      <c r="AG174">
        <f>AVERAGE(Table1[[#This Row],[Range1_Low]:[Range1_High]])</f>
        <v>-427.00049999999999</v>
      </c>
      <c r="AH174">
        <v>1</v>
      </c>
    </row>
    <row r="175" spans="1:34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167</v>
      </c>
      <c r="U175" t="str" cm="1">
        <f t="array" ref="U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75" t="str" cm="1">
        <f t="array" ref="V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  <c r="AF175">
        <f>AVERAGE(Table1[[#This Row],[Range2_Low]:[Range2_High]])</f>
        <v>0</v>
      </c>
      <c r="AG175">
        <f>AVERAGE(Table1[[#This Row],[Range1_Low]:[Range1_High]])</f>
        <v>-427.00049999999999</v>
      </c>
      <c r="AH175">
        <v>1</v>
      </c>
    </row>
    <row r="176" spans="1:34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167</v>
      </c>
      <c r="U176" t="str" cm="1">
        <f t="array" ref="U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76" t="str" cm="1">
        <f t="array" ref="V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  <c r="AF176">
        <f>AVERAGE(Table1[[#This Row],[Range2_Low]:[Range2_High]])</f>
        <v>0</v>
      </c>
      <c r="AG176">
        <f>AVERAGE(Table1[[#This Row],[Range1_Low]:[Range1_High]])</f>
        <v>-100.0005</v>
      </c>
      <c r="AH176">
        <v>1</v>
      </c>
    </row>
    <row r="177" spans="1:34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167</v>
      </c>
      <c r="U177" t="str" cm="1">
        <f t="array" ref="U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77" t="str" cm="1">
        <f t="array" ref="V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  <c r="AF177">
        <f>AVERAGE(Table1[[#This Row],[Range2_Low]:[Range2_High]])</f>
        <v>0</v>
      </c>
      <c r="AG177">
        <f>AVERAGE(Table1[[#This Row],[Range1_Low]:[Range1_High]])</f>
        <v>-100.0005</v>
      </c>
      <c r="AH177">
        <v>1</v>
      </c>
    </row>
    <row r="178" spans="1:34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167</v>
      </c>
      <c r="U178" t="str" cm="1">
        <f t="array" ref="U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178" t="str" cm="1">
        <f t="array" ref="V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  <c r="AF178">
        <f>AVERAGE(Table1[[#This Row],[Range2_Low]:[Range2_High]])</f>
        <v>0</v>
      </c>
      <c r="AG178">
        <f>AVERAGE(Table1[[#This Row],[Range1_Low]:[Range1_High]])</f>
        <v>476</v>
      </c>
      <c r="AH178">
        <v>1</v>
      </c>
    </row>
    <row r="179" spans="1:34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167</v>
      </c>
      <c r="U179" t="str" cm="1">
        <f t="array" ref="U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79" t="str" cm="1">
        <f t="array" ref="V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  <c r="AF179">
        <f>AVERAGE(Table1[[#This Row],[Range2_Low]:[Range2_High]])</f>
        <v>0</v>
      </c>
      <c r="AG179">
        <f>AVERAGE(Table1[[#This Row],[Range1_Low]:[Range1_High]])</f>
        <v>476</v>
      </c>
      <c r="AH179">
        <v>1</v>
      </c>
    </row>
    <row r="180" spans="1:34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166</v>
      </c>
      <c r="U180" t="str" cm="1">
        <f t="array" ref="U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80" t="str" cm="1">
        <f t="array" ref="V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  <c r="AF180">
        <f>AVERAGE(Table1[[#This Row],[Range2_Low]:[Range2_High]])</f>
        <v>0</v>
      </c>
      <c r="AG180">
        <f>AVERAGE(Table1[[#This Row],[Range1_Low]:[Range1_High]])</f>
        <v>-13.000500000000001</v>
      </c>
      <c r="AH180">
        <v>1</v>
      </c>
    </row>
    <row r="181" spans="1:34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166</v>
      </c>
      <c r="U181" t="str" cm="1">
        <f t="array" ref="U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81" t="str" cm="1">
        <f t="array" ref="V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  <c r="AF181">
        <f>AVERAGE(Table1[[#This Row],[Range2_Low]:[Range2_High]])</f>
        <v>0</v>
      </c>
      <c r="AG181">
        <f>AVERAGE(Table1[[#This Row],[Range1_Low]:[Range1_High]])</f>
        <v>-13.000500000000001</v>
      </c>
      <c r="AH181">
        <v>1</v>
      </c>
    </row>
    <row r="182" spans="1:34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166</v>
      </c>
      <c r="U182" t="str" cm="1">
        <f t="array" ref="U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82" t="str" cm="1">
        <f t="array" ref="V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  <c r="AF182">
        <f>AVERAGE(Table1[[#This Row],[Range2_Low]:[Range2_High]])</f>
        <v>0</v>
      </c>
      <c r="AG182">
        <f>AVERAGE(Table1[[#This Row],[Range1_Low]:[Range1_High]])</f>
        <v>566</v>
      </c>
      <c r="AH182">
        <v>1</v>
      </c>
    </row>
    <row r="183" spans="1:34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166</v>
      </c>
      <c r="U183" t="str" cm="1">
        <f t="array" ref="U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83" t="str" cm="1">
        <f t="array" ref="V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  <c r="AF183">
        <f>AVERAGE(Table1[[#This Row],[Range2_Low]:[Range2_High]])</f>
        <v>0</v>
      </c>
      <c r="AG183">
        <f>AVERAGE(Table1[[#This Row],[Range1_Low]:[Range1_High]])</f>
        <v>566</v>
      </c>
      <c r="AH183">
        <v>1</v>
      </c>
    </row>
    <row r="184" spans="1:34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166</v>
      </c>
      <c r="U184" t="str" cm="1">
        <f t="array" ref="U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4" t="str" cm="1">
        <f t="array" ref="V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  <c r="AF184">
        <f>AVERAGE(Table1[[#This Row],[Range2_Low]:[Range2_High]])</f>
        <v>0</v>
      </c>
      <c r="AG184">
        <f>AVERAGE(Table1[[#This Row],[Range1_Low]:[Range1_High]])</f>
        <v>1650.0005000000001</v>
      </c>
      <c r="AH184">
        <v>1</v>
      </c>
    </row>
    <row r="185" spans="1:34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166</v>
      </c>
      <c r="U185" t="str" cm="1">
        <f t="array" ref="U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5" t="str" cm="1">
        <f t="array" ref="V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  <c r="AF185">
        <f>AVERAGE(Table1[[#This Row],[Range2_Low]:[Range2_High]])</f>
        <v>0</v>
      </c>
      <c r="AG185">
        <f>AVERAGE(Table1[[#This Row],[Range1_Low]:[Range1_High]])</f>
        <v>1650.0005000000001</v>
      </c>
      <c r="AH185">
        <v>1</v>
      </c>
    </row>
    <row r="186" spans="1:34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166</v>
      </c>
      <c r="U186" t="str" cm="1">
        <f t="array" ref="U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6" t="str" cm="1">
        <f t="array" ref="V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  <c r="AF186">
        <f>AVERAGE(Table1[[#This Row],[Range2_Low]:[Range2_High]])</f>
        <v>0</v>
      </c>
      <c r="AG186">
        <f>AVERAGE(Table1[[#This Row],[Range1_Low]:[Range1_High]])</f>
        <v>2707.0005000000001</v>
      </c>
      <c r="AH186">
        <v>1</v>
      </c>
    </row>
    <row r="187" spans="1:34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166</v>
      </c>
      <c r="U187" t="str" cm="1">
        <f t="array" ref="U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7" t="str" cm="1">
        <f t="array" ref="V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  <c r="AF187">
        <f>AVERAGE(Table1[[#This Row],[Range2_Low]:[Range2_High]])</f>
        <v>0</v>
      </c>
      <c r="AG187">
        <f>AVERAGE(Table1[[#This Row],[Range1_Low]:[Range1_High]])</f>
        <v>2707.0005000000001</v>
      </c>
      <c r="AH187">
        <v>1</v>
      </c>
    </row>
    <row r="188" spans="1:34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165</v>
      </c>
      <c r="U188" t="str" cm="1">
        <f t="array" ref="U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88" t="str" cm="1">
        <f t="array" ref="V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  <c r="AF188">
        <f>AVERAGE(Table1[[#This Row],[Range2_Low]:[Range2_High]])</f>
        <v>0</v>
      </c>
      <c r="AG188">
        <f>AVERAGE(Table1[[#This Row],[Range1_Low]:[Range1_High]])</f>
        <v>-13.000500000000001</v>
      </c>
      <c r="AH188">
        <v>1</v>
      </c>
    </row>
    <row r="189" spans="1:34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165</v>
      </c>
      <c r="U189" t="str" cm="1">
        <f t="array" ref="U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89" t="str" cm="1">
        <f t="array" ref="V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  <c r="AF189">
        <f>AVERAGE(Table1[[#This Row],[Range2_Low]:[Range2_High]])</f>
        <v>0</v>
      </c>
      <c r="AG189">
        <f>AVERAGE(Table1[[#This Row],[Range1_Low]:[Range1_High]])</f>
        <v>-13.000500000000001</v>
      </c>
      <c r="AH189">
        <v>1</v>
      </c>
    </row>
    <row r="190" spans="1:34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165</v>
      </c>
      <c r="U190" t="str" cm="1">
        <f t="array" ref="U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90" t="str" cm="1">
        <f t="array" ref="V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  <c r="AF190">
        <f>AVERAGE(Table1[[#This Row],[Range2_Low]:[Range2_High]])</f>
        <v>0</v>
      </c>
      <c r="AG190">
        <f>AVERAGE(Table1[[#This Row],[Range1_Low]:[Range1_High]])</f>
        <v>566</v>
      </c>
      <c r="AH190">
        <v>1</v>
      </c>
    </row>
    <row r="191" spans="1:34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165</v>
      </c>
      <c r="U191" t="str" cm="1">
        <f t="array" ref="U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91" t="str" cm="1">
        <f t="array" ref="V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  <c r="AF191">
        <f>AVERAGE(Table1[[#This Row],[Range2_Low]:[Range2_High]])</f>
        <v>0</v>
      </c>
      <c r="AG191">
        <f>AVERAGE(Table1[[#This Row],[Range1_Low]:[Range1_High]])</f>
        <v>566</v>
      </c>
      <c r="AH191">
        <v>1</v>
      </c>
    </row>
    <row r="192" spans="1:34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165</v>
      </c>
      <c r="U192" t="str" cm="1">
        <f t="array" ref="U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92" t="str" cm="1">
        <f t="array" ref="V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  <c r="AF192">
        <f>AVERAGE(Table1[[#This Row],[Range2_Low]:[Range2_High]])</f>
        <v>0</v>
      </c>
      <c r="AG192">
        <f>AVERAGE(Table1[[#This Row],[Range1_Low]:[Range1_High]])</f>
        <v>1650.0005000000001</v>
      </c>
      <c r="AH192">
        <v>1</v>
      </c>
    </row>
    <row r="193" spans="1:34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165</v>
      </c>
      <c r="U193" t="str" cm="1">
        <f t="array" ref="U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3" t="str" cm="1">
        <f t="array" ref="V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  <c r="AF193">
        <f>AVERAGE(Table1[[#This Row],[Range2_Low]:[Range2_High]])</f>
        <v>0</v>
      </c>
      <c r="AG193">
        <f>AVERAGE(Table1[[#This Row],[Range1_Low]:[Range1_High]])</f>
        <v>1650.0005000000001</v>
      </c>
      <c r="AH193">
        <v>1</v>
      </c>
    </row>
    <row r="194" spans="1:34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165</v>
      </c>
      <c r="U194" t="str" cm="1">
        <f t="array" ref="U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94" t="str" cm="1">
        <f t="array" ref="V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  <c r="AF194">
        <f>AVERAGE(Table1[[#This Row],[Range2_Low]:[Range2_High]])</f>
        <v>0</v>
      </c>
      <c r="AG194">
        <f>AVERAGE(Table1[[#This Row],[Range1_Low]:[Range1_High]])</f>
        <v>2707.0005000000001</v>
      </c>
      <c r="AH194">
        <v>1</v>
      </c>
    </row>
    <row r="195" spans="1:34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165</v>
      </c>
      <c r="U195" t="str" cm="1">
        <f t="array" ref="U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5" t="str" cm="1">
        <f t="array" ref="V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  <c r="AF195">
        <f>AVERAGE(Table1[[#This Row],[Range2_Low]:[Range2_High]])</f>
        <v>0</v>
      </c>
      <c r="AG195">
        <f>AVERAGE(Table1[[#This Row],[Range1_Low]:[Range1_High]])</f>
        <v>2707.0005000000001</v>
      </c>
      <c r="AH195">
        <v>1</v>
      </c>
    </row>
    <row r="196" spans="1:34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169</v>
      </c>
      <c r="U196" t="str" cm="1">
        <f t="array" ref="U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V196" t="str" cm="1">
        <f t="array" ref="V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  <c r="AF196">
        <f>AVERAGE(Table1[[#This Row],[Range2_Low]:[Range2_High]])</f>
        <v>0</v>
      </c>
      <c r="AG196">
        <f>AVERAGE(Table1[[#This Row],[Range1_Low]:[Range1_High]])</f>
        <v>-144</v>
      </c>
      <c r="AH196">
        <v>1</v>
      </c>
    </row>
    <row r="197" spans="1:34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169</v>
      </c>
      <c r="U197" t="str" cm="1">
        <f t="array" ref="U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V197" t="str" cm="1">
        <f t="array" ref="V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  <c r="AF197">
        <f>AVERAGE(Table1[[#This Row],[Range2_Low]:[Range2_High]])</f>
        <v>0</v>
      </c>
      <c r="AG197">
        <f>AVERAGE(Table1[[#This Row],[Range1_Low]:[Range1_High]])</f>
        <v>-144</v>
      </c>
      <c r="AH197">
        <v>1</v>
      </c>
    </row>
    <row r="198" spans="1:34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169</v>
      </c>
      <c r="U198" t="str" cm="1">
        <f t="array" ref="U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98" t="str" cm="1">
        <f t="array" ref="V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  <c r="AF198">
        <f>AVERAGE(Table1[[#This Row],[Range2_Low]:[Range2_High]])</f>
        <v>0</v>
      </c>
      <c r="AG198">
        <f>AVERAGE(Table1[[#This Row],[Range1_Low]:[Range1_High]])</f>
        <v>-144</v>
      </c>
      <c r="AH198">
        <v>1</v>
      </c>
    </row>
    <row r="199" spans="1:34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169</v>
      </c>
      <c r="U199" t="str" cm="1">
        <f t="array" ref="U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199" t="str" cm="1">
        <f t="array" ref="V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  <c r="AF199">
        <f>AVERAGE(Table1[[#This Row],[Range2_Low]:[Range2_High]])</f>
        <v>0</v>
      </c>
      <c r="AG199">
        <f>AVERAGE(Table1[[#This Row],[Range1_Low]:[Range1_High]])</f>
        <v>216.00049999999999</v>
      </c>
      <c r="AH199">
        <v>1</v>
      </c>
    </row>
    <row r="200" spans="1:34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169</v>
      </c>
      <c r="U200" t="str" cm="1">
        <f t="array" ref="U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00" t="str" cm="1">
        <f t="array" ref="V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  <c r="AF200">
        <f>AVERAGE(Table1[[#This Row],[Range2_Low]:[Range2_High]])</f>
        <v>0</v>
      </c>
      <c r="AG200">
        <f>AVERAGE(Table1[[#This Row],[Range1_Low]:[Range1_High]])</f>
        <v>216.00049999999999</v>
      </c>
      <c r="AH200">
        <v>1</v>
      </c>
    </row>
    <row r="201" spans="1:34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169</v>
      </c>
      <c r="U201" t="str" cm="1">
        <f t="array" ref="U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1" t="str" cm="1">
        <f t="array" ref="V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  <c r="AF201">
        <f>AVERAGE(Table1[[#This Row],[Range2_Low]:[Range2_High]])</f>
        <v>0</v>
      </c>
      <c r="AG201">
        <f>AVERAGE(Table1[[#This Row],[Range1_Low]:[Range1_High]])</f>
        <v>216.00049999999999</v>
      </c>
      <c r="AH201">
        <v>1</v>
      </c>
    </row>
    <row r="202" spans="1:34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169</v>
      </c>
      <c r="U202" t="str" cm="1">
        <f t="array" ref="U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V202" t="str" cm="1">
        <f t="array" ref="V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  <c r="AF202">
        <f>AVERAGE(Table1[[#This Row],[Range2_Low]:[Range2_High]])</f>
        <v>0</v>
      </c>
      <c r="AG202">
        <f>AVERAGE(Table1[[#This Row],[Range1_Low]:[Range1_High]])</f>
        <v>600.00049999999999</v>
      </c>
      <c r="AH202">
        <v>1</v>
      </c>
    </row>
    <row r="203" spans="1:34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169</v>
      </c>
      <c r="U203" t="str" cm="1">
        <f t="array" ref="U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03" t="str" cm="1">
        <f t="array" ref="V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  <c r="AF203">
        <f>AVERAGE(Table1[[#This Row],[Range2_Low]:[Range2_High]])</f>
        <v>0</v>
      </c>
      <c r="AG203">
        <f>AVERAGE(Table1[[#This Row],[Range1_Low]:[Range1_High]])</f>
        <v>600.00049999999999</v>
      </c>
      <c r="AH203">
        <v>1</v>
      </c>
    </row>
    <row r="204" spans="1:34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169</v>
      </c>
      <c r="U204" t="str" cm="1">
        <f t="array" ref="U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4" t="str" cm="1">
        <f t="array" ref="V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  <c r="AF204">
        <f>AVERAGE(Table1[[#This Row],[Range2_Low]:[Range2_High]])</f>
        <v>0</v>
      </c>
      <c r="AG204">
        <f>AVERAGE(Table1[[#This Row],[Range1_Low]:[Range1_High]])</f>
        <v>600.00049999999999</v>
      </c>
      <c r="AH204">
        <v>1</v>
      </c>
    </row>
    <row r="205" spans="1:34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169</v>
      </c>
      <c r="U205" t="str" cm="1">
        <f t="array" ref="U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05" t="str" cm="1">
        <f t="array" ref="V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  <c r="AF205">
        <f>AVERAGE(Table1[[#This Row],[Range2_Low]:[Range2_High]])</f>
        <v>0</v>
      </c>
      <c r="AG205">
        <f>AVERAGE(Table1[[#This Row],[Range1_Low]:[Range1_High]])</f>
        <v>1000.0005</v>
      </c>
      <c r="AH205">
        <v>1</v>
      </c>
    </row>
    <row r="206" spans="1:34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169</v>
      </c>
      <c r="U206" t="str" cm="1">
        <f t="array" ref="U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06" t="str" cm="1">
        <f t="array" ref="V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  <c r="AF206">
        <f>AVERAGE(Table1[[#This Row],[Range2_Low]:[Range2_High]])</f>
        <v>0</v>
      </c>
      <c r="AG206">
        <f>AVERAGE(Table1[[#This Row],[Range1_Low]:[Range1_High]])</f>
        <v>1000.0005</v>
      </c>
      <c r="AH206">
        <v>1</v>
      </c>
    </row>
    <row r="207" spans="1:34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169</v>
      </c>
      <c r="U207" t="str" cm="1">
        <f t="array" ref="U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7" t="str" cm="1">
        <f t="array" ref="V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  <c r="AF207">
        <f>AVERAGE(Table1[[#This Row],[Range2_Low]:[Range2_High]])</f>
        <v>0</v>
      </c>
      <c r="AG207">
        <f>AVERAGE(Table1[[#This Row],[Range1_Low]:[Range1_High]])</f>
        <v>1000.0005</v>
      </c>
      <c r="AH207">
        <v>1</v>
      </c>
    </row>
    <row r="208" spans="1:34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169</v>
      </c>
      <c r="U208" t="str" cm="1">
        <f t="array" ref="U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V208" t="str" cm="1">
        <f t="array" ref="V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  <c r="AF208">
        <f>AVERAGE(Table1[[#This Row],[Range2_Low]:[Range2_High]])</f>
        <v>0</v>
      </c>
      <c r="AG208">
        <f>AVERAGE(Table1[[#This Row],[Range1_Low]:[Range1_High]])</f>
        <v>1381.0005000000001</v>
      </c>
      <c r="AH208">
        <v>1</v>
      </c>
    </row>
    <row r="209" spans="1:34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169</v>
      </c>
      <c r="U209" t="str" cm="1">
        <f t="array" ref="U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V209" t="str" cm="1">
        <f t="array" ref="V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  <c r="AF209">
        <f>AVERAGE(Table1[[#This Row],[Range2_Low]:[Range2_High]])</f>
        <v>0</v>
      </c>
      <c r="AG209">
        <f>AVERAGE(Table1[[#This Row],[Range1_Low]:[Range1_High]])</f>
        <v>1381.0005000000001</v>
      </c>
      <c r="AH209">
        <v>1</v>
      </c>
    </row>
    <row r="210" spans="1:34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169</v>
      </c>
      <c r="U210" t="str" cm="1">
        <f t="array" ref="U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0" t="str" cm="1">
        <f t="array" ref="V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  <c r="AF210">
        <f>AVERAGE(Table1[[#This Row],[Range2_Low]:[Range2_High]])</f>
        <v>0</v>
      </c>
      <c r="AG210">
        <f>AVERAGE(Table1[[#This Row],[Range1_Low]:[Range1_High]])</f>
        <v>1381.0005000000001</v>
      </c>
      <c r="AH210">
        <v>1</v>
      </c>
    </row>
    <row r="211" spans="1:34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168</v>
      </c>
      <c r="U211" t="str" cm="1">
        <f t="array" ref="U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V211" t="str" cm="1">
        <f t="array" ref="V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  <c r="AF211">
        <f>AVERAGE(Table1[[#This Row],[Range2_Low]:[Range2_High]])</f>
        <v>0</v>
      </c>
      <c r="AG211">
        <f>AVERAGE(Table1[[#This Row],[Range1_Low]:[Range1_High]])</f>
        <v>-144</v>
      </c>
      <c r="AH211">
        <v>1</v>
      </c>
    </row>
    <row r="212" spans="1:34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168</v>
      </c>
      <c r="U212" t="str" cm="1">
        <f t="array" ref="U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12" t="str" cm="1">
        <f t="array" ref="V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  <c r="AF212">
        <f>AVERAGE(Table1[[#This Row],[Range2_Low]:[Range2_High]])</f>
        <v>0</v>
      </c>
      <c r="AG212">
        <f>AVERAGE(Table1[[#This Row],[Range1_Low]:[Range1_High]])</f>
        <v>-144</v>
      </c>
      <c r="AH212">
        <v>1</v>
      </c>
    </row>
    <row r="213" spans="1:34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168</v>
      </c>
      <c r="U213" t="str" cm="1">
        <f t="array" ref="U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3" t="str" cm="1">
        <f t="array" ref="V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  <c r="AF213">
        <f>AVERAGE(Table1[[#This Row],[Range2_Low]:[Range2_High]])</f>
        <v>0</v>
      </c>
      <c r="AG213">
        <f>AVERAGE(Table1[[#This Row],[Range1_Low]:[Range1_High]])</f>
        <v>-144</v>
      </c>
      <c r="AH213">
        <v>1</v>
      </c>
    </row>
    <row r="214" spans="1:34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168</v>
      </c>
      <c r="U214" t="str" cm="1">
        <f t="array" ref="U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214" t="str" cm="1">
        <f t="array" ref="V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  <c r="AF214">
        <f>AVERAGE(Table1[[#This Row],[Range2_Low]:[Range2_High]])</f>
        <v>0</v>
      </c>
      <c r="AG214">
        <f>AVERAGE(Table1[[#This Row],[Range1_Low]:[Range1_High]])</f>
        <v>216.00049999999999</v>
      </c>
      <c r="AH214">
        <v>1</v>
      </c>
    </row>
    <row r="215" spans="1:34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168</v>
      </c>
      <c r="U215" t="str" cm="1">
        <f t="array" ref="U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15" t="str" cm="1">
        <f t="array" ref="V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  <c r="AF215">
        <f>AVERAGE(Table1[[#This Row],[Range2_Low]:[Range2_High]])</f>
        <v>0</v>
      </c>
      <c r="AG215">
        <f>AVERAGE(Table1[[#This Row],[Range1_Low]:[Range1_High]])</f>
        <v>216.00049999999999</v>
      </c>
      <c r="AH215">
        <v>1</v>
      </c>
    </row>
    <row r="216" spans="1:34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168</v>
      </c>
      <c r="U216" t="str" cm="1">
        <f t="array" ref="U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6" t="str" cm="1">
        <f t="array" ref="V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  <c r="AF216">
        <f>AVERAGE(Table1[[#This Row],[Range2_Low]:[Range2_High]])</f>
        <v>0</v>
      </c>
      <c r="AG216">
        <f>AVERAGE(Table1[[#This Row],[Range1_Low]:[Range1_High]])</f>
        <v>216.00049999999999</v>
      </c>
      <c r="AH216">
        <v>1</v>
      </c>
    </row>
    <row r="217" spans="1:34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168</v>
      </c>
      <c r="U217" t="str" cm="1">
        <f t="array" ref="U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V217" t="str" cm="1">
        <f t="array" ref="V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  <c r="AF217">
        <f>AVERAGE(Table1[[#This Row],[Range2_Low]:[Range2_High]])</f>
        <v>0</v>
      </c>
      <c r="AG217">
        <f>AVERAGE(Table1[[#This Row],[Range1_Low]:[Range1_High]])</f>
        <v>600.00049999999999</v>
      </c>
      <c r="AH217">
        <v>1</v>
      </c>
    </row>
    <row r="218" spans="1:34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168</v>
      </c>
      <c r="U218" t="str" cm="1">
        <f t="array" ref="U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V218" t="str" cm="1">
        <f t="array" ref="V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  <c r="AF218">
        <f>AVERAGE(Table1[[#This Row],[Range2_Low]:[Range2_High]])</f>
        <v>0</v>
      </c>
      <c r="AG218">
        <f>AVERAGE(Table1[[#This Row],[Range1_Low]:[Range1_High]])</f>
        <v>600.00049999999999</v>
      </c>
      <c r="AH218">
        <v>1</v>
      </c>
    </row>
    <row r="219" spans="1:34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168</v>
      </c>
      <c r="U219" t="str" cm="1">
        <f t="array" ref="U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9" t="str" cm="1">
        <f t="array" ref="V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  <c r="AF219">
        <f>AVERAGE(Table1[[#This Row],[Range2_Low]:[Range2_High]])</f>
        <v>0</v>
      </c>
      <c r="AG219">
        <f>AVERAGE(Table1[[#This Row],[Range1_Low]:[Range1_High]])</f>
        <v>600.00049999999999</v>
      </c>
      <c r="AH219">
        <v>1</v>
      </c>
    </row>
    <row r="220" spans="1:34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168</v>
      </c>
      <c r="U220" t="str" cm="1">
        <f t="array" ref="U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20" t="str" cm="1">
        <f t="array" ref="V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  <c r="AF220">
        <f>AVERAGE(Table1[[#This Row],[Range2_Low]:[Range2_High]])</f>
        <v>0</v>
      </c>
      <c r="AG220">
        <f>AVERAGE(Table1[[#This Row],[Range1_Low]:[Range1_High]])</f>
        <v>1000.0005</v>
      </c>
      <c r="AH220">
        <v>1</v>
      </c>
    </row>
    <row r="221" spans="1:34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168</v>
      </c>
      <c r="U221" t="str" cm="1">
        <f t="array" ref="U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21" t="str" cm="1">
        <f t="array" ref="V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  <c r="AF221">
        <f>AVERAGE(Table1[[#This Row],[Range2_Low]:[Range2_High]])</f>
        <v>0</v>
      </c>
      <c r="AG221">
        <f>AVERAGE(Table1[[#This Row],[Range1_Low]:[Range1_High]])</f>
        <v>1000.0005</v>
      </c>
      <c r="AH221">
        <v>1</v>
      </c>
    </row>
    <row r="222" spans="1:34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168</v>
      </c>
      <c r="U222" t="str" cm="1">
        <f t="array" ref="U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2" t="str" cm="1">
        <f t="array" ref="V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  <c r="AF222">
        <f>AVERAGE(Table1[[#This Row],[Range2_Low]:[Range2_High]])</f>
        <v>0</v>
      </c>
      <c r="AG222">
        <f>AVERAGE(Table1[[#This Row],[Range1_Low]:[Range1_High]])</f>
        <v>1000.0005</v>
      </c>
      <c r="AH222">
        <v>1</v>
      </c>
    </row>
    <row r="223" spans="1:34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168</v>
      </c>
      <c r="U223" t="str" cm="1">
        <f t="array" ref="U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V223" t="str" cm="1">
        <f t="array" ref="V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  <c r="AF223">
        <f>AVERAGE(Table1[[#This Row],[Range2_Low]:[Range2_High]])</f>
        <v>0</v>
      </c>
      <c r="AG223">
        <f>AVERAGE(Table1[[#This Row],[Range1_Low]:[Range1_High]])</f>
        <v>1381.0005000000001</v>
      </c>
      <c r="AH223">
        <v>1</v>
      </c>
    </row>
    <row r="224" spans="1:34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168</v>
      </c>
      <c r="U224" t="str" cm="1">
        <f t="array" ref="U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V224" t="str" cm="1">
        <f t="array" ref="V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  <c r="AF224">
        <f>AVERAGE(Table1[[#This Row],[Range2_Low]:[Range2_High]])</f>
        <v>0</v>
      </c>
      <c r="AG224">
        <f>AVERAGE(Table1[[#This Row],[Range1_Low]:[Range1_High]])</f>
        <v>1381.0005000000001</v>
      </c>
      <c r="AH224">
        <v>1</v>
      </c>
    </row>
    <row r="225" spans="1:34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168</v>
      </c>
      <c r="U225" t="str" cm="1">
        <f t="array" ref="U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5" t="str" cm="1">
        <f t="array" ref="V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  <c r="AF225">
        <f>AVERAGE(Table1[[#This Row],[Range2_Low]:[Range2_High]])</f>
        <v>0</v>
      </c>
      <c r="AG225">
        <f>AVERAGE(Table1[[#This Row],[Range1_Low]:[Range1_High]])</f>
        <v>1381.0005000000001</v>
      </c>
      <c r="AH225">
        <v>1</v>
      </c>
    </row>
    <row r="226" spans="1:34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164</v>
      </c>
      <c r="U226" t="str" cm="1">
        <f t="array" ref="U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V226" t="str" cm="1">
        <f t="array" ref="V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  <c r="AF226">
        <f>AVERAGE(Table1[[#This Row],[Range2_Low]:[Range2_High]])</f>
        <v>0</v>
      </c>
      <c r="AG226">
        <f>AVERAGE(Table1[[#This Row],[Range1_Low]:[Range1_High]])</f>
        <v>-427.00049999999999</v>
      </c>
      <c r="AH226">
        <v>1</v>
      </c>
    </row>
    <row r="227" spans="1:34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164</v>
      </c>
      <c r="U227" t="str" cm="1">
        <f t="array" ref="U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V227" t="str" cm="1">
        <f t="array" ref="V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  <c r="AF227">
        <f>AVERAGE(Table1[[#This Row],[Range2_Low]:[Range2_High]])</f>
        <v>0</v>
      </c>
      <c r="AG227">
        <f>AVERAGE(Table1[[#This Row],[Range1_Low]:[Range1_High]])</f>
        <v>-427.00049999999999</v>
      </c>
      <c r="AH227">
        <v>1</v>
      </c>
    </row>
    <row r="228" spans="1:34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164</v>
      </c>
      <c r="U228" t="str" cm="1">
        <f t="array" ref="U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V228" t="str" cm="1">
        <f t="array" ref="V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  <c r="AF228">
        <f>AVERAGE(Table1[[#This Row],[Range2_Low]:[Range2_High]])</f>
        <v>0</v>
      </c>
      <c r="AG228">
        <f>AVERAGE(Table1[[#This Row],[Range1_Low]:[Range1_High]])</f>
        <v>-275.00049999999999</v>
      </c>
      <c r="AH228">
        <v>1</v>
      </c>
    </row>
    <row r="229" spans="1:34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164</v>
      </c>
      <c r="U229" t="str" cm="1">
        <f t="array" ref="U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229" t="str" cm="1">
        <f t="array" ref="V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  <c r="AF229">
        <f>AVERAGE(Table1[[#This Row],[Range2_Low]:[Range2_High]])</f>
        <v>0</v>
      </c>
      <c r="AG229">
        <f>AVERAGE(Table1[[#This Row],[Range1_Low]:[Range1_High]])</f>
        <v>-275.00049999999999</v>
      </c>
      <c r="AH229">
        <v>1</v>
      </c>
    </row>
    <row r="230" spans="1:34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164</v>
      </c>
      <c r="U230" t="str" cm="1">
        <f t="array" ref="U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30" t="str" cm="1">
        <f t="array" ref="V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  <c r="AF230">
        <f>AVERAGE(Table1[[#This Row],[Range2_Low]:[Range2_High]])</f>
        <v>0</v>
      </c>
      <c r="AG230">
        <f>AVERAGE(Table1[[#This Row],[Range1_Low]:[Range1_High]])</f>
        <v>275</v>
      </c>
      <c r="AH230">
        <v>1</v>
      </c>
    </row>
    <row r="231" spans="1:34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164</v>
      </c>
      <c r="U231" t="str" cm="1">
        <f t="array" ref="U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31" t="str" cm="1">
        <f t="array" ref="V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  <c r="AF231">
        <f>AVERAGE(Table1[[#This Row],[Range2_Low]:[Range2_High]])</f>
        <v>0</v>
      </c>
      <c r="AG231">
        <f>AVERAGE(Table1[[#This Row],[Range1_Low]:[Range1_High]])</f>
        <v>275</v>
      </c>
      <c r="AH231">
        <v>1</v>
      </c>
    </row>
    <row r="232" spans="1:34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164</v>
      </c>
      <c r="U232" t="str" cm="1">
        <f t="array" ref="U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32" t="str" cm="1">
        <f t="array" ref="V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  <c r="AF232">
        <f>AVERAGE(Table1[[#This Row],[Range2_Low]:[Range2_High]])</f>
        <v>0</v>
      </c>
      <c r="AG232">
        <f>AVERAGE(Table1[[#This Row],[Range1_Low]:[Range1_High]])</f>
        <v>1100.0005000000001</v>
      </c>
      <c r="AH232">
        <v>1</v>
      </c>
    </row>
    <row r="233" spans="1:34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164</v>
      </c>
      <c r="U233" t="str" cm="1">
        <f t="array" ref="U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3" t="str" cm="1">
        <f t="array" ref="V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  <c r="AF233">
        <f>AVERAGE(Table1[[#This Row],[Range2_Low]:[Range2_High]])</f>
        <v>0</v>
      </c>
      <c r="AG233">
        <f>AVERAGE(Table1[[#This Row],[Range1_Low]:[Range1_High]])</f>
        <v>1100.0005000000001</v>
      </c>
      <c r="AH233">
        <v>1</v>
      </c>
    </row>
    <row r="234" spans="1:34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164</v>
      </c>
      <c r="U234" t="str" cm="1">
        <f t="array" ref="U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34" t="str" cm="1">
        <f t="array" ref="V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  <c r="AF234">
        <f>AVERAGE(Table1[[#This Row],[Range2_Low]:[Range2_High]])</f>
        <v>0</v>
      </c>
      <c r="AG234">
        <f>AVERAGE(Table1[[#This Row],[Range1_Low]:[Range1_High]])</f>
        <v>1936.0005000000001</v>
      </c>
      <c r="AH234">
        <v>1</v>
      </c>
    </row>
    <row r="235" spans="1:34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164</v>
      </c>
      <c r="U235" t="str" cm="1">
        <f t="array" ref="U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5" t="str" cm="1">
        <f t="array" ref="V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  <c r="AF235">
        <f>AVERAGE(Table1[[#This Row],[Range2_Low]:[Range2_High]])</f>
        <v>0</v>
      </c>
      <c r="AG235">
        <f>AVERAGE(Table1[[#This Row],[Range1_Low]:[Range1_High]])</f>
        <v>1936.0005000000001</v>
      </c>
      <c r="AH235">
        <v>1</v>
      </c>
    </row>
    <row r="236" spans="1:34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tr" cm="1">
        <f t="array" ref="U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236" t="str" cm="1">
        <f t="array" ref="V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  <c r="AF236">
        <f>AVERAGE(Table1[[#This Row],[Range2_Low]:[Range2_High]])</f>
        <v>0</v>
      </c>
      <c r="AG236">
        <f>AVERAGE(Table1[[#This Row],[Range1_Low]:[Range1_High]])</f>
        <v>-427.00049999999999</v>
      </c>
      <c r="AH236">
        <v>1</v>
      </c>
    </row>
    <row r="237" spans="1:34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tr" cm="1">
        <f t="array" ref="U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237" t="str" cm="1">
        <f t="array" ref="V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  <c r="AF237">
        <f>AVERAGE(Table1[[#This Row],[Range2_Low]:[Range2_High]])</f>
        <v>0</v>
      </c>
      <c r="AG237">
        <f>AVERAGE(Table1[[#This Row],[Range1_Low]:[Range1_High]])</f>
        <v>-427.00049999999999</v>
      </c>
      <c r="AH237">
        <v>1</v>
      </c>
    </row>
    <row r="238" spans="1:34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tr" cm="1">
        <f t="array" ref="U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238" t="str" cm="1">
        <f t="array" ref="V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  <c r="AF238">
        <f>AVERAGE(Table1[[#This Row],[Range2_Low]:[Range2_High]])</f>
        <v>0</v>
      </c>
      <c r="AG238">
        <f>AVERAGE(Table1[[#This Row],[Range1_Low]:[Range1_High]])</f>
        <v>49.999500000000012</v>
      </c>
      <c r="AH238">
        <v>1</v>
      </c>
    </row>
    <row r="239" spans="1:34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tr" cm="1">
        <f t="array" ref="U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239" t="str" cm="1">
        <f t="array" ref="V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  <c r="AF239">
        <f>AVERAGE(Table1[[#This Row],[Range2_Low]:[Range2_High]])</f>
        <v>0</v>
      </c>
      <c r="AG239">
        <f>AVERAGE(Table1[[#This Row],[Range1_Low]:[Range1_High]])</f>
        <v>49.999500000000012</v>
      </c>
      <c r="AH239">
        <v>1</v>
      </c>
    </row>
    <row r="240" spans="1:34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tr" cm="1">
        <f t="array" ref="U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40" t="str" cm="1">
        <f t="array" ref="V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  <c r="AF240">
        <f>AVERAGE(Table1[[#This Row],[Range2_Low]:[Range2_High]])</f>
        <v>0</v>
      </c>
      <c r="AG240">
        <f>AVERAGE(Table1[[#This Row],[Range1_Low]:[Range1_High]])</f>
        <v>1000</v>
      </c>
      <c r="AH240">
        <v>1</v>
      </c>
    </row>
    <row r="241" spans="1:34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tr" cm="1">
        <f t="array" ref="U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41" t="str" cm="1">
        <f t="array" ref="V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  <c r="AF241">
        <f>AVERAGE(Table1[[#This Row],[Range2_Low]:[Range2_High]])</f>
        <v>0</v>
      </c>
      <c r="AG241">
        <f>AVERAGE(Table1[[#This Row],[Range1_Low]:[Range1_High]])</f>
        <v>1000</v>
      </c>
      <c r="AH241">
        <v>1</v>
      </c>
    </row>
    <row r="242" spans="1:34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tr" cm="1">
        <f t="array" ref="U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42" t="str" cm="1">
        <f t="array" ref="V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  <c r="AF242">
        <f>AVERAGE(Table1[[#This Row],[Range2_Low]:[Range2_High]])</f>
        <v>0</v>
      </c>
      <c r="AG242">
        <f>AVERAGE(Table1[[#This Row],[Range1_Low]:[Range1_High]])</f>
        <v>2000.0005000000001</v>
      </c>
      <c r="AH242">
        <v>1</v>
      </c>
    </row>
    <row r="243" spans="1:34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tr" cm="1">
        <f t="array" ref="U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243" t="str" cm="1">
        <f t="array" ref="V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  <c r="AF243">
        <f>AVERAGE(Table1[[#This Row],[Range2_Low]:[Range2_High]])</f>
        <v>0</v>
      </c>
      <c r="AG243">
        <f>AVERAGE(Table1[[#This Row],[Range1_Low]:[Range1_High]])</f>
        <v>2000.0005000000001</v>
      </c>
      <c r="AH243">
        <v>1</v>
      </c>
    </row>
    <row r="244" spans="1:34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163</v>
      </c>
      <c r="U244" t="str" cm="1">
        <f t="array" ref="U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44" t="str" cm="1">
        <f t="array" ref="V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  <c r="AF244">
        <f>AVERAGE(Table1[[#This Row],[Range2_Low]:[Range2_High]])</f>
        <v>0</v>
      </c>
      <c r="AG244">
        <f>AVERAGE(Table1[[#This Row],[Range1_Low]:[Range1_High]])</f>
        <v>76.999500000000012</v>
      </c>
      <c r="AH244">
        <v>1</v>
      </c>
    </row>
    <row r="245" spans="1:34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163</v>
      </c>
      <c r="U245" t="str" cm="1">
        <f t="array" ref="U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45" t="str" cm="1">
        <f t="array" ref="V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  <c r="AF245">
        <f>AVERAGE(Table1[[#This Row],[Range2_Low]:[Range2_High]])</f>
        <v>0</v>
      </c>
      <c r="AG245">
        <f>AVERAGE(Table1[[#This Row],[Range1_Low]:[Range1_High]])</f>
        <v>76.999500000000012</v>
      </c>
      <c r="AH245">
        <v>1</v>
      </c>
    </row>
    <row r="246" spans="1:34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163</v>
      </c>
      <c r="U246" t="str" cm="1">
        <f t="array" ref="U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6" t="str" cm="1">
        <f t="array" ref="V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  <c r="AF246">
        <f>AVERAGE(Table1[[#This Row],[Range2_Low]:[Range2_High]])</f>
        <v>0</v>
      </c>
      <c r="AG246">
        <f>AVERAGE(Table1[[#This Row],[Range1_Low]:[Range1_High]])</f>
        <v>925</v>
      </c>
      <c r="AH246">
        <v>1</v>
      </c>
    </row>
    <row r="247" spans="1:34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163</v>
      </c>
      <c r="U247" t="str" cm="1">
        <f t="array" ref="U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7" t="str" cm="1">
        <f t="array" ref="V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  <c r="AF247">
        <f>AVERAGE(Table1[[#This Row],[Range2_Low]:[Range2_High]])</f>
        <v>0</v>
      </c>
      <c r="AG247">
        <f>AVERAGE(Table1[[#This Row],[Range1_Low]:[Range1_High]])</f>
        <v>925</v>
      </c>
      <c r="AH247">
        <v>1</v>
      </c>
    </row>
    <row r="248" spans="1:34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163</v>
      </c>
      <c r="U248" t="str" cm="1">
        <f t="array" ref="U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8" t="str" cm="1">
        <f t="array" ref="V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  <c r="AF248">
        <f>AVERAGE(Table1[[#This Row],[Range2_Low]:[Range2_High]])</f>
        <v>0</v>
      </c>
      <c r="AG248">
        <f>AVERAGE(Table1[[#This Row],[Range1_Low]:[Range1_High]])</f>
        <v>1771.0005000000001</v>
      </c>
      <c r="AH248">
        <v>1</v>
      </c>
    </row>
    <row r="249" spans="1:34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163</v>
      </c>
      <c r="U249" t="str" cm="1">
        <f t="array" ref="U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9" t="str" cm="1">
        <f t="array" ref="V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  <c r="AF249">
        <f>AVERAGE(Table1[[#This Row],[Range2_Low]:[Range2_High]])</f>
        <v>0</v>
      </c>
      <c r="AG249">
        <f>AVERAGE(Table1[[#This Row],[Range1_Low]:[Range1_High]])</f>
        <v>1771.0005000000001</v>
      </c>
      <c r="AH249">
        <v>1</v>
      </c>
    </row>
    <row r="250" spans="1:34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162</v>
      </c>
      <c r="U250" t="str" cm="1">
        <f t="array" ref="U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50" t="str" cm="1">
        <f t="array" ref="V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  <c r="AF250">
        <f>AVERAGE(Table1[[#This Row],[Range2_Low]:[Range2_High]])</f>
        <v>0</v>
      </c>
      <c r="AG250">
        <f>AVERAGE(Table1[[#This Row],[Range1_Low]:[Range1_High]])</f>
        <v>-77</v>
      </c>
      <c r="AH250">
        <v>1</v>
      </c>
    </row>
    <row r="251" spans="1:34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162</v>
      </c>
      <c r="U251" t="str" cm="1">
        <f t="array" ref="U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51" t="str" cm="1">
        <f t="array" ref="V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  <c r="AF251">
        <f>AVERAGE(Table1[[#This Row],[Range2_Low]:[Range2_High]])</f>
        <v>0</v>
      </c>
      <c r="AG251">
        <f>AVERAGE(Table1[[#This Row],[Range1_Low]:[Range1_High]])</f>
        <v>-77</v>
      </c>
      <c r="AH251">
        <v>1</v>
      </c>
    </row>
    <row r="252" spans="1:34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162</v>
      </c>
      <c r="U252" t="str" cm="1">
        <f t="array" ref="U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V252" t="str" cm="1">
        <f t="array" ref="V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  <c r="AF252">
        <f>AVERAGE(Table1[[#This Row],[Range2_Low]:[Range2_High]])</f>
        <v>0</v>
      </c>
      <c r="AG252">
        <f>AVERAGE(Table1[[#This Row],[Range1_Low]:[Range1_High]])</f>
        <v>700.00049999999999</v>
      </c>
      <c r="AH252">
        <v>1</v>
      </c>
    </row>
    <row r="253" spans="1:34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162</v>
      </c>
      <c r="U253" t="str" cm="1">
        <f t="array" ref="U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3" t="str" cm="1">
        <f t="array" ref="V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  <c r="AF253">
        <f>AVERAGE(Table1[[#This Row],[Range2_Low]:[Range2_High]])</f>
        <v>0</v>
      </c>
      <c r="AG253">
        <f>AVERAGE(Table1[[#This Row],[Range1_Low]:[Range1_High]])</f>
        <v>700.00049999999999</v>
      </c>
      <c r="AH253">
        <v>1</v>
      </c>
    </row>
    <row r="254" spans="1:34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162</v>
      </c>
      <c r="U254" t="str" cm="1">
        <f t="array" ref="U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V254" t="str" cm="1">
        <f t="array" ref="V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  <c r="AF254">
        <f>AVERAGE(Table1[[#This Row],[Range2_Low]:[Range2_High]])</f>
        <v>0</v>
      </c>
      <c r="AG254">
        <f>AVERAGE(Table1[[#This Row],[Range1_Low]:[Range1_High]])</f>
        <v>1466.0005000000001</v>
      </c>
      <c r="AH254">
        <v>1</v>
      </c>
    </row>
    <row r="255" spans="1:34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162</v>
      </c>
      <c r="U255" t="str" cm="1">
        <f t="array" ref="U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5" t="str" cm="1">
        <f t="array" ref="V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  <c r="AF255">
        <f>AVERAGE(Table1[[#This Row],[Range2_Low]:[Range2_High]])</f>
        <v>0</v>
      </c>
      <c r="AG255">
        <f>AVERAGE(Table1[[#This Row],[Range1_Low]:[Range1_High]])</f>
        <v>1466.0005000000001</v>
      </c>
      <c r="AH255">
        <v>1</v>
      </c>
    </row>
    <row r="256" spans="1:34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tr" cm="1">
        <f t="array" ref="U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6" t="str" cm="1">
        <f t="array" ref="V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  <c r="AF256">
        <f>AVERAGE(Table1[[#This Row],[Range2_Low]:[Range2_High]])</f>
        <v>0</v>
      </c>
      <c r="AG256">
        <f>AVERAGE(Table1[[#This Row],[Range1_Low]:[Range1_High]])</f>
        <v>0.05</v>
      </c>
      <c r="AH256">
        <v>1</v>
      </c>
    </row>
    <row r="257" spans="1:34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tr" cm="1">
        <f t="array" ref="U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7" t="str" cm="1">
        <f t="array" ref="V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  <c r="AF257">
        <f>AVERAGE(Table1[[#This Row],[Range2_Low]:[Range2_High]])</f>
        <v>0</v>
      </c>
      <c r="AG257">
        <f>AVERAGE(Table1[[#This Row],[Range1_Low]:[Range1_High]])</f>
        <v>0.05</v>
      </c>
      <c r="AH257">
        <v>1</v>
      </c>
    </row>
    <row r="258" spans="1:34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tr" cm="1">
        <f t="array" ref="U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µV</v>
      </c>
      <c r="V258" t="str" cm="1">
        <f t="array" ref="V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µV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  <c r="AF258">
        <f>AVERAGE(Table1[[#This Row],[Range2_Low]:[Range2_High]])</f>
        <v>0</v>
      </c>
      <c r="AG258">
        <f>AVERAGE(Table1[[#This Row],[Range1_Low]:[Range1_High]])</f>
        <v>0.05</v>
      </c>
      <c r="AH258">
        <v>1</v>
      </c>
    </row>
    <row r="259" spans="1:34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tr" cm="1">
        <f t="array" ref="U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V259" t="str" cm="1">
        <f t="array" ref="V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  <c r="AF259">
        <f>AVERAGE(Table1[[#This Row],[Range2_Low]:[Range2_High]])</f>
        <v>0</v>
      </c>
      <c r="AG259">
        <f>AVERAGE(Table1[[#This Row],[Range1_Low]:[Range1_High]])</f>
        <v>0.05</v>
      </c>
      <c r="AH259">
        <v>1</v>
      </c>
    </row>
    <row r="260" spans="1:34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tr" cm="1">
        <f t="array" ref="U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0" t="str" cm="1">
        <f t="array" ref="V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  <c r="AF260">
        <f>AVERAGE(Table1[[#This Row],[Range2_Low]:[Range2_High]])</f>
        <v>0</v>
      </c>
      <c r="AG260">
        <f>AVERAGE(Table1[[#This Row],[Range1_Low]:[Range1_High]])</f>
        <v>0.05</v>
      </c>
      <c r="AH260">
        <v>1</v>
      </c>
    </row>
    <row r="261" spans="1:34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tr" cm="1">
        <f t="array" ref="U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61" t="str" cm="1">
        <f t="array" ref="V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  <c r="AF261">
        <f>AVERAGE(Table1[[#This Row],[Range2_Low]:[Range2_High]])</f>
        <v>0</v>
      </c>
      <c r="AG261">
        <f>AVERAGE(Table1[[#This Row],[Range1_Low]:[Range1_High]])</f>
        <v>0.05</v>
      </c>
      <c r="AH261">
        <v>1</v>
      </c>
    </row>
    <row r="262" spans="1:34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tr" cm="1">
        <f t="array" ref="U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262" t="str" cm="1">
        <f t="array" ref="V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  <c r="AF262">
        <f>AVERAGE(Table1[[#This Row],[Range2_Low]:[Range2_High]])</f>
        <v>0</v>
      </c>
      <c r="AG262">
        <f>AVERAGE(Table1[[#This Row],[Range1_Low]:[Range1_High]])</f>
        <v>0.05</v>
      </c>
      <c r="AH262">
        <v>1</v>
      </c>
    </row>
    <row r="263" spans="1:34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tr" cm="1">
        <f t="array" ref="U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3" t="str" cm="1">
        <f t="array" ref="V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  <c r="AF263">
        <f>AVERAGE(Table1[[#This Row],[Range2_Low]:[Range2_High]])</f>
        <v>0</v>
      </c>
      <c r="AG263">
        <f>AVERAGE(Table1[[#This Row],[Range1_Low]:[Range1_High]])</f>
        <v>0.05</v>
      </c>
      <c r="AH263">
        <v>1</v>
      </c>
    </row>
    <row r="264" spans="1:34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tr" cm="1">
        <f t="array" ref="U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4" t="str" cm="1">
        <f t="array" ref="V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  <c r="AF264">
        <f>AVERAGE(Table1[[#This Row],[Range2_Low]:[Range2_High]])</f>
        <v>0</v>
      </c>
      <c r="AG264">
        <f>AVERAGE(Table1[[#This Row],[Range1_Low]:[Range1_High]])</f>
        <v>0.05</v>
      </c>
      <c r="AH264">
        <v>1</v>
      </c>
    </row>
    <row r="265" spans="1:34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tr" cm="1">
        <f t="array" ref="U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5" t="str" cm="1">
        <f t="array" ref="V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  <c r="AF265">
        <f>AVERAGE(Table1[[#This Row],[Range2_Low]:[Range2_High]])</f>
        <v>0</v>
      </c>
      <c r="AG265">
        <f>AVERAGE(Table1[[#This Row],[Range1_Low]:[Range1_High]])</f>
        <v>0.55000000000000004</v>
      </c>
      <c r="AH265">
        <v>1</v>
      </c>
    </row>
    <row r="266" spans="1:34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tr" cm="1">
        <f t="array" ref="U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6" t="str" cm="1">
        <f t="array" ref="V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  <c r="AF266">
        <f>AVERAGE(Table1[[#This Row],[Range2_Low]:[Range2_High]])</f>
        <v>0</v>
      </c>
      <c r="AG266">
        <f>AVERAGE(Table1[[#This Row],[Range1_Low]:[Range1_High]])</f>
        <v>0.55000000000000004</v>
      </c>
      <c r="AH266">
        <v>1</v>
      </c>
    </row>
    <row r="267" spans="1:34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tr" cm="1">
        <f t="array" ref="U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µV</v>
      </c>
      <c r="V267" t="str" cm="1">
        <f t="array" ref="V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4.7 µV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  <c r="AF267">
        <f>AVERAGE(Table1[[#This Row],[Range2_Low]:[Range2_High]])</f>
        <v>0</v>
      </c>
      <c r="AG267">
        <f>AVERAGE(Table1[[#This Row],[Range1_Low]:[Range1_High]])</f>
        <v>0.55000000000000004</v>
      </c>
      <c r="AH267">
        <v>1</v>
      </c>
    </row>
    <row r="268" spans="1:34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tr" cm="1">
        <f t="array" ref="U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268" t="str" cm="1">
        <f t="array" ref="V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µV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  <c r="AF268">
        <f>AVERAGE(Table1[[#This Row],[Range2_Low]:[Range2_High]])</f>
        <v>0</v>
      </c>
      <c r="AG268">
        <f>AVERAGE(Table1[[#This Row],[Range1_Low]:[Range1_High]])</f>
        <v>0.55000000000000004</v>
      </c>
      <c r="AH268">
        <v>1</v>
      </c>
    </row>
    <row r="269" spans="1:34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tr" cm="1">
        <f t="array" ref="U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9" t="str" cm="1">
        <f t="array" ref="V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  <c r="AF269">
        <f>AVERAGE(Table1[[#This Row],[Range2_Low]:[Range2_High]])</f>
        <v>0</v>
      </c>
      <c r="AG269">
        <f>AVERAGE(Table1[[#This Row],[Range1_Low]:[Range1_High]])</f>
        <v>0.55000000000000004</v>
      </c>
      <c r="AH269">
        <v>1</v>
      </c>
    </row>
    <row r="270" spans="1:34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tr" cm="1">
        <f t="array" ref="U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0" t="str" cm="1">
        <f t="array" ref="V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  <c r="AF270">
        <f>AVERAGE(Table1[[#This Row],[Range2_Low]:[Range2_High]])</f>
        <v>0</v>
      </c>
      <c r="AG270">
        <f>AVERAGE(Table1[[#This Row],[Range1_Low]:[Range1_High]])</f>
        <v>0.55000000000000004</v>
      </c>
      <c r="AH270">
        <v>1</v>
      </c>
    </row>
    <row r="271" spans="1:34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tr" cm="1">
        <f t="array" ref="U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271" t="str" cm="1">
        <f t="array" ref="V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µV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  <c r="AF271">
        <f>AVERAGE(Table1[[#This Row],[Range2_Low]:[Range2_High]])</f>
        <v>0</v>
      </c>
      <c r="AG271">
        <f>AVERAGE(Table1[[#This Row],[Range1_Low]:[Range1_High]])</f>
        <v>5.5</v>
      </c>
      <c r="AH271">
        <v>1</v>
      </c>
    </row>
    <row r="272" spans="1:34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tr" cm="1">
        <f t="array" ref="U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µV</v>
      </c>
      <c r="V272" t="str" cm="1">
        <f t="array" ref="V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  <c r="AF272">
        <f>AVERAGE(Table1[[#This Row],[Range2_Low]:[Range2_High]])</f>
        <v>0</v>
      </c>
      <c r="AG272">
        <f>AVERAGE(Table1[[#This Row],[Range1_Low]:[Range1_High]])</f>
        <v>5.5</v>
      </c>
      <c r="AH272">
        <v>1</v>
      </c>
    </row>
    <row r="273" spans="1:34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tr" cm="1">
        <f t="array" ref="U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273" t="str" cm="1">
        <f t="array" ref="V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  <c r="AF273">
        <f>AVERAGE(Table1[[#This Row],[Range2_Low]:[Range2_High]])</f>
        <v>0</v>
      </c>
      <c r="AG273">
        <f>AVERAGE(Table1[[#This Row],[Range1_Low]:[Range1_High]])</f>
        <v>5.5</v>
      </c>
      <c r="AH273">
        <v>1</v>
      </c>
    </row>
    <row r="274" spans="1:34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tr" cm="1">
        <f t="array" ref="U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V274" t="str" cm="1">
        <f t="array" ref="V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µV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  <c r="AF274">
        <f>AVERAGE(Table1[[#This Row],[Range2_Low]:[Range2_High]])</f>
        <v>0</v>
      </c>
      <c r="AG274">
        <f>AVERAGE(Table1[[#This Row],[Range1_Low]:[Range1_High]])</f>
        <v>5.5</v>
      </c>
      <c r="AH274">
        <v>1</v>
      </c>
    </row>
    <row r="275" spans="1:34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tr" cm="1">
        <f t="array" ref="U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5" t="str" cm="1">
        <f t="array" ref="V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  <c r="AF275">
        <f>AVERAGE(Table1[[#This Row],[Range2_Low]:[Range2_High]])</f>
        <v>0</v>
      </c>
      <c r="AG275">
        <f>AVERAGE(Table1[[#This Row],[Range1_Low]:[Range1_High]])</f>
        <v>5.5</v>
      </c>
      <c r="AH275">
        <v>1</v>
      </c>
    </row>
    <row r="276" spans="1:34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tr" cm="1">
        <f t="array" ref="U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76" t="str" cm="1">
        <f t="array" ref="V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  <c r="AF276">
        <f>AVERAGE(Table1[[#This Row],[Range2_Low]:[Range2_High]])</f>
        <v>0</v>
      </c>
      <c r="AG276">
        <f>AVERAGE(Table1[[#This Row],[Range1_Low]:[Range1_High]])</f>
        <v>5.5</v>
      </c>
      <c r="AH276">
        <v>1</v>
      </c>
    </row>
    <row r="277" spans="1:34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tr" cm="1">
        <f t="array" ref="U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7" t="str" cm="1">
        <f t="array" ref="V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  <c r="AF277">
        <f>AVERAGE(Table1[[#This Row],[Range2_Low]:[Range2_High]])</f>
        <v>0</v>
      </c>
      <c r="AG277">
        <f>AVERAGE(Table1[[#This Row],[Range1_Low]:[Range1_High]])</f>
        <v>55</v>
      </c>
      <c r="AH277">
        <v>1</v>
      </c>
    </row>
    <row r="278" spans="1:34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tr" cm="1">
        <f t="array" ref="U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8" t="str" cm="1">
        <f t="array" ref="V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  <c r="AF278">
        <f>AVERAGE(Table1[[#This Row],[Range2_Low]:[Range2_High]])</f>
        <v>0</v>
      </c>
      <c r="AG278">
        <f>AVERAGE(Table1[[#This Row],[Range1_Low]:[Range1_High]])</f>
        <v>55</v>
      </c>
      <c r="AH278">
        <v>1</v>
      </c>
    </row>
    <row r="279" spans="1:34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tr" cm="1">
        <f t="array" ref="U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µV</v>
      </c>
      <c r="V279" t="str" cm="1">
        <f t="array" ref="V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  <c r="AF279">
        <f>AVERAGE(Table1[[#This Row],[Range2_Low]:[Range2_High]])</f>
        <v>0</v>
      </c>
      <c r="AG279">
        <f>AVERAGE(Table1[[#This Row],[Range1_Low]:[Range1_High]])</f>
        <v>55</v>
      </c>
      <c r="AH279">
        <v>1</v>
      </c>
    </row>
    <row r="280" spans="1:34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tr" cm="1">
        <f t="array" ref="U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80" t="str" cm="1">
        <f t="array" ref="V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µV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  <c r="AF280">
        <f>AVERAGE(Table1[[#This Row],[Range2_Low]:[Range2_High]])</f>
        <v>0</v>
      </c>
      <c r="AG280">
        <f>AVERAGE(Table1[[#This Row],[Range1_Low]:[Range1_High]])</f>
        <v>55</v>
      </c>
      <c r="AH280">
        <v>1</v>
      </c>
    </row>
    <row r="281" spans="1:34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tr" cm="1">
        <f t="array" ref="U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81" t="str" cm="1">
        <f t="array" ref="V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  <c r="AF281">
        <f>AVERAGE(Table1[[#This Row],[Range2_Low]:[Range2_High]])</f>
        <v>0</v>
      </c>
      <c r="AG281">
        <f>AVERAGE(Table1[[#This Row],[Range1_Low]:[Range1_High]])</f>
        <v>55</v>
      </c>
      <c r="AH281">
        <v>1</v>
      </c>
    </row>
    <row r="282" spans="1:34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tr" cm="1">
        <f t="array" ref="U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2" t="str" cm="1">
        <f t="array" ref="V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  <c r="AF282">
        <f>AVERAGE(Table1[[#This Row],[Range2_Low]:[Range2_High]])</f>
        <v>0</v>
      </c>
      <c r="AG282">
        <f>AVERAGE(Table1[[#This Row],[Range1_Low]:[Range1_High]])</f>
        <v>550</v>
      </c>
      <c r="AH282">
        <v>1</v>
      </c>
    </row>
    <row r="283" spans="1:34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tr" cm="1">
        <f t="array" ref="U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3" t="str" cm="1">
        <f t="array" ref="V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  <c r="AF283">
        <f>AVERAGE(Table1[[#This Row],[Range2_Low]:[Range2_High]])</f>
        <v>0</v>
      </c>
      <c r="AG283">
        <f>AVERAGE(Table1[[#This Row],[Range1_Low]:[Range1_High]])</f>
        <v>550</v>
      </c>
      <c r="AH283">
        <v>1</v>
      </c>
    </row>
    <row r="284" spans="1:34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tr" cm="1">
        <f t="array" ref="U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284" t="str" cm="1">
        <f t="array" ref="V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  <c r="AF284">
        <f>AVERAGE(Table1[[#This Row],[Range2_Low]:[Range2_High]])</f>
        <v>0</v>
      </c>
      <c r="AG284">
        <f>AVERAGE(Table1[[#This Row],[Range1_Low]:[Range1_High]])</f>
        <v>550</v>
      </c>
      <c r="AH284">
        <v>1</v>
      </c>
    </row>
    <row r="285" spans="1:34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tr" cm="1">
        <f t="array" ref="U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7.4 mV</v>
      </c>
      <c r="V285" t="str" cm="1">
        <f t="array" ref="V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  <c r="AF285">
        <f>AVERAGE(Table1[[#This Row],[Range2_Low]:[Range2_High]])</f>
        <v>0</v>
      </c>
      <c r="AG285">
        <f>AVERAGE(Table1[[#This Row],[Range1_Low]:[Range1_High]])</f>
        <v>550</v>
      </c>
      <c r="AH285">
        <v>1</v>
      </c>
    </row>
    <row r="286" spans="1:34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tr" cm="1">
        <f t="array" ref="U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86" t="str" cm="1">
        <f t="array" ref="V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  <c r="AF286">
        <f>AVERAGE(Table1[[#This Row],[Range2_Low]:[Range2_High]])</f>
        <v>0</v>
      </c>
      <c r="AG286">
        <f>AVERAGE(Table1[[#This Row],[Range1_Low]:[Range1_High]])</f>
        <v>550</v>
      </c>
      <c r="AH286">
        <v>1</v>
      </c>
    </row>
    <row r="287" spans="1:34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tr" cm="1">
        <f t="array" ref="U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87" t="str" cm="1">
        <f t="array" ref="V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  <c r="AF287">
        <f>AVERAGE(Table1[[#This Row],[Range2_Low]:[Range2_High]])</f>
        <v>0</v>
      </c>
      <c r="AG287">
        <f>AVERAGE(Table1[[#This Row],[Range1_Low]:[Range1_High]])</f>
        <v>550</v>
      </c>
      <c r="AH287">
        <v>1</v>
      </c>
    </row>
    <row r="288" spans="1:34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tr" cm="1">
        <f t="array" ref="U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8" t="str" cm="1">
        <f t="array" ref="V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  <c r="AF288">
        <f>AVERAGE(Table1[[#This Row],[Range2_Low]:[Range2_High]])</f>
        <v>0</v>
      </c>
      <c r="AG288">
        <f>AVERAGE(Table1[[#This Row],[Range1_Low]:[Range1_High]])</f>
        <v>4.9999999999999998E-8</v>
      </c>
      <c r="AH288">
        <v>1</v>
      </c>
    </row>
    <row r="289" spans="1:34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tr" cm="1">
        <f t="array" ref="U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9" t="str" cm="1">
        <f t="array" ref="V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  <c r="AF289">
        <f>AVERAGE(Table1[[#This Row],[Range2_Low]:[Range2_High]])</f>
        <v>0</v>
      </c>
      <c r="AG289">
        <f>AVERAGE(Table1[[#This Row],[Range1_Low]:[Range1_High]])</f>
        <v>4.9999999999999998E-8</v>
      </c>
      <c r="AH289">
        <v>1</v>
      </c>
    </row>
    <row r="290" spans="1:34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tr" cm="1">
        <f t="array" ref="U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nA</v>
      </c>
      <c r="V290" t="str" cm="1">
        <f t="array" ref="V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nA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  <c r="AF290">
        <f>AVERAGE(Table1[[#This Row],[Range2_Low]:[Range2_High]])</f>
        <v>0</v>
      </c>
      <c r="AG290">
        <f>AVERAGE(Table1[[#This Row],[Range1_Low]:[Range1_High]])</f>
        <v>4.9999999999999998E-8</v>
      </c>
      <c r="AH290">
        <v>1</v>
      </c>
    </row>
    <row r="291" spans="1:34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tr" cm="1">
        <f t="array" ref="U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291" t="str" cm="1">
        <f t="array" ref="V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  <c r="AF291">
        <f>AVERAGE(Table1[[#This Row],[Range2_Low]:[Range2_High]])</f>
        <v>0</v>
      </c>
      <c r="AG291">
        <f>AVERAGE(Table1[[#This Row],[Range1_Low]:[Range1_High]])</f>
        <v>4.9999999999999998E-8</v>
      </c>
      <c r="AH291">
        <v>1</v>
      </c>
    </row>
    <row r="292" spans="1:34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tr" cm="1">
        <f t="array" ref="U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292" t="str" cm="1">
        <f t="array" ref="V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  <c r="AF292">
        <f>AVERAGE(Table1[[#This Row],[Range2_Low]:[Range2_High]])</f>
        <v>0</v>
      </c>
      <c r="AG292">
        <f>AVERAGE(Table1[[#This Row],[Range1_Low]:[Range1_High]])</f>
        <v>4.9999999999999998E-8</v>
      </c>
      <c r="AH292">
        <v>1</v>
      </c>
    </row>
    <row r="293" spans="1:34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tr" cm="1">
        <f t="array" ref="U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293" t="str" cm="1">
        <f t="array" ref="V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  <c r="AF293">
        <f>AVERAGE(Table1[[#This Row],[Range2_Low]:[Range2_High]])</f>
        <v>0</v>
      </c>
      <c r="AG293">
        <f>AVERAGE(Table1[[#This Row],[Range1_Low]:[Range1_High]])</f>
        <v>4.9999999999999998E-8</v>
      </c>
      <c r="AH293">
        <v>1</v>
      </c>
    </row>
    <row r="294" spans="1:34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tr" cm="1">
        <f t="array" ref="U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94" t="str" cm="1">
        <f t="array" ref="V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  <c r="AF294">
        <f>AVERAGE(Table1[[#This Row],[Range2_Low]:[Range2_High]])</f>
        <v>0</v>
      </c>
      <c r="AG294">
        <f>AVERAGE(Table1[[#This Row],[Range1_Low]:[Range1_High]])</f>
        <v>4.9999999999999998E-8</v>
      </c>
      <c r="AH294">
        <v>1</v>
      </c>
    </row>
    <row r="295" spans="1:34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tr" cm="1">
        <f t="array" ref="U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95" t="str" cm="1">
        <f t="array" ref="V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  <c r="AF295">
        <f>AVERAGE(Table1[[#This Row],[Range2_Low]:[Range2_High]])</f>
        <v>0</v>
      </c>
      <c r="AG295">
        <f>AVERAGE(Table1[[#This Row],[Range1_Low]:[Range1_High]])</f>
        <v>4.9999999999999998E-8</v>
      </c>
      <c r="AH295">
        <v>1</v>
      </c>
    </row>
    <row r="296" spans="1:34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tr" cm="1">
        <f t="array" ref="U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96" t="str" cm="1">
        <f t="array" ref="V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  <c r="AF296">
        <f>AVERAGE(Table1[[#This Row],[Range2_Low]:[Range2_High]])</f>
        <v>0</v>
      </c>
      <c r="AG296">
        <f>AVERAGE(Table1[[#This Row],[Range1_Low]:[Range1_High]])</f>
        <v>4.9999999999999998E-8</v>
      </c>
      <c r="AH296">
        <v>1</v>
      </c>
    </row>
    <row r="297" spans="1:34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tr" cm="1">
        <f t="array" ref="U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V297" t="str" cm="1">
        <f t="array" ref="V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  <c r="AF297">
        <f>AVERAGE(Table1[[#This Row],[Range2_Low]:[Range2_High]])</f>
        <v>0</v>
      </c>
      <c r="AG297">
        <f>AVERAGE(Table1[[#This Row],[Range1_Low]:[Range1_High]])</f>
        <v>4.9999999999999998E-8</v>
      </c>
      <c r="AH297">
        <v>1</v>
      </c>
    </row>
    <row r="298" spans="1:34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tr" cm="1">
        <f t="array" ref="U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V298" t="str" cm="1">
        <f t="array" ref="V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  <c r="AF298">
        <f>AVERAGE(Table1[[#This Row],[Range2_Low]:[Range2_High]])</f>
        <v>0</v>
      </c>
      <c r="AG298">
        <f>AVERAGE(Table1[[#This Row],[Range1_Low]:[Range1_High]])</f>
        <v>4.9999999999999998E-8</v>
      </c>
      <c r="AH298">
        <v>1</v>
      </c>
    </row>
    <row r="299" spans="1:34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tr" cm="1">
        <f t="array" ref="U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V299" t="str" cm="1">
        <f t="array" ref="V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  <c r="AF299">
        <f>AVERAGE(Table1[[#This Row],[Range2_Low]:[Range2_High]])</f>
        <v>0</v>
      </c>
      <c r="AG299">
        <f>AVERAGE(Table1[[#This Row],[Range1_Low]:[Range1_High]])</f>
        <v>4.9999999999999998E-8</v>
      </c>
      <c r="AH299">
        <v>1</v>
      </c>
    </row>
    <row r="300" spans="1:34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tr" cm="1">
        <f t="array" ref="U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0" t="str" cm="1">
        <f t="array" ref="V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  <c r="AF300">
        <f>AVERAGE(Table1[[#This Row],[Range2_Low]:[Range2_High]])</f>
        <v>0</v>
      </c>
      <c r="AG300">
        <f>AVERAGE(Table1[[#This Row],[Range1_Low]:[Range1_High]])</f>
        <v>5.5000000000000003E-7</v>
      </c>
      <c r="AH300">
        <v>1</v>
      </c>
    </row>
    <row r="301" spans="1:34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tr" cm="1">
        <f t="array" ref="U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1" t="str" cm="1">
        <f t="array" ref="V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  <c r="AF301">
        <f>AVERAGE(Table1[[#This Row],[Range2_Low]:[Range2_High]])</f>
        <v>0</v>
      </c>
      <c r="AG301">
        <f>AVERAGE(Table1[[#This Row],[Range1_Low]:[Range1_High]])</f>
        <v>5.5000000000000003E-7</v>
      </c>
      <c r="AH301">
        <v>1</v>
      </c>
    </row>
    <row r="302" spans="1:34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tr" cm="1">
        <f t="array" ref="U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nA</v>
      </c>
      <c r="V302" t="str" cm="1">
        <f t="array" ref="V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nA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  <c r="AF302">
        <f>AVERAGE(Table1[[#This Row],[Range2_Low]:[Range2_High]])</f>
        <v>0</v>
      </c>
      <c r="AG302">
        <f>AVERAGE(Table1[[#This Row],[Range1_Low]:[Range1_High]])</f>
        <v>5.5000000000000003E-7</v>
      </c>
      <c r="AH302">
        <v>1</v>
      </c>
    </row>
    <row r="303" spans="1:34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tr" cm="1">
        <f t="array" ref="U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303" t="str" cm="1">
        <f t="array" ref="V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  <c r="AF303">
        <f>AVERAGE(Table1[[#This Row],[Range2_Low]:[Range2_High]])</f>
        <v>0</v>
      </c>
      <c r="AG303">
        <f>AVERAGE(Table1[[#This Row],[Range1_Low]:[Range1_High]])</f>
        <v>5.5000000000000003E-7</v>
      </c>
      <c r="AH303">
        <v>1</v>
      </c>
    </row>
    <row r="304" spans="1:34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tr" cm="1">
        <f t="array" ref="U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04" t="str" cm="1">
        <f t="array" ref="V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  <c r="AF304">
        <f>AVERAGE(Table1[[#This Row],[Range2_Low]:[Range2_High]])</f>
        <v>0</v>
      </c>
      <c r="AG304">
        <f>AVERAGE(Table1[[#This Row],[Range1_Low]:[Range1_High]])</f>
        <v>5.5000000000000003E-7</v>
      </c>
      <c r="AH304">
        <v>1</v>
      </c>
    </row>
    <row r="305" spans="1:34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tr" cm="1">
        <f t="array" ref="U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05" t="str" cm="1">
        <f t="array" ref="V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  <c r="AF305">
        <f>AVERAGE(Table1[[#This Row],[Range2_Low]:[Range2_High]])</f>
        <v>0</v>
      </c>
      <c r="AG305">
        <f>AVERAGE(Table1[[#This Row],[Range1_Low]:[Range1_High]])</f>
        <v>5.5000000000000003E-7</v>
      </c>
      <c r="AH305">
        <v>1</v>
      </c>
    </row>
    <row r="306" spans="1:34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tr" cm="1">
        <f t="array" ref="U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6" t="str" cm="1">
        <f t="array" ref="V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  <c r="AF306">
        <f>AVERAGE(Table1[[#This Row],[Range2_Low]:[Range2_High]])</f>
        <v>0</v>
      </c>
      <c r="AG306">
        <f>AVERAGE(Table1[[#This Row],[Range1_Low]:[Range1_High]])</f>
        <v>5.5000000000000007E-6</v>
      </c>
      <c r="AH306">
        <v>1</v>
      </c>
    </row>
    <row r="307" spans="1:34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tr" cm="1">
        <f t="array" ref="U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7" t="str" cm="1">
        <f t="array" ref="V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nA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  <c r="AF307">
        <f>AVERAGE(Table1[[#This Row],[Range2_Low]:[Range2_High]])</f>
        <v>0</v>
      </c>
      <c r="AG307">
        <f>AVERAGE(Table1[[#This Row],[Range1_Low]:[Range1_High]])</f>
        <v>5.5000000000000007E-6</v>
      </c>
      <c r="AH307">
        <v>1</v>
      </c>
    </row>
    <row r="308" spans="1:34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tr" cm="1">
        <f t="array" ref="U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8" t="str" cm="1">
        <f t="array" ref="V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  <c r="AF308">
        <f>AVERAGE(Table1[[#This Row],[Range2_Low]:[Range2_High]])</f>
        <v>0</v>
      </c>
      <c r="AG308">
        <f>AVERAGE(Table1[[#This Row],[Range1_Low]:[Range1_High]])</f>
        <v>5.5000000000000007E-6</v>
      </c>
      <c r="AH308">
        <v>1</v>
      </c>
    </row>
    <row r="309" spans="1:34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tr" cm="1">
        <f t="array" ref="U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nA</v>
      </c>
      <c r="V309" t="str" cm="1">
        <f t="array" ref="V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nA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  <c r="AF309">
        <f>AVERAGE(Table1[[#This Row],[Range2_Low]:[Range2_High]])</f>
        <v>0</v>
      </c>
      <c r="AG309">
        <f>AVERAGE(Table1[[#This Row],[Range1_Low]:[Range1_High]])</f>
        <v>5.5000000000000007E-6</v>
      </c>
      <c r="AH309">
        <v>1</v>
      </c>
    </row>
    <row r="310" spans="1:34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tr" cm="1">
        <f t="array" ref="U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10" t="str" cm="1">
        <f t="array" ref="V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  <c r="AF310">
        <f>AVERAGE(Table1[[#This Row],[Range2_Low]:[Range2_High]])</f>
        <v>0</v>
      </c>
      <c r="AG310">
        <f>AVERAGE(Table1[[#This Row],[Range1_Low]:[Range1_High]])</f>
        <v>5.5000000000000007E-6</v>
      </c>
      <c r="AH310">
        <v>1</v>
      </c>
    </row>
    <row r="311" spans="1:34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tr" cm="1">
        <f t="array" ref="U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1" t="str" cm="1">
        <f t="array" ref="V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  <c r="AF311">
        <f>AVERAGE(Table1[[#This Row],[Range2_Low]:[Range2_High]])</f>
        <v>0</v>
      </c>
      <c r="AG311">
        <f>AVERAGE(Table1[[#This Row],[Range1_Low]:[Range1_High]])</f>
        <v>5.5000000000000007E-6</v>
      </c>
      <c r="AH311">
        <v>1</v>
      </c>
    </row>
    <row r="312" spans="1:34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tr" cm="1">
        <f t="array" ref="U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2" t="str" cm="1">
        <f t="array" ref="V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  <c r="AF312">
        <f>AVERAGE(Table1[[#This Row],[Range2_Low]:[Range2_High]])</f>
        <v>0</v>
      </c>
      <c r="AG312">
        <f>AVERAGE(Table1[[#This Row],[Range1_Low]:[Range1_High]])</f>
        <v>5.5000000000000002E-5</v>
      </c>
      <c r="AH312">
        <v>1</v>
      </c>
    </row>
    <row r="313" spans="1:34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tr" cm="1">
        <f t="array" ref="U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3" t="str" cm="1">
        <f t="array" ref="V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  <c r="AF313">
        <f>AVERAGE(Table1[[#This Row],[Range2_Low]:[Range2_High]])</f>
        <v>0</v>
      </c>
      <c r="AG313">
        <f>AVERAGE(Table1[[#This Row],[Range1_Low]:[Range1_High]])</f>
        <v>5.5000000000000002E-5</v>
      </c>
      <c r="AH313">
        <v>1</v>
      </c>
    </row>
    <row r="314" spans="1:34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tr" cm="1">
        <f t="array" ref="U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nA</v>
      </c>
      <c r="V314" t="str" cm="1">
        <f t="array" ref="V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nA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  <c r="AF314">
        <f>AVERAGE(Table1[[#This Row],[Range2_Low]:[Range2_High]])</f>
        <v>0</v>
      </c>
      <c r="AG314">
        <f>AVERAGE(Table1[[#This Row],[Range1_Low]:[Range1_High]])</f>
        <v>5.5000000000000002E-5</v>
      </c>
      <c r="AH314">
        <v>1</v>
      </c>
    </row>
    <row r="315" spans="1:34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tr" cm="1">
        <f t="array" ref="U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nA</v>
      </c>
      <c r="V315" t="str" cm="1">
        <f t="array" ref="V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nA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  <c r="AF315">
        <f>AVERAGE(Table1[[#This Row],[Range2_Low]:[Range2_High]])</f>
        <v>0</v>
      </c>
      <c r="AG315">
        <f>AVERAGE(Table1[[#This Row],[Range1_Low]:[Range1_High]])</f>
        <v>5.5000000000000002E-5</v>
      </c>
      <c r="AH315">
        <v>1</v>
      </c>
    </row>
    <row r="316" spans="1:34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tr" cm="1">
        <f t="array" ref="U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6" t="str" cm="1">
        <f t="array" ref="V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  <c r="AF316">
        <f>AVERAGE(Table1[[#This Row],[Range2_Low]:[Range2_High]])</f>
        <v>0</v>
      </c>
      <c r="AG316">
        <f>AVERAGE(Table1[[#This Row],[Range1_Low]:[Range1_High]])</f>
        <v>5.5000000000000002E-5</v>
      </c>
      <c r="AH316">
        <v>1</v>
      </c>
    </row>
    <row r="317" spans="1:34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tr" cm="1">
        <f t="array" ref="U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17" t="str" cm="1">
        <f t="array" ref="V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  <c r="AF317">
        <f>AVERAGE(Table1[[#This Row],[Range2_Low]:[Range2_High]])</f>
        <v>0</v>
      </c>
      <c r="AG317">
        <f>AVERAGE(Table1[[#This Row],[Range1_Low]:[Range1_High]])</f>
        <v>5.5000000000000002E-5</v>
      </c>
      <c r="AH317">
        <v>1</v>
      </c>
    </row>
    <row r="318" spans="1:34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tr" cm="1">
        <f t="array" ref="U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8" t="str" cm="1">
        <f t="array" ref="V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nA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  <c r="AF318">
        <f>AVERAGE(Table1[[#This Row],[Range2_Low]:[Range2_High]])</f>
        <v>0</v>
      </c>
      <c r="AG318">
        <f>AVERAGE(Table1[[#This Row],[Range1_Low]:[Range1_High]])</f>
        <v>5.5000000000000003E-4</v>
      </c>
      <c r="AH318">
        <v>1</v>
      </c>
    </row>
    <row r="319" spans="1:34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tr" cm="1">
        <f t="array" ref="U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9" t="str" cm="1">
        <f t="array" ref="V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  <c r="AF319">
        <f>AVERAGE(Table1[[#This Row],[Range2_Low]:[Range2_High]])</f>
        <v>0</v>
      </c>
      <c r="AG319">
        <f>AVERAGE(Table1[[#This Row],[Range1_Low]:[Range1_High]])</f>
        <v>5.5000000000000003E-4</v>
      </c>
      <c r="AH319">
        <v>1</v>
      </c>
    </row>
    <row r="320" spans="1:34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tr" cm="1">
        <f t="array" ref="U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nA</v>
      </c>
      <c r="V320" t="str" cm="1">
        <f t="array" ref="V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  <c r="AF320">
        <f>AVERAGE(Table1[[#This Row],[Range2_Low]:[Range2_High]])</f>
        <v>0</v>
      </c>
      <c r="AG320">
        <f>AVERAGE(Table1[[#This Row],[Range1_Low]:[Range1_High]])</f>
        <v>5.5000000000000003E-4</v>
      </c>
      <c r="AH320">
        <v>1</v>
      </c>
    </row>
    <row r="321" spans="1:34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tr" cm="1">
        <f t="array" ref="U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V321" t="str" cm="1">
        <f t="array" ref="V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nA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  <c r="AF321">
        <f>AVERAGE(Table1[[#This Row],[Range2_Low]:[Range2_High]])</f>
        <v>0</v>
      </c>
      <c r="AG321">
        <f>AVERAGE(Table1[[#This Row],[Range1_Low]:[Range1_High]])</f>
        <v>5.5000000000000003E-4</v>
      </c>
      <c r="AH321">
        <v>1</v>
      </c>
    </row>
    <row r="322" spans="1:34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tr" cm="1">
        <f t="array" ref="U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22" t="str" cm="1">
        <f t="array" ref="V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  <c r="AF322">
        <f>AVERAGE(Table1[[#This Row],[Range2_Low]:[Range2_High]])</f>
        <v>0</v>
      </c>
      <c r="AG322">
        <f>AVERAGE(Table1[[#This Row],[Range1_Low]:[Range1_High]])</f>
        <v>5.5000000000000003E-4</v>
      </c>
      <c r="AH322">
        <v>1</v>
      </c>
    </row>
    <row r="323" spans="1:34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tr" cm="1">
        <f t="array" ref="U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323" t="str" cm="1">
        <f t="array" ref="V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  <c r="AF323">
        <f>AVERAGE(Table1[[#This Row],[Range2_Low]:[Range2_High]])</f>
        <v>0</v>
      </c>
      <c r="AG323">
        <f>AVERAGE(Table1[[#This Row],[Range1_Low]:[Range1_High]])</f>
        <v>5.5000000000000003E-4</v>
      </c>
      <c r="AH323">
        <v>1</v>
      </c>
    </row>
    <row r="324" spans="1:34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tr" cm="1">
        <f t="array" ref="U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4" t="str" cm="1">
        <f t="array" ref="V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  <c r="AF324">
        <f>AVERAGE(Table1[[#This Row],[Range2_Low]:[Range2_High]])</f>
        <v>0</v>
      </c>
      <c r="AG324">
        <f>AVERAGE(Table1[[#This Row],[Range1_Low]:[Range1_High]])</f>
        <v>5.4999999999999997E-3</v>
      </c>
      <c r="AH324">
        <v>1</v>
      </c>
    </row>
    <row r="325" spans="1:34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tr" cm="1">
        <f t="array" ref="U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5" t="str" cm="1">
        <f t="array" ref="V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  <c r="AF325">
        <f>AVERAGE(Table1[[#This Row],[Range2_Low]:[Range2_High]])</f>
        <v>0</v>
      </c>
      <c r="AG325">
        <f>AVERAGE(Table1[[#This Row],[Range1_Low]:[Range1_High]])</f>
        <v>5.4999999999999997E-3</v>
      </c>
      <c r="AH325">
        <v>1</v>
      </c>
    </row>
    <row r="326" spans="1:34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tr" cm="1">
        <f t="array" ref="U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V326" t="str" cm="1">
        <f t="array" ref="V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  <c r="AF326">
        <f>AVERAGE(Table1[[#This Row],[Range2_Low]:[Range2_High]])</f>
        <v>0</v>
      </c>
      <c r="AG326">
        <f>AVERAGE(Table1[[#This Row],[Range1_Low]:[Range1_High]])</f>
        <v>5.4999999999999997E-3</v>
      </c>
      <c r="AH326">
        <v>1</v>
      </c>
    </row>
    <row r="327" spans="1:34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tr" cm="1">
        <f t="array" ref="U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V327" t="str" cm="1">
        <f t="array" ref="V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µA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  <c r="AF327">
        <f>AVERAGE(Table1[[#This Row],[Range2_Low]:[Range2_High]])</f>
        <v>0</v>
      </c>
      <c r="AG327">
        <f>AVERAGE(Table1[[#This Row],[Range1_Low]:[Range1_High]])</f>
        <v>5.4999999999999997E-3</v>
      </c>
      <c r="AH327">
        <v>1</v>
      </c>
    </row>
    <row r="328" spans="1:34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tr" cm="1">
        <f t="array" ref="U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328" t="str" cm="1">
        <f t="array" ref="V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  <c r="AF328">
        <f>AVERAGE(Table1[[#This Row],[Range2_Low]:[Range2_High]])</f>
        <v>0</v>
      </c>
      <c r="AG328">
        <f>AVERAGE(Table1[[#This Row],[Range1_Low]:[Range1_High]])</f>
        <v>5.4999999999999997E-3</v>
      </c>
      <c r="AH328">
        <v>1</v>
      </c>
    </row>
    <row r="329" spans="1:34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tr" cm="1">
        <f t="array" ref="U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29" t="str" cm="1">
        <f t="array" ref="V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  <c r="AF329">
        <f>AVERAGE(Table1[[#This Row],[Range2_Low]:[Range2_High]])</f>
        <v>0</v>
      </c>
      <c r="AG329">
        <f>AVERAGE(Table1[[#This Row],[Range1_Low]:[Range1_High]])</f>
        <v>5.4999999999999997E-3</v>
      </c>
      <c r="AH329">
        <v>1</v>
      </c>
    </row>
    <row r="330" spans="1:34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tr" cm="1">
        <f t="array" ref="U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0" t="str" cm="1">
        <f t="array" ref="V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  <c r="AF330">
        <f>AVERAGE(Table1[[#This Row],[Range2_Low]:[Range2_High]])</f>
        <v>0</v>
      </c>
      <c r="AG330">
        <f>AVERAGE(Table1[[#This Row],[Range1_Low]:[Range1_High]])</f>
        <v>5.5E-2</v>
      </c>
      <c r="AH330">
        <v>1</v>
      </c>
    </row>
    <row r="331" spans="1:34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tr" cm="1">
        <f t="array" ref="U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1" t="str" cm="1">
        <f t="array" ref="V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  <c r="AF331">
        <f>AVERAGE(Table1[[#This Row],[Range2_Low]:[Range2_High]])</f>
        <v>0</v>
      </c>
      <c r="AG331">
        <f>AVERAGE(Table1[[#This Row],[Range1_Low]:[Range1_High]])</f>
        <v>5.5E-2</v>
      </c>
      <c r="AH331">
        <v>1</v>
      </c>
    </row>
    <row r="332" spans="1:34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tr" cm="1">
        <f t="array" ref="U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2" t="str" cm="1">
        <f t="array" ref="V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  <c r="AF332">
        <f>AVERAGE(Table1[[#This Row],[Range2_Low]:[Range2_High]])</f>
        <v>0</v>
      </c>
      <c r="AG332">
        <f>AVERAGE(Table1[[#This Row],[Range1_Low]:[Range1_High]])</f>
        <v>5.5E-2</v>
      </c>
      <c r="AH332">
        <v>1</v>
      </c>
    </row>
    <row r="333" spans="1:34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tr" cm="1">
        <f t="array" ref="U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333" t="str" cm="1">
        <f t="array" ref="V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  <c r="AF333">
        <f>AVERAGE(Table1[[#This Row],[Range2_Low]:[Range2_High]])</f>
        <v>0</v>
      </c>
      <c r="AG333">
        <f>AVERAGE(Table1[[#This Row],[Range1_Low]:[Range1_High]])</f>
        <v>5.5E-2</v>
      </c>
      <c r="AH333">
        <v>1</v>
      </c>
    </row>
    <row r="334" spans="1:34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tr" cm="1">
        <f t="array" ref="U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34" t="str" cm="1">
        <f t="array" ref="V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  <c r="AF334">
        <f>AVERAGE(Table1[[#This Row],[Range2_Low]:[Range2_High]])</f>
        <v>0</v>
      </c>
      <c r="AG334">
        <f>AVERAGE(Table1[[#This Row],[Range1_Low]:[Range1_High]])</f>
        <v>5.5E-2</v>
      </c>
      <c r="AH334">
        <v>1</v>
      </c>
    </row>
    <row r="335" spans="1:34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tr" cm="1">
        <f t="array" ref="U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35" t="str" cm="1">
        <f t="array" ref="V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  <c r="AF335">
        <f>AVERAGE(Table1[[#This Row],[Range2_Low]:[Range2_High]])</f>
        <v>0</v>
      </c>
      <c r="AG335">
        <f>AVERAGE(Table1[[#This Row],[Range1_Low]:[Range1_High]])</f>
        <v>5.5E-2</v>
      </c>
      <c r="AH335">
        <v>1</v>
      </c>
    </row>
    <row r="336" spans="1:34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tr" cm="1">
        <f t="array" ref="U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6" t="str" cm="1">
        <f t="array" ref="V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  <c r="AF336">
        <f>AVERAGE(Table1[[#This Row],[Range2_Low]:[Range2_High]])</f>
        <v>0</v>
      </c>
      <c r="AG336">
        <f>AVERAGE(Table1[[#This Row],[Range1_Low]:[Range1_High]])</f>
        <v>0.55000000000000004</v>
      </c>
      <c r="AH336">
        <v>1</v>
      </c>
    </row>
    <row r="337" spans="1:34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tr" cm="1">
        <f t="array" ref="U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7" t="str" cm="1">
        <f t="array" ref="V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  <c r="AF337">
        <f>AVERAGE(Table1[[#This Row],[Range2_Low]:[Range2_High]])</f>
        <v>0</v>
      </c>
      <c r="AG337">
        <f>AVERAGE(Table1[[#This Row],[Range1_Low]:[Range1_High]])</f>
        <v>0.55000000000000004</v>
      </c>
      <c r="AH337">
        <v>1</v>
      </c>
    </row>
    <row r="338" spans="1:34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tr" cm="1">
        <f t="array" ref="U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8" t="str" cm="1">
        <f t="array" ref="V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  <c r="AF338">
        <f>AVERAGE(Table1[[#This Row],[Range2_Low]:[Range2_High]])</f>
        <v>0</v>
      </c>
      <c r="AG338">
        <f>AVERAGE(Table1[[#This Row],[Range1_Low]:[Range1_High]])</f>
        <v>0.55000000000000004</v>
      </c>
      <c r="AH338">
        <v>1</v>
      </c>
    </row>
    <row r="339" spans="1:34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tr" cm="1">
        <f t="array" ref="U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µA</v>
      </c>
      <c r="V339" t="str" cm="1">
        <f t="array" ref="V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  <c r="AF339">
        <f>AVERAGE(Table1[[#This Row],[Range2_Low]:[Range2_High]])</f>
        <v>0</v>
      </c>
      <c r="AG339">
        <f>AVERAGE(Table1[[#This Row],[Range1_Low]:[Range1_High]])</f>
        <v>0.55000000000000004</v>
      </c>
      <c r="AH339">
        <v>1</v>
      </c>
    </row>
    <row r="340" spans="1:34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tr" cm="1">
        <f t="array" ref="U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40" t="str" cm="1">
        <f t="array" ref="V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  <c r="AF340">
        <f>AVERAGE(Table1[[#This Row],[Range2_Low]:[Range2_High]])</f>
        <v>0</v>
      </c>
      <c r="AG340">
        <f>AVERAGE(Table1[[#This Row],[Range1_Low]:[Range1_High]])</f>
        <v>0.55000000000000004</v>
      </c>
      <c r="AH340">
        <v>1</v>
      </c>
    </row>
    <row r="341" spans="1:34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tr" cm="1">
        <f t="array" ref="U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341" t="str" cm="1">
        <f t="array" ref="V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  <c r="AF341">
        <f>AVERAGE(Table1[[#This Row],[Range2_Low]:[Range2_High]])</f>
        <v>0</v>
      </c>
      <c r="AG341">
        <f>AVERAGE(Table1[[#This Row],[Range1_Low]:[Range1_High]])</f>
        <v>0.55000000000000004</v>
      </c>
      <c r="AH341">
        <v>1</v>
      </c>
    </row>
    <row r="342" spans="1:34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tr" cm="1">
        <f t="array" ref="U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2" t="str" cm="1">
        <f t="array" ref="V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  <c r="AF342">
        <f>AVERAGE(Table1[[#This Row],[Range2_Low]:[Range2_High]])</f>
        <v>0</v>
      </c>
      <c r="AG342">
        <f>AVERAGE(Table1[[#This Row],[Range1_Low]:[Range1_High]])</f>
        <v>10.5</v>
      </c>
      <c r="AH342">
        <v>1</v>
      </c>
    </row>
    <row r="343" spans="1:34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tr" cm="1">
        <f t="array" ref="U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3" t="str" cm="1">
        <f t="array" ref="V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  <c r="AF343">
        <f>AVERAGE(Table1[[#This Row],[Range2_Low]:[Range2_High]])</f>
        <v>0</v>
      </c>
      <c r="AG343">
        <f>AVERAGE(Table1[[#This Row],[Range1_Low]:[Range1_High]])</f>
        <v>10.5</v>
      </c>
      <c r="AH343">
        <v>1</v>
      </c>
    </row>
    <row r="344" spans="1:34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tr" cm="1">
        <f t="array" ref="U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mA</v>
      </c>
      <c r="V344" t="str" cm="1">
        <f t="array" ref="V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  <c r="AF344">
        <f>AVERAGE(Table1[[#This Row],[Range2_Low]:[Range2_High]])</f>
        <v>0</v>
      </c>
      <c r="AG344">
        <f>AVERAGE(Table1[[#This Row],[Range1_Low]:[Range1_High]])</f>
        <v>10.5</v>
      </c>
      <c r="AH344">
        <v>1</v>
      </c>
    </row>
    <row r="345" spans="1:34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tr" cm="1">
        <f t="array" ref="U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mA</v>
      </c>
      <c r="V345" t="str" cm="1">
        <f t="array" ref="V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  <c r="AF345">
        <f>AVERAGE(Table1[[#This Row],[Range2_Low]:[Range2_High]])</f>
        <v>0</v>
      </c>
      <c r="AG345">
        <f>AVERAGE(Table1[[#This Row],[Range1_Low]:[Range1_High]])</f>
        <v>10.5</v>
      </c>
      <c r="AH345">
        <v>1</v>
      </c>
    </row>
    <row r="346" spans="1:34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tr" cm="1">
        <f t="array" ref="U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346" t="str" cm="1">
        <f t="array" ref="V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  <c r="AF346">
        <f>AVERAGE(Table1[[#This Row],[Range2_Low]:[Range2_High]])</f>
        <v>0</v>
      </c>
      <c r="AG346">
        <f>AVERAGE(Table1[[#This Row],[Range1_Low]:[Range1_High]])</f>
        <v>10.5</v>
      </c>
      <c r="AH346">
        <v>1</v>
      </c>
    </row>
    <row r="347" spans="1:34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tr" cm="1">
        <f t="array" ref="U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347" t="str" cm="1">
        <f t="array" ref="V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  <c r="AF347">
        <f>AVERAGE(Table1[[#This Row],[Range2_Low]:[Range2_High]])</f>
        <v>0</v>
      </c>
      <c r="AG347">
        <f>AVERAGE(Table1[[#This Row],[Range1_Low]:[Range1_High]])</f>
        <v>10.5</v>
      </c>
      <c r="AH347">
        <v>1</v>
      </c>
    </row>
    <row r="348" spans="1:34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167</v>
      </c>
      <c r="U348" t="str" cm="1">
        <f t="array" ref="U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348" t="str" cm="1">
        <f t="array" ref="V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  <c r="AF348">
        <f>AVERAGE(Table1[[#This Row],[Range2_Low]:[Range2_High]])</f>
        <v>0</v>
      </c>
      <c r="AG348">
        <f>AVERAGE(Table1[[#This Row],[Range1_Low]:[Range1_High]])</f>
        <v>-255.00049999999999</v>
      </c>
      <c r="AH348">
        <v>1</v>
      </c>
    </row>
    <row r="349" spans="1:34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167</v>
      </c>
      <c r="U349" t="str" cm="1">
        <f t="array" ref="U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349" t="str" cm="1">
        <f t="array" ref="V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  <c r="AF349">
        <f>AVERAGE(Table1[[#This Row],[Range2_Low]:[Range2_High]])</f>
        <v>0</v>
      </c>
      <c r="AG349">
        <f>AVERAGE(Table1[[#This Row],[Range1_Low]:[Range1_High]])</f>
        <v>-255.00049999999999</v>
      </c>
      <c r="AH349">
        <v>1</v>
      </c>
    </row>
    <row r="350" spans="1:34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167</v>
      </c>
      <c r="U350" t="str" cm="1">
        <f t="array" ref="U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0" t="str" cm="1">
        <f t="array" ref="V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  <c r="AF350">
        <f>AVERAGE(Table1[[#This Row],[Range2_Low]:[Range2_High]])</f>
        <v>0</v>
      </c>
      <c r="AG350">
        <f>AVERAGE(Table1[[#This Row],[Range1_Low]:[Range1_High]])</f>
        <v>-73.500500000000002</v>
      </c>
      <c r="AH350">
        <v>1</v>
      </c>
    </row>
    <row r="351" spans="1:34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167</v>
      </c>
      <c r="U351" t="str" cm="1">
        <f t="array" ref="U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1" t="str" cm="1">
        <f t="array" ref="V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  <c r="AF351">
        <f>AVERAGE(Table1[[#This Row],[Range2_Low]:[Range2_High]])</f>
        <v>0</v>
      </c>
      <c r="AG351">
        <f>AVERAGE(Table1[[#This Row],[Range1_Low]:[Range1_High]])</f>
        <v>-73.500500000000002</v>
      </c>
      <c r="AH351">
        <v>1</v>
      </c>
    </row>
    <row r="352" spans="1:34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167</v>
      </c>
      <c r="U352" t="str" cm="1">
        <f t="array" ref="U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V352" t="str" cm="1">
        <f t="array" ref="V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  <c r="AF352">
        <f>AVERAGE(Table1[[#This Row],[Range2_Low]:[Range2_High]])</f>
        <v>0</v>
      </c>
      <c r="AG352">
        <f>AVERAGE(Table1[[#This Row],[Range1_Low]:[Range1_High]])</f>
        <v>246.5</v>
      </c>
      <c r="AH352">
        <v>1</v>
      </c>
    </row>
    <row r="353" spans="1:34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167</v>
      </c>
      <c r="U353" t="str" cm="1">
        <f t="array" ref="U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53" t="str" cm="1">
        <f t="array" ref="V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  <c r="AF353">
        <f>AVERAGE(Table1[[#This Row],[Range2_Low]:[Range2_High]])</f>
        <v>0</v>
      </c>
      <c r="AG353">
        <f>AVERAGE(Table1[[#This Row],[Range1_Low]:[Range1_High]])</f>
        <v>246.5</v>
      </c>
      <c r="AH353">
        <v>1</v>
      </c>
    </row>
    <row r="354" spans="1:34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166</v>
      </c>
      <c r="U354" t="str" cm="1">
        <f t="array" ref="U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354" t="str" cm="1">
        <f t="array" ref="V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  <c r="AF354">
        <f>AVERAGE(Table1[[#This Row],[Range2_Low]:[Range2_High]])</f>
        <v>0</v>
      </c>
      <c r="AG354">
        <f>AVERAGE(Table1[[#This Row],[Range1_Low]:[Range1_High]])</f>
        <v>-25.000499999999999</v>
      </c>
      <c r="AH354">
        <v>1</v>
      </c>
    </row>
    <row r="355" spans="1:34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166</v>
      </c>
      <c r="U355" t="str" cm="1">
        <f t="array" ref="U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5" t="str" cm="1">
        <f t="array" ref="V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  <c r="AF355">
        <f>AVERAGE(Table1[[#This Row],[Range2_Low]:[Range2_High]])</f>
        <v>0</v>
      </c>
      <c r="AG355">
        <f>AVERAGE(Table1[[#This Row],[Range1_Low]:[Range1_High]])</f>
        <v>-25.000499999999999</v>
      </c>
      <c r="AH355">
        <v>1</v>
      </c>
    </row>
    <row r="356" spans="1:34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166</v>
      </c>
      <c r="U356" t="str" cm="1">
        <f t="array" ref="U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6" t="str" cm="1">
        <f t="array" ref="V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  <c r="AF356">
        <f>AVERAGE(Table1[[#This Row],[Range2_Low]:[Range2_High]])</f>
        <v>0</v>
      </c>
      <c r="AG356">
        <f>AVERAGE(Table1[[#This Row],[Range1_Low]:[Range1_High]])</f>
        <v>296.5</v>
      </c>
      <c r="AH356">
        <v>1</v>
      </c>
    </row>
    <row r="357" spans="1:34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166</v>
      </c>
      <c r="U357" t="str" cm="1">
        <f t="array" ref="U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7" t="str" cm="1">
        <f t="array" ref="V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  <c r="AF357">
        <f>AVERAGE(Table1[[#This Row],[Range2_Low]:[Range2_High]])</f>
        <v>0</v>
      </c>
      <c r="AG357">
        <f>AVERAGE(Table1[[#This Row],[Range1_Low]:[Range1_High]])</f>
        <v>296.5</v>
      </c>
      <c r="AH357">
        <v>1</v>
      </c>
    </row>
    <row r="358" spans="1:34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166</v>
      </c>
      <c r="U358" t="str" cm="1">
        <f t="array" ref="U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58" t="str" cm="1">
        <f t="array" ref="V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  <c r="AF358">
        <f>AVERAGE(Table1[[#This Row],[Range2_Low]:[Range2_High]])</f>
        <v>0</v>
      </c>
      <c r="AG358">
        <f>AVERAGE(Table1[[#This Row],[Range1_Low]:[Range1_High]])</f>
        <v>898.50049999999999</v>
      </c>
      <c r="AH358">
        <v>1</v>
      </c>
    </row>
    <row r="359" spans="1:34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166</v>
      </c>
      <c r="U359" t="str" cm="1">
        <f t="array" ref="U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59" t="str" cm="1">
        <f t="array" ref="V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  <c r="AF359">
        <f>AVERAGE(Table1[[#This Row],[Range2_Low]:[Range2_High]])</f>
        <v>0</v>
      </c>
      <c r="AG359">
        <f>AVERAGE(Table1[[#This Row],[Range1_Low]:[Range1_High]])</f>
        <v>898.50049999999999</v>
      </c>
      <c r="AH359">
        <v>1</v>
      </c>
    </row>
    <row r="360" spans="1:34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166</v>
      </c>
      <c r="U360" t="str" cm="1">
        <f t="array" ref="U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0" t="str" cm="1">
        <f t="array" ref="V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  <c r="AF360">
        <f>AVERAGE(Table1[[#This Row],[Range2_Low]:[Range2_High]])</f>
        <v>0</v>
      </c>
      <c r="AG360">
        <f>AVERAGE(Table1[[#This Row],[Range1_Low]:[Range1_High]])</f>
        <v>1486.0005000000001</v>
      </c>
      <c r="AH360">
        <v>1</v>
      </c>
    </row>
    <row r="361" spans="1:34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166</v>
      </c>
      <c r="U361" t="str" cm="1">
        <f t="array" ref="U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1" t="str" cm="1">
        <f t="array" ref="V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  <c r="AF361">
        <f>AVERAGE(Table1[[#This Row],[Range2_Low]:[Range2_High]])</f>
        <v>0</v>
      </c>
      <c r="AG361">
        <f>AVERAGE(Table1[[#This Row],[Range1_Low]:[Range1_High]])</f>
        <v>1486.0005000000001</v>
      </c>
      <c r="AH361">
        <v>1</v>
      </c>
    </row>
    <row r="362" spans="1:34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165</v>
      </c>
      <c r="U362" t="str" cm="1">
        <f t="array" ref="U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362" t="str" cm="1">
        <f t="array" ref="V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  <c r="AF362">
        <f>AVERAGE(Table1[[#This Row],[Range2_Low]:[Range2_High]])</f>
        <v>0</v>
      </c>
      <c r="AG362">
        <f>AVERAGE(Table1[[#This Row],[Range1_Low]:[Range1_High]])</f>
        <v>-25.000499999999999</v>
      </c>
      <c r="AH362">
        <v>1</v>
      </c>
    </row>
    <row r="363" spans="1:34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165</v>
      </c>
      <c r="U363" t="str" cm="1">
        <f t="array" ref="U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363" t="str" cm="1">
        <f t="array" ref="V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  <c r="AF363">
        <f>AVERAGE(Table1[[#This Row],[Range2_Low]:[Range2_High]])</f>
        <v>0</v>
      </c>
      <c r="AG363">
        <f>AVERAGE(Table1[[#This Row],[Range1_Low]:[Range1_High]])</f>
        <v>-25.000499999999999</v>
      </c>
      <c r="AH363">
        <v>1</v>
      </c>
    </row>
    <row r="364" spans="1:34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165</v>
      </c>
      <c r="U364" t="str" cm="1">
        <f t="array" ref="U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4" t="str" cm="1">
        <f t="array" ref="V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  <c r="AF364">
        <f>AVERAGE(Table1[[#This Row],[Range2_Low]:[Range2_High]])</f>
        <v>0</v>
      </c>
      <c r="AG364">
        <f>AVERAGE(Table1[[#This Row],[Range1_Low]:[Range1_High]])</f>
        <v>296.5</v>
      </c>
      <c r="AH364">
        <v>1</v>
      </c>
    </row>
    <row r="365" spans="1:34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165</v>
      </c>
      <c r="U365" t="str" cm="1">
        <f t="array" ref="U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5" t="str" cm="1">
        <f t="array" ref="V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  <c r="AF365">
        <f>AVERAGE(Table1[[#This Row],[Range2_Low]:[Range2_High]])</f>
        <v>0</v>
      </c>
      <c r="AG365">
        <f>AVERAGE(Table1[[#This Row],[Range1_Low]:[Range1_High]])</f>
        <v>296.5</v>
      </c>
      <c r="AH365">
        <v>1</v>
      </c>
    </row>
    <row r="366" spans="1:34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165</v>
      </c>
      <c r="U366" t="str" cm="1">
        <f t="array" ref="U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66" t="str" cm="1">
        <f t="array" ref="V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  <c r="AF366">
        <f>AVERAGE(Table1[[#This Row],[Range2_Low]:[Range2_High]])</f>
        <v>0</v>
      </c>
      <c r="AG366">
        <f>AVERAGE(Table1[[#This Row],[Range1_Low]:[Range1_High]])</f>
        <v>898.50049999999999</v>
      </c>
      <c r="AH366">
        <v>1</v>
      </c>
    </row>
    <row r="367" spans="1:34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165</v>
      </c>
      <c r="U367" t="str" cm="1">
        <f t="array" ref="U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7" t="str" cm="1">
        <f t="array" ref="V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  <c r="AF367">
        <f>AVERAGE(Table1[[#This Row],[Range2_Low]:[Range2_High]])</f>
        <v>0</v>
      </c>
      <c r="AG367">
        <f>AVERAGE(Table1[[#This Row],[Range1_Low]:[Range1_High]])</f>
        <v>898.50049999999999</v>
      </c>
      <c r="AH367">
        <v>1</v>
      </c>
    </row>
    <row r="368" spans="1:34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165</v>
      </c>
      <c r="U368" t="str" cm="1">
        <f t="array" ref="U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8" t="str" cm="1">
        <f t="array" ref="V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  <c r="AF368">
        <f>AVERAGE(Table1[[#This Row],[Range2_Low]:[Range2_High]])</f>
        <v>0</v>
      </c>
      <c r="AG368">
        <f>AVERAGE(Table1[[#This Row],[Range1_Low]:[Range1_High]])</f>
        <v>1486.0005000000001</v>
      </c>
      <c r="AH368">
        <v>1</v>
      </c>
    </row>
    <row r="369" spans="1:34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165</v>
      </c>
      <c r="U369" t="str" cm="1">
        <f t="array" ref="U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9" t="str" cm="1">
        <f t="array" ref="V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  <c r="AF369">
        <f>AVERAGE(Table1[[#This Row],[Range2_Low]:[Range2_High]])</f>
        <v>0</v>
      </c>
      <c r="AG369">
        <f>AVERAGE(Table1[[#This Row],[Range1_Low]:[Range1_High]])</f>
        <v>1486.0005000000001</v>
      </c>
      <c r="AH369">
        <v>1</v>
      </c>
    </row>
    <row r="370" spans="1:34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169</v>
      </c>
      <c r="U370" t="str" cm="1">
        <f t="array" ref="U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V370" t="str" cm="1">
        <f t="array" ref="V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  <c r="AF370">
        <f>AVERAGE(Table1[[#This Row],[Range2_Low]:[Range2_High]])</f>
        <v>0</v>
      </c>
      <c r="AG370">
        <f>AVERAGE(Table1[[#This Row],[Range1_Low]:[Range1_High]])</f>
        <v>-97.8</v>
      </c>
      <c r="AH370">
        <v>1</v>
      </c>
    </row>
    <row r="371" spans="1:34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169</v>
      </c>
      <c r="U371" t="str" cm="1">
        <f t="array" ref="U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1" t="str" cm="1">
        <f t="array" ref="V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  <c r="AF371">
        <f>AVERAGE(Table1[[#This Row],[Range2_Low]:[Range2_High]])</f>
        <v>0</v>
      </c>
      <c r="AG371">
        <f>AVERAGE(Table1[[#This Row],[Range1_Low]:[Range1_High]])</f>
        <v>-97.8</v>
      </c>
      <c r="AH371">
        <v>1</v>
      </c>
    </row>
    <row r="372" spans="1:34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169</v>
      </c>
      <c r="U372" t="str" cm="1">
        <f t="array" ref="U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2" t="str" cm="1">
        <f t="array" ref="V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  <c r="AF372">
        <f>AVERAGE(Table1[[#This Row],[Range2_Low]:[Range2_High]])</f>
        <v>0</v>
      </c>
      <c r="AG372">
        <f>AVERAGE(Table1[[#This Row],[Range1_Low]:[Range1_High]])</f>
        <v>-97.8</v>
      </c>
      <c r="AH372">
        <v>1</v>
      </c>
    </row>
    <row r="373" spans="1:34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169</v>
      </c>
      <c r="U373" t="str" cm="1">
        <f t="array" ref="U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V373" t="str" cm="1">
        <f t="array" ref="V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  <c r="AF373">
        <f>AVERAGE(Table1[[#This Row],[Range2_Low]:[Range2_High]])</f>
        <v>0</v>
      </c>
      <c r="AG373">
        <f>AVERAGE(Table1[[#This Row],[Range1_Low]:[Range1_High]])</f>
        <v>102.2225</v>
      </c>
      <c r="AH373">
        <v>1</v>
      </c>
    </row>
    <row r="374" spans="1:34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169</v>
      </c>
      <c r="U374" t="str" cm="1">
        <f t="array" ref="U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4" t="str" cm="1">
        <f t="array" ref="V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  <c r="AF374">
        <f>AVERAGE(Table1[[#This Row],[Range2_Low]:[Range2_High]])</f>
        <v>0</v>
      </c>
      <c r="AG374">
        <f>AVERAGE(Table1[[#This Row],[Range1_Low]:[Range1_High]])</f>
        <v>102.2225</v>
      </c>
      <c r="AH374">
        <v>1</v>
      </c>
    </row>
    <row r="375" spans="1:34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169</v>
      </c>
      <c r="U375" t="str" cm="1">
        <f t="array" ref="U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5" t="str" cm="1">
        <f t="array" ref="V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  <c r="AF375">
        <f>AVERAGE(Table1[[#This Row],[Range2_Low]:[Range2_High]])</f>
        <v>0</v>
      </c>
      <c r="AG375">
        <f>AVERAGE(Table1[[#This Row],[Range1_Low]:[Range1_High]])</f>
        <v>102.2225</v>
      </c>
      <c r="AH375">
        <v>1</v>
      </c>
    </row>
    <row r="376" spans="1:34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169</v>
      </c>
      <c r="U376" t="str" cm="1">
        <f t="array" ref="U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76" t="str" cm="1">
        <f t="array" ref="V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  <c r="AF376">
        <f>AVERAGE(Table1[[#This Row],[Range2_Low]:[Range2_High]])</f>
        <v>0</v>
      </c>
      <c r="AG376">
        <f>AVERAGE(Table1[[#This Row],[Range1_Low]:[Range1_High]])</f>
        <v>315.55599999999998</v>
      </c>
      <c r="AH376">
        <v>1</v>
      </c>
    </row>
    <row r="377" spans="1:34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169</v>
      </c>
      <c r="U377" t="str" cm="1">
        <f t="array" ref="U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77" t="str" cm="1">
        <f t="array" ref="V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  <c r="AF377">
        <f>AVERAGE(Table1[[#This Row],[Range2_Low]:[Range2_High]])</f>
        <v>0</v>
      </c>
      <c r="AG377">
        <f>AVERAGE(Table1[[#This Row],[Range1_Low]:[Range1_High]])</f>
        <v>315.55599999999998</v>
      </c>
      <c r="AH377">
        <v>1</v>
      </c>
    </row>
    <row r="378" spans="1:34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169</v>
      </c>
      <c r="U378" t="str" cm="1">
        <f t="array" ref="U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8" t="str" cm="1">
        <f t="array" ref="V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  <c r="AF378">
        <f>AVERAGE(Table1[[#This Row],[Range2_Low]:[Range2_High]])</f>
        <v>0</v>
      </c>
      <c r="AG378">
        <f>AVERAGE(Table1[[#This Row],[Range1_Low]:[Range1_High]])</f>
        <v>315.55599999999998</v>
      </c>
      <c r="AH378">
        <v>1</v>
      </c>
    </row>
    <row r="379" spans="1:34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169</v>
      </c>
      <c r="U379" t="str" cm="1">
        <f t="array" ref="U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79" t="str" cm="1">
        <f t="array" ref="V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  <c r="AF379">
        <f>AVERAGE(Table1[[#This Row],[Range2_Low]:[Range2_High]])</f>
        <v>0</v>
      </c>
      <c r="AG379">
        <f>AVERAGE(Table1[[#This Row],[Range1_Low]:[Range1_High]])</f>
        <v>537.77850000000001</v>
      </c>
      <c r="AH379">
        <v>1</v>
      </c>
    </row>
    <row r="380" spans="1:34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169</v>
      </c>
      <c r="U380" t="str" cm="1">
        <f t="array" ref="U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80" t="str" cm="1">
        <f t="array" ref="V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  <c r="AF380">
        <f>AVERAGE(Table1[[#This Row],[Range2_Low]:[Range2_High]])</f>
        <v>0</v>
      </c>
      <c r="AG380">
        <f>AVERAGE(Table1[[#This Row],[Range1_Low]:[Range1_High]])</f>
        <v>537.77850000000001</v>
      </c>
      <c r="AH380">
        <v>1</v>
      </c>
    </row>
    <row r="381" spans="1:34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169</v>
      </c>
      <c r="U381" t="str" cm="1">
        <f t="array" ref="U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1" t="str" cm="1">
        <f t="array" ref="V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  <c r="AF381">
        <f>AVERAGE(Table1[[#This Row],[Range2_Low]:[Range2_High]])</f>
        <v>0</v>
      </c>
      <c r="AG381">
        <f>AVERAGE(Table1[[#This Row],[Range1_Low]:[Range1_High]])</f>
        <v>537.77850000000001</v>
      </c>
      <c r="AH381">
        <v>1</v>
      </c>
    </row>
    <row r="382" spans="1:34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169</v>
      </c>
      <c r="U382" t="str" cm="1">
        <f t="array" ref="U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V382" t="str" cm="1">
        <f t="array" ref="V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  <c r="AF382">
        <f>AVERAGE(Table1[[#This Row],[Range2_Low]:[Range2_High]])</f>
        <v>0</v>
      </c>
      <c r="AG382">
        <f>AVERAGE(Table1[[#This Row],[Range1_Low]:[Range1_High]])</f>
        <v>749.44499999999994</v>
      </c>
      <c r="AH382">
        <v>1</v>
      </c>
    </row>
    <row r="383" spans="1:34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169</v>
      </c>
      <c r="U383" t="str" cm="1">
        <f t="array" ref="U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V383" t="str" cm="1">
        <f t="array" ref="V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  <c r="AF383">
        <f>AVERAGE(Table1[[#This Row],[Range2_Low]:[Range2_High]])</f>
        <v>0</v>
      </c>
      <c r="AG383">
        <f>AVERAGE(Table1[[#This Row],[Range1_Low]:[Range1_High]])</f>
        <v>749.44499999999994</v>
      </c>
      <c r="AH383">
        <v>1</v>
      </c>
    </row>
    <row r="384" spans="1:34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169</v>
      </c>
      <c r="U384" t="str" cm="1">
        <f t="array" ref="U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4" t="str" cm="1">
        <f t="array" ref="V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  <c r="AF384">
        <f>AVERAGE(Table1[[#This Row],[Range2_Low]:[Range2_High]])</f>
        <v>0</v>
      </c>
      <c r="AG384">
        <f>AVERAGE(Table1[[#This Row],[Range1_Low]:[Range1_High]])</f>
        <v>749.44499999999994</v>
      </c>
      <c r="AH384">
        <v>1</v>
      </c>
    </row>
    <row r="385" spans="1:34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168</v>
      </c>
      <c r="U385" t="str" cm="1">
        <f t="array" ref="U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V385" t="str" cm="1">
        <f t="array" ref="V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  <c r="AF385">
        <f>AVERAGE(Table1[[#This Row],[Range2_Low]:[Range2_High]])</f>
        <v>0</v>
      </c>
      <c r="AG385">
        <f>AVERAGE(Table1[[#This Row],[Range1_Low]:[Range1_High]])</f>
        <v>-97.8</v>
      </c>
      <c r="AH385">
        <v>1</v>
      </c>
    </row>
    <row r="386" spans="1:34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168</v>
      </c>
      <c r="U386" t="str" cm="1">
        <f t="array" ref="U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86" t="str" cm="1">
        <f t="array" ref="V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  <c r="AF386">
        <f>AVERAGE(Table1[[#This Row],[Range2_Low]:[Range2_High]])</f>
        <v>0</v>
      </c>
      <c r="AG386">
        <f>AVERAGE(Table1[[#This Row],[Range1_Low]:[Range1_High]])</f>
        <v>-97.8</v>
      </c>
      <c r="AH386">
        <v>1</v>
      </c>
    </row>
    <row r="387" spans="1:34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168</v>
      </c>
      <c r="U387" t="str" cm="1">
        <f t="array" ref="U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7" t="str" cm="1">
        <f t="array" ref="V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  <c r="AF387">
        <f>AVERAGE(Table1[[#This Row],[Range2_Low]:[Range2_High]])</f>
        <v>0</v>
      </c>
      <c r="AG387">
        <f>AVERAGE(Table1[[#This Row],[Range1_Low]:[Range1_High]])</f>
        <v>-97.8</v>
      </c>
      <c r="AH387">
        <v>1</v>
      </c>
    </row>
    <row r="388" spans="1:34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168</v>
      </c>
      <c r="U388" t="str" cm="1">
        <f t="array" ref="U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V388" t="str" cm="1">
        <f t="array" ref="V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  <c r="AF388">
        <f>AVERAGE(Table1[[#This Row],[Range2_Low]:[Range2_High]])</f>
        <v>0</v>
      </c>
      <c r="AG388">
        <f>AVERAGE(Table1[[#This Row],[Range1_Low]:[Range1_High]])</f>
        <v>102.2225</v>
      </c>
      <c r="AH388">
        <v>1</v>
      </c>
    </row>
    <row r="389" spans="1:34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168</v>
      </c>
      <c r="U389" t="str" cm="1">
        <f t="array" ref="U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89" t="str" cm="1">
        <f t="array" ref="V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  <c r="AF389">
        <f>AVERAGE(Table1[[#This Row],[Range2_Low]:[Range2_High]])</f>
        <v>0</v>
      </c>
      <c r="AG389">
        <f>AVERAGE(Table1[[#This Row],[Range1_Low]:[Range1_High]])</f>
        <v>102.2225</v>
      </c>
      <c r="AH389">
        <v>1</v>
      </c>
    </row>
    <row r="390" spans="1:34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168</v>
      </c>
      <c r="U390" t="str" cm="1">
        <f t="array" ref="U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0" t="str" cm="1">
        <f t="array" ref="V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  <c r="AF390">
        <f>AVERAGE(Table1[[#This Row],[Range2_Low]:[Range2_High]])</f>
        <v>0</v>
      </c>
      <c r="AG390">
        <f>AVERAGE(Table1[[#This Row],[Range1_Low]:[Range1_High]])</f>
        <v>102.2225</v>
      </c>
      <c r="AH390">
        <v>1</v>
      </c>
    </row>
    <row r="391" spans="1:34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168</v>
      </c>
      <c r="U391" t="str" cm="1">
        <f t="array" ref="U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91" t="str" cm="1">
        <f t="array" ref="V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  <c r="AF391">
        <f>AVERAGE(Table1[[#This Row],[Range2_Low]:[Range2_High]])</f>
        <v>0</v>
      </c>
      <c r="AG391">
        <f>AVERAGE(Table1[[#This Row],[Range1_Low]:[Range1_High]])</f>
        <v>315.55599999999998</v>
      </c>
      <c r="AH391">
        <v>1</v>
      </c>
    </row>
    <row r="392" spans="1:34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168</v>
      </c>
      <c r="U392" t="str" cm="1">
        <f t="array" ref="U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92" t="str" cm="1">
        <f t="array" ref="V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  <c r="AF392">
        <f>AVERAGE(Table1[[#This Row],[Range2_Low]:[Range2_High]])</f>
        <v>0</v>
      </c>
      <c r="AG392">
        <f>AVERAGE(Table1[[#This Row],[Range1_Low]:[Range1_High]])</f>
        <v>315.55599999999998</v>
      </c>
      <c r="AH392">
        <v>1</v>
      </c>
    </row>
    <row r="393" spans="1:34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168</v>
      </c>
      <c r="U393" t="str" cm="1">
        <f t="array" ref="U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3" t="str" cm="1">
        <f t="array" ref="V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  <c r="AF393">
        <f>AVERAGE(Table1[[#This Row],[Range2_Low]:[Range2_High]])</f>
        <v>0</v>
      </c>
      <c r="AG393">
        <f>AVERAGE(Table1[[#This Row],[Range1_Low]:[Range1_High]])</f>
        <v>315.55599999999998</v>
      </c>
      <c r="AH393">
        <v>1</v>
      </c>
    </row>
    <row r="394" spans="1:34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168</v>
      </c>
      <c r="U394" t="str" cm="1">
        <f t="array" ref="U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94" t="str" cm="1">
        <f t="array" ref="V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  <c r="AF394">
        <f>AVERAGE(Table1[[#This Row],[Range2_Low]:[Range2_High]])</f>
        <v>0</v>
      </c>
      <c r="AG394">
        <f>AVERAGE(Table1[[#This Row],[Range1_Low]:[Range1_High]])</f>
        <v>537.77850000000001</v>
      </c>
      <c r="AH394">
        <v>1</v>
      </c>
    </row>
    <row r="395" spans="1:34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168</v>
      </c>
      <c r="U395" t="str" cm="1">
        <f t="array" ref="U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95" t="str" cm="1">
        <f t="array" ref="V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  <c r="AF395">
        <f>AVERAGE(Table1[[#This Row],[Range2_Low]:[Range2_High]])</f>
        <v>0</v>
      </c>
      <c r="AG395">
        <f>AVERAGE(Table1[[#This Row],[Range1_Low]:[Range1_High]])</f>
        <v>537.77850000000001</v>
      </c>
      <c r="AH395">
        <v>1</v>
      </c>
    </row>
    <row r="396" spans="1:34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168</v>
      </c>
      <c r="U396" t="str" cm="1">
        <f t="array" ref="U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6" t="str" cm="1">
        <f t="array" ref="V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  <c r="AF396">
        <f>AVERAGE(Table1[[#This Row],[Range2_Low]:[Range2_High]])</f>
        <v>0</v>
      </c>
      <c r="AG396">
        <f>AVERAGE(Table1[[#This Row],[Range1_Low]:[Range1_High]])</f>
        <v>537.77850000000001</v>
      </c>
      <c r="AH396">
        <v>1</v>
      </c>
    </row>
    <row r="397" spans="1:34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168</v>
      </c>
      <c r="U397" t="str" cm="1">
        <f t="array" ref="U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V397" t="str" cm="1">
        <f t="array" ref="V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  <c r="AF397">
        <f>AVERAGE(Table1[[#This Row],[Range2_Low]:[Range2_High]])</f>
        <v>0</v>
      </c>
      <c r="AG397">
        <f>AVERAGE(Table1[[#This Row],[Range1_Low]:[Range1_High]])</f>
        <v>749.44499999999994</v>
      </c>
      <c r="AH397">
        <v>1</v>
      </c>
    </row>
    <row r="398" spans="1:34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168</v>
      </c>
      <c r="U398" t="str" cm="1">
        <f t="array" ref="U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V398" t="str" cm="1">
        <f t="array" ref="V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  <c r="AF398">
        <f>AVERAGE(Table1[[#This Row],[Range2_Low]:[Range2_High]])</f>
        <v>0</v>
      </c>
      <c r="AG398">
        <f>AVERAGE(Table1[[#This Row],[Range1_Low]:[Range1_High]])</f>
        <v>749.44499999999994</v>
      </c>
      <c r="AH398">
        <v>1</v>
      </c>
    </row>
    <row r="399" spans="1:34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168</v>
      </c>
      <c r="U399" t="str" cm="1">
        <f t="array" ref="U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9" t="str" cm="1">
        <f t="array" ref="V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  <c r="AF399">
        <f>AVERAGE(Table1[[#This Row],[Range2_Low]:[Range2_High]])</f>
        <v>0</v>
      </c>
      <c r="AG399">
        <f>AVERAGE(Table1[[#This Row],[Range1_Low]:[Range1_High]])</f>
        <v>749.44499999999994</v>
      </c>
      <c r="AH399">
        <v>1</v>
      </c>
    </row>
    <row r="400" spans="1:34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164</v>
      </c>
      <c r="U400" t="str" cm="1">
        <f t="array" ref="U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V400" t="str" cm="1">
        <f t="array" ref="V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  <c r="AF400">
        <f>AVERAGE(Table1[[#This Row],[Range2_Low]:[Range2_High]])</f>
        <v>0</v>
      </c>
      <c r="AG400">
        <f>AVERAGE(Table1[[#This Row],[Range1_Low]:[Range1_High]])</f>
        <v>-255.00049999999999</v>
      </c>
      <c r="AH400">
        <v>1</v>
      </c>
    </row>
    <row r="401" spans="1:34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164</v>
      </c>
      <c r="U401" t="str" cm="1">
        <f t="array" ref="U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V401" t="str" cm="1">
        <f t="array" ref="V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  <c r="AF401">
        <f>AVERAGE(Table1[[#This Row],[Range2_Low]:[Range2_High]])</f>
        <v>0</v>
      </c>
      <c r="AG401">
        <f>AVERAGE(Table1[[#This Row],[Range1_Low]:[Range1_High]])</f>
        <v>-255.00049999999999</v>
      </c>
      <c r="AH401">
        <v>1</v>
      </c>
    </row>
    <row r="402" spans="1:34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164</v>
      </c>
      <c r="U402" t="str" cm="1">
        <f t="array" ref="U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V402" t="str" cm="1">
        <f t="array" ref="V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  <c r="AF402">
        <f>AVERAGE(Table1[[#This Row],[Range2_Low]:[Range2_High]])</f>
        <v>0</v>
      </c>
      <c r="AG402">
        <f>AVERAGE(Table1[[#This Row],[Range1_Low]:[Range1_High]])</f>
        <v>-170.50049999999999</v>
      </c>
      <c r="AH402">
        <v>1</v>
      </c>
    </row>
    <row r="403" spans="1:34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164</v>
      </c>
      <c r="U403" t="str" cm="1">
        <f t="array" ref="U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03" t="str" cm="1">
        <f t="array" ref="V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  <c r="AF403">
        <f>AVERAGE(Table1[[#This Row],[Range2_Low]:[Range2_High]])</f>
        <v>0</v>
      </c>
      <c r="AG403">
        <f>AVERAGE(Table1[[#This Row],[Range1_Low]:[Range1_High]])</f>
        <v>-170.50049999999999</v>
      </c>
      <c r="AH403">
        <v>1</v>
      </c>
    </row>
    <row r="404" spans="1:34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164</v>
      </c>
      <c r="U404" t="str" cm="1">
        <f t="array" ref="U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04" t="str" cm="1">
        <f t="array" ref="V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  <c r="AF404">
        <f>AVERAGE(Table1[[#This Row],[Range2_Low]:[Range2_High]])</f>
        <v>0</v>
      </c>
      <c r="AG404">
        <f>AVERAGE(Table1[[#This Row],[Range1_Low]:[Range1_High]])</f>
        <v>135</v>
      </c>
      <c r="AH404">
        <v>1</v>
      </c>
    </row>
    <row r="405" spans="1:34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164</v>
      </c>
      <c r="U405" t="str" cm="1">
        <f t="array" ref="U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5" t="str" cm="1">
        <f t="array" ref="V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  <c r="AF405">
        <f>AVERAGE(Table1[[#This Row],[Range2_Low]:[Range2_High]])</f>
        <v>0</v>
      </c>
      <c r="AG405">
        <f>AVERAGE(Table1[[#This Row],[Range1_Low]:[Range1_High]])</f>
        <v>135</v>
      </c>
      <c r="AH405">
        <v>1</v>
      </c>
    </row>
    <row r="406" spans="1:34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164</v>
      </c>
      <c r="U406" t="str" cm="1">
        <f t="array" ref="U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V406" t="str" cm="1">
        <f t="array" ref="V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  <c r="AF406">
        <f>AVERAGE(Table1[[#This Row],[Range2_Low]:[Range2_High]])</f>
        <v>0</v>
      </c>
      <c r="AG406">
        <f>AVERAGE(Table1[[#This Row],[Range1_Low]:[Range1_High]])</f>
        <v>593.50049999999999</v>
      </c>
      <c r="AH406">
        <v>1</v>
      </c>
    </row>
    <row r="407" spans="1:34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164</v>
      </c>
      <c r="U407" t="str" cm="1">
        <f t="array" ref="U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07" t="str" cm="1">
        <f t="array" ref="V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  <c r="AF407">
        <f>AVERAGE(Table1[[#This Row],[Range2_Low]:[Range2_High]])</f>
        <v>0</v>
      </c>
      <c r="AG407">
        <f>AVERAGE(Table1[[#This Row],[Range1_Low]:[Range1_High]])</f>
        <v>593.50049999999999</v>
      </c>
      <c r="AH407">
        <v>1</v>
      </c>
    </row>
    <row r="408" spans="1:34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164</v>
      </c>
      <c r="U408" t="str" cm="1">
        <f t="array" ref="U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V408" t="str" cm="1">
        <f t="array" ref="V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  <c r="AF408">
        <f>AVERAGE(Table1[[#This Row],[Range2_Low]:[Range2_High]])</f>
        <v>0</v>
      </c>
      <c r="AG408">
        <f>AVERAGE(Table1[[#This Row],[Range1_Low]:[Range1_High]])</f>
        <v>1058.0005000000001</v>
      </c>
      <c r="AH408">
        <v>1</v>
      </c>
    </row>
    <row r="409" spans="1:34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164</v>
      </c>
      <c r="U409" t="str" cm="1">
        <f t="array" ref="U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9" t="str" cm="1">
        <f t="array" ref="V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  <c r="AF409">
        <f>AVERAGE(Table1[[#This Row],[Range2_Low]:[Range2_High]])</f>
        <v>0</v>
      </c>
      <c r="AG409">
        <f>AVERAGE(Table1[[#This Row],[Range1_Low]:[Range1_High]])</f>
        <v>1058.0005000000001</v>
      </c>
      <c r="AH409">
        <v>1</v>
      </c>
    </row>
    <row r="410" spans="1:34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tr" cm="1">
        <f t="array" ref="U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V410" t="str" cm="1">
        <f t="array" ref="V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  <c r="AF410">
        <f>AVERAGE(Table1[[#This Row],[Range2_Low]:[Range2_High]])</f>
        <v>0</v>
      </c>
      <c r="AG410">
        <f>AVERAGE(Table1[[#This Row],[Range1_Low]:[Range1_High]])</f>
        <v>-255.00049999999999</v>
      </c>
      <c r="AH410">
        <v>1</v>
      </c>
    </row>
    <row r="411" spans="1:34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tr" cm="1">
        <f t="array" ref="U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V411" t="str" cm="1">
        <f t="array" ref="V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  <c r="AF411">
        <f>AVERAGE(Table1[[#This Row],[Range2_Low]:[Range2_High]])</f>
        <v>0</v>
      </c>
      <c r="AG411">
        <f>AVERAGE(Table1[[#This Row],[Range1_Low]:[Range1_High]])</f>
        <v>-255.00049999999999</v>
      </c>
      <c r="AH411">
        <v>1</v>
      </c>
    </row>
    <row r="412" spans="1:34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tr" cm="1">
        <f t="array" ref="U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412" t="str" cm="1">
        <f t="array" ref="V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  <c r="AF412">
        <f>AVERAGE(Table1[[#This Row],[Range2_Low]:[Range2_High]])</f>
        <v>0</v>
      </c>
      <c r="AG412">
        <f>AVERAGE(Table1[[#This Row],[Range1_Low]:[Range1_High]])</f>
        <v>9.9995000000000118</v>
      </c>
      <c r="AH412">
        <v>1</v>
      </c>
    </row>
    <row r="413" spans="1:34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tr" cm="1">
        <f t="array" ref="U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13" t="str" cm="1">
        <f t="array" ref="V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  <c r="AF413">
        <f>AVERAGE(Table1[[#This Row],[Range2_Low]:[Range2_High]])</f>
        <v>0</v>
      </c>
      <c r="AG413">
        <f>AVERAGE(Table1[[#This Row],[Range1_Low]:[Range1_High]])</f>
        <v>9.9995000000000118</v>
      </c>
      <c r="AH413">
        <v>1</v>
      </c>
    </row>
    <row r="414" spans="1:34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tr" cm="1">
        <f t="array" ref="U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V414" t="str" cm="1">
        <f t="array" ref="V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  <c r="AF414">
        <f>AVERAGE(Table1[[#This Row],[Range2_Low]:[Range2_High]])</f>
        <v>0</v>
      </c>
      <c r="AG414">
        <f>AVERAGE(Table1[[#This Row],[Range1_Low]:[Range1_High]])</f>
        <v>538</v>
      </c>
      <c r="AH414">
        <v>1</v>
      </c>
    </row>
    <row r="415" spans="1:34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tr" cm="1">
        <f t="array" ref="U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15" t="str" cm="1">
        <f t="array" ref="V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  <c r="AF415">
        <f>AVERAGE(Table1[[#This Row],[Range2_Low]:[Range2_High]])</f>
        <v>0</v>
      </c>
      <c r="AG415">
        <f>AVERAGE(Table1[[#This Row],[Range1_Low]:[Range1_High]])</f>
        <v>538</v>
      </c>
      <c r="AH415">
        <v>1</v>
      </c>
    </row>
    <row r="416" spans="1:34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tr" cm="1">
        <f t="array" ref="U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16" t="str" cm="1">
        <f t="array" ref="V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  <c r="AF416">
        <f>AVERAGE(Table1[[#This Row],[Range2_Low]:[Range2_High]])</f>
        <v>0</v>
      </c>
      <c r="AG416">
        <f>AVERAGE(Table1[[#This Row],[Range1_Low]:[Range1_High]])</f>
        <v>1093.5005000000001</v>
      </c>
      <c r="AH416">
        <v>1</v>
      </c>
    </row>
    <row r="417" spans="1:34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tr" cm="1">
        <f t="array" ref="U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7" t="str" cm="1">
        <f t="array" ref="V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  <c r="AF417">
        <f>AVERAGE(Table1[[#This Row],[Range2_Low]:[Range2_High]])</f>
        <v>0</v>
      </c>
      <c r="AG417">
        <f>AVERAGE(Table1[[#This Row],[Range1_Low]:[Range1_High]])</f>
        <v>1093.5005000000001</v>
      </c>
      <c r="AH417">
        <v>1</v>
      </c>
    </row>
    <row r="418" spans="1:34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163</v>
      </c>
      <c r="U418" t="str" cm="1">
        <f t="array" ref="U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V418" t="str" cm="1">
        <f t="array" ref="V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  <c r="AF418">
        <f>AVERAGE(Table1[[#This Row],[Range2_Low]:[Range2_High]])</f>
        <v>0</v>
      </c>
      <c r="AG418">
        <f>AVERAGE(Table1[[#This Row],[Range1_Low]:[Range1_High]])</f>
        <v>24.999500000000012</v>
      </c>
      <c r="AH418">
        <v>1</v>
      </c>
    </row>
    <row r="419" spans="1:34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163</v>
      </c>
      <c r="U419" t="str" cm="1">
        <f t="array" ref="U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9" t="str" cm="1">
        <f t="array" ref="V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  <c r="AF419">
        <f>AVERAGE(Table1[[#This Row],[Range2_Low]:[Range2_High]])</f>
        <v>0</v>
      </c>
      <c r="AG419">
        <f>AVERAGE(Table1[[#This Row],[Range1_Low]:[Range1_High]])</f>
        <v>24.999500000000012</v>
      </c>
      <c r="AH419">
        <v>1</v>
      </c>
    </row>
    <row r="420" spans="1:34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163</v>
      </c>
      <c r="U420" t="str" cm="1">
        <f t="array" ref="U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V420" t="str" cm="1">
        <f t="array" ref="V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  <c r="AF420">
        <f>AVERAGE(Table1[[#This Row],[Range2_Low]:[Range2_High]])</f>
        <v>0</v>
      </c>
      <c r="AG420">
        <f>AVERAGE(Table1[[#This Row],[Range1_Low]:[Range1_High]])</f>
        <v>496</v>
      </c>
      <c r="AH420">
        <v>1</v>
      </c>
    </row>
    <row r="421" spans="1:34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163</v>
      </c>
      <c r="U421" t="str" cm="1">
        <f t="array" ref="U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1" t="str" cm="1">
        <f t="array" ref="V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  <c r="AF421">
        <f>AVERAGE(Table1[[#This Row],[Range2_Low]:[Range2_High]])</f>
        <v>0</v>
      </c>
      <c r="AG421">
        <f>AVERAGE(Table1[[#This Row],[Range1_Low]:[Range1_High]])</f>
        <v>496</v>
      </c>
      <c r="AH421">
        <v>1</v>
      </c>
    </row>
    <row r="422" spans="1:34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163</v>
      </c>
      <c r="U422" t="str" cm="1">
        <f t="array" ref="U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V422" t="str" cm="1">
        <f t="array" ref="V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  <c r="AF422">
        <f>AVERAGE(Table1[[#This Row],[Range2_Low]:[Range2_High]])</f>
        <v>0</v>
      </c>
      <c r="AG422">
        <f>AVERAGE(Table1[[#This Row],[Range1_Low]:[Range1_High]])</f>
        <v>966.00049999999999</v>
      </c>
      <c r="AH422">
        <v>1</v>
      </c>
    </row>
    <row r="423" spans="1:34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163</v>
      </c>
      <c r="U423" t="str" cm="1">
        <f t="array" ref="U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3" t="str" cm="1">
        <f t="array" ref="V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  <c r="AF423">
        <f>AVERAGE(Table1[[#This Row],[Range2_Low]:[Range2_High]])</f>
        <v>0</v>
      </c>
      <c r="AG423">
        <f>AVERAGE(Table1[[#This Row],[Range1_Low]:[Range1_High]])</f>
        <v>966.00049999999999</v>
      </c>
      <c r="AH423">
        <v>1</v>
      </c>
    </row>
    <row r="424" spans="1:34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162</v>
      </c>
      <c r="U424" t="str" cm="1">
        <f t="array" ref="U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V424" t="str" cm="1">
        <f t="array" ref="V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  <c r="AF424">
        <f>AVERAGE(Table1[[#This Row],[Range2_Low]:[Range2_High]])</f>
        <v>0</v>
      </c>
      <c r="AG424">
        <f>AVERAGE(Table1[[#This Row],[Range1_Low]:[Range1_High]])</f>
        <v>-60.5</v>
      </c>
      <c r="AH424">
        <v>1</v>
      </c>
    </row>
    <row r="425" spans="1:34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162</v>
      </c>
      <c r="U425" t="str" cm="1">
        <f t="array" ref="U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25" t="str" cm="1">
        <f t="array" ref="V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  <c r="AF425">
        <f>AVERAGE(Table1[[#This Row],[Range2_Low]:[Range2_High]])</f>
        <v>0</v>
      </c>
      <c r="AG425">
        <f>AVERAGE(Table1[[#This Row],[Range1_Low]:[Range1_High]])</f>
        <v>-60.5</v>
      </c>
      <c r="AH425">
        <v>1</v>
      </c>
    </row>
    <row r="426" spans="1:34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162</v>
      </c>
      <c r="U426" t="str" cm="1">
        <f t="array" ref="U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V426" t="str" cm="1">
        <f t="array" ref="V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  <c r="AF426">
        <f>AVERAGE(Table1[[#This Row],[Range2_Low]:[Range2_High]])</f>
        <v>0</v>
      </c>
      <c r="AG426">
        <f>AVERAGE(Table1[[#This Row],[Range1_Low]:[Range1_High]])</f>
        <v>371.00049999999999</v>
      </c>
      <c r="AH426">
        <v>1</v>
      </c>
    </row>
    <row r="427" spans="1:34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162</v>
      </c>
      <c r="U427" t="str" cm="1">
        <f t="array" ref="U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7" t="str" cm="1">
        <f t="array" ref="V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  <c r="AF427">
        <f>AVERAGE(Table1[[#This Row],[Range2_Low]:[Range2_High]])</f>
        <v>0</v>
      </c>
      <c r="AG427">
        <f>AVERAGE(Table1[[#This Row],[Range1_Low]:[Range1_High]])</f>
        <v>371.00049999999999</v>
      </c>
      <c r="AH427">
        <v>1</v>
      </c>
    </row>
    <row r="428" spans="1:34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162</v>
      </c>
      <c r="U428" t="str" cm="1">
        <f t="array" ref="U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V428" t="str" cm="1">
        <f t="array" ref="V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  <c r="AF428">
        <f>AVERAGE(Table1[[#This Row],[Range2_Low]:[Range2_High]])</f>
        <v>0</v>
      </c>
      <c r="AG428">
        <f>AVERAGE(Table1[[#This Row],[Range1_Low]:[Range1_High]])</f>
        <v>796.50049999999999</v>
      </c>
      <c r="AH428">
        <v>1</v>
      </c>
    </row>
    <row r="429" spans="1:34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162</v>
      </c>
      <c r="U429" t="str" cm="1">
        <f t="array" ref="U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9" t="str" cm="1">
        <f t="array" ref="V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  <c r="AF429">
        <f>AVERAGE(Table1[[#This Row],[Range2_Low]:[Range2_High]])</f>
        <v>0</v>
      </c>
      <c r="AG429">
        <f>AVERAGE(Table1[[#This Row],[Range1_Low]:[Range1_High]])</f>
        <v>796.50049999999999</v>
      </c>
      <c r="AH429">
        <v>1</v>
      </c>
    </row>
    <row r="430" spans="1:34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tr" cm="1">
        <f t="array" ref="U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30" t="str" cm="1">
        <f t="array" ref="V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  <c r="AF430">
        <f>AVERAGE(Table1[[#This Row],[Range2_Low]:[Range2_High]])</f>
        <v>2500</v>
      </c>
      <c r="AG430">
        <f>AVERAGE(Table1[[#This Row],[Range1_Low]:[Range1_High]])</f>
        <v>5.0000000000000001E-3</v>
      </c>
      <c r="AH430">
        <v>1</v>
      </c>
    </row>
    <row r="431" spans="1:34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tr" cm="1">
        <f t="array" ref="U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31" t="str" cm="1">
        <f t="array" ref="V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  <c r="AF431">
        <f>AVERAGE(Table1[[#This Row],[Range2_Low]:[Range2_High]])</f>
        <v>35</v>
      </c>
      <c r="AG431">
        <f>AVERAGE(Table1[[#This Row],[Range1_Low]:[Range1_High]])</f>
        <v>5.0000000000000001E-3</v>
      </c>
      <c r="AH431">
        <v>1</v>
      </c>
    </row>
    <row r="432" spans="1:34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tr" cm="1">
        <f t="array" ref="U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32" t="str" cm="1">
        <f t="array" ref="V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  <c r="AF432">
        <f>AVERAGE(Table1[[#This Row],[Range2_Low]:[Range2_High]])</f>
        <v>2.0500000000000001E-2</v>
      </c>
      <c r="AG432">
        <f>AVERAGE(Table1[[#This Row],[Range1_Low]:[Range1_High]])</f>
        <v>5.0000000000000001E-3</v>
      </c>
      <c r="AH432">
        <v>1</v>
      </c>
    </row>
    <row r="433" spans="1:34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tr" cm="1">
        <f t="array" ref="U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33" t="str" cm="1">
        <f t="array" ref="V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  <c r="AF433">
        <f>AVERAGE(Table1[[#This Row],[Range2_Low]:[Range2_High]])</f>
        <v>200</v>
      </c>
      <c r="AG433">
        <f>AVERAGE(Table1[[#This Row],[Range1_Low]:[Range1_High]])</f>
        <v>5.0000000000000001E-3</v>
      </c>
      <c r="AH433">
        <v>1</v>
      </c>
    </row>
    <row r="434" spans="1:34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tr" cm="1">
        <f t="array" ref="U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34" t="str" cm="1">
        <f t="array" ref="V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  <c r="AF434">
        <f>AVERAGE(Table1[[#This Row],[Range2_Low]:[Range2_High]])</f>
        <v>10.5</v>
      </c>
      <c r="AG434">
        <f>AVERAGE(Table1[[#This Row],[Range1_Low]:[Range1_High]])</f>
        <v>5.0000000000000001E-3</v>
      </c>
      <c r="AH434">
        <v>1</v>
      </c>
    </row>
    <row r="435" spans="1:34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tr" cm="1">
        <f t="array" ref="U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35" t="str" cm="1">
        <f t="array" ref="V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  <c r="AF435">
        <f>AVERAGE(Table1[[#This Row],[Range2_Low]:[Range2_High]])</f>
        <v>650</v>
      </c>
      <c r="AG435">
        <f>AVERAGE(Table1[[#This Row],[Range1_Low]:[Range1_High]])</f>
        <v>5.0000000000000001E-3</v>
      </c>
      <c r="AH435">
        <v>1</v>
      </c>
    </row>
    <row r="436" spans="1:34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tr" cm="1">
        <f t="array" ref="U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6" t="str" cm="1">
        <f t="array" ref="V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  <c r="AF436">
        <f>AVERAGE(Table1[[#This Row],[Range2_Low]:[Range2_High]])</f>
        <v>0.52</v>
      </c>
      <c r="AG436">
        <f>AVERAGE(Table1[[#This Row],[Range1_Low]:[Range1_High]])</f>
        <v>5.0000000000000001E-3</v>
      </c>
      <c r="AH436">
        <v>1</v>
      </c>
    </row>
    <row r="437" spans="1:34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tr" cm="1">
        <f t="array" ref="U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37" t="str" cm="1">
        <f t="array" ref="V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  <c r="AF437">
        <f>AVERAGE(Table1[[#This Row],[Range2_Low]:[Range2_High]])</f>
        <v>6000</v>
      </c>
      <c r="AG437">
        <f>AVERAGE(Table1[[#This Row],[Range1_Low]:[Range1_High]])</f>
        <v>5.0000000000000001E-3</v>
      </c>
      <c r="AH437">
        <v>1</v>
      </c>
    </row>
    <row r="438" spans="1:34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tr" cm="1">
        <f t="array" ref="U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38" t="str" cm="1">
        <f t="array" ref="V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  <c r="AF438">
        <f>AVERAGE(Table1[[#This Row],[Range2_Low]:[Range2_High]])</f>
        <v>75</v>
      </c>
      <c r="AG438">
        <f>AVERAGE(Table1[[#This Row],[Range1_Low]:[Range1_High]])</f>
        <v>5.0000000000000001E-3</v>
      </c>
      <c r="AH438">
        <v>1</v>
      </c>
    </row>
    <row r="439" spans="1:34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tr" cm="1">
        <f t="array" ref="U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9" t="str" cm="1">
        <f t="array" ref="V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  <c r="AF439">
        <f>AVERAGE(Table1[[#This Row],[Range2_Low]:[Range2_High]])</f>
        <v>0.52</v>
      </c>
      <c r="AG439">
        <f>AVERAGE(Table1[[#This Row],[Range1_Low]:[Range1_High]])</f>
        <v>5.0000000000000001E-3</v>
      </c>
      <c r="AH439">
        <v>1</v>
      </c>
    </row>
    <row r="440" spans="1:34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tr" cm="1">
        <f t="array" ref="U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40" t="str" cm="1">
        <f t="array" ref="V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  <c r="AF440">
        <f>AVERAGE(Table1[[#This Row],[Range2_Low]:[Range2_High]])</f>
        <v>200</v>
      </c>
      <c r="AG440">
        <f>AVERAGE(Table1[[#This Row],[Range1_Low]:[Range1_High]])</f>
        <v>5.0000000000000001E-3</v>
      </c>
      <c r="AH440">
        <v>1</v>
      </c>
    </row>
    <row r="441" spans="1:34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tr" cm="1">
        <f t="array" ref="U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µV</v>
      </c>
      <c r="V441" t="str" cm="1">
        <f t="array" ref="V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µV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  <c r="AF441">
        <f>AVERAGE(Table1[[#This Row],[Range2_Low]:[Range2_High]])</f>
        <v>10.5</v>
      </c>
      <c r="AG441">
        <f>AVERAGE(Table1[[#This Row],[Range1_Low]:[Range1_High]])</f>
        <v>5.0000000000000001E-3</v>
      </c>
      <c r="AH441">
        <v>1</v>
      </c>
    </row>
    <row r="442" spans="1:34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tr" cm="1">
        <f t="array" ref="U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42" t="str" cm="1">
        <f t="array" ref="V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  <c r="AF442">
        <f>AVERAGE(Table1[[#This Row],[Range2_Low]:[Range2_High]])</f>
        <v>2.0500000000000001E-2</v>
      </c>
      <c r="AG442">
        <f>AVERAGE(Table1[[#This Row],[Range1_Low]:[Range1_High]])</f>
        <v>5.0000000000000001E-3</v>
      </c>
      <c r="AH442">
        <v>1</v>
      </c>
    </row>
    <row r="443" spans="1:34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tr" cm="1">
        <f t="array" ref="U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3" t="str" cm="1">
        <f t="array" ref="V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  <c r="AF443">
        <f>AVERAGE(Table1[[#This Row],[Range2_Low]:[Range2_High]])</f>
        <v>75</v>
      </c>
      <c r="AG443">
        <f>AVERAGE(Table1[[#This Row],[Range1_Low]:[Range1_High]])</f>
        <v>5.0000000000000001E-3</v>
      </c>
      <c r="AH443">
        <v>1</v>
      </c>
    </row>
    <row r="444" spans="1:34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tr" cm="1">
        <f t="array" ref="U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44" t="str" cm="1">
        <f t="array" ref="V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  <c r="AF444">
        <f>AVERAGE(Table1[[#This Row],[Range2_Low]:[Range2_High]])</f>
        <v>650</v>
      </c>
      <c r="AG444">
        <f>AVERAGE(Table1[[#This Row],[Range1_Low]:[Range1_High]])</f>
        <v>5.0000000000000001E-3</v>
      </c>
      <c r="AH444">
        <v>1</v>
      </c>
    </row>
    <row r="445" spans="1:34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tr" cm="1">
        <f t="array" ref="U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45" t="str" cm="1">
        <f t="array" ref="V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  <c r="AF445">
        <f>AVERAGE(Table1[[#This Row],[Range2_Low]:[Range2_High]])</f>
        <v>6000</v>
      </c>
      <c r="AG445">
        <f>AVERAGE(Table1[[#This Row],[Range1_Low]:[Range1_High]])</f>
        <v>5.0000000000000001E-3</v>
      </c>
      <c r="AH445">
        <v>1</v>
      </c>
    </row>
    <row r="446" spans="1:34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tr" cm="1">
        <f t="array" ref="U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46" t="str" cm="1">
        <f t="array" ref="V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  <c r="AF446">
        <f>AVERAGE(Table1[[#This Row],[Range2_Low]:[Range2_High]])</f>
        <v>2500</v>
      </c>
      <c r="AG446">
        <f>AVERAGE(Table1[[#This Row],[Range1_Low]:[Range1_High]])</f>
        <v>5.0000000000000001E-3</v>
      </c>
      <c r="AH446">
        <v>1</v>
      </c>
    </row>
    <row r="447" spans="1:34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tr" cm="1">
        <f t="array" ref="U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47" t="str" cm="1">
        <f t="array" ref="V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  <c r="AF447">
        <f>AVERAGE(Table1[[#This Row],[Range2_Low]:[Range2_High]])</f>
        <v>35</v>
      </c>
      <c r="AG447">
        <f>AVERAGE(Table1[[#This Row],[Range1_Low]:[Range1_High]])</f>
        <v>5.0000000000000001E-3</v>
      </c>
      <c r="AH447">
        <v>1</v>
      </c>
    </row>
    <row r="448" spans="1:34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tr" cm="1">
        <f t="array" ref="U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48" t="str" cm="1">
        <f t="array" ref="V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  <c r="AF448">
        <f>AVERAGE(Table1[[#This Row],[Range2_Low]:[Range2_High]])</f>
        <v>10.5</v>
      </c>
      <c r="AG448">
        <f>AVERAGE(Table1[[#This Row],[Range1_Low]:[Range1_High]])</f>
        <v>5.0000000000000001E-3</v>
      </c>
      <c r="AH448">
        <v>1</v>
      </c>
    </row>
    <row r="449" spans="1:34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tr" cm="1">
        <f t="array" ref="U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9" t="str" cm="1">
        <f t="array" ref="V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  <c r="AF449">
        <f>AVERAGE(Table1[[#This Row],[Range2_Low]:[Range2_High]])</f>
        <v>75</v>
      </c>
      <c r="AG449">
        <f>AVERAGE(Table1[[#This Row],[Range1_Low]:[Range1_High]])</f>
        <v>5.0000000000000001E-3</v>
      </c>
      <c r="AH449">
        <v>1</v>
      </c>
    </row>
    <row r="450" spans="1:34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tr" cm="1">
        <f t="array" ref="U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50" t="str" cm="1">
        <f t="array" ref="V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  <c r="AF450">
        <f>AVERAGE(Table1[[#This Row],[Range2_Low]:[Range2_High]])</f>
        <v>2.0500000000000001E-2</v>
      </c>
      <c r="AG450">
        <f>AVERAGE(Table1[[#This Row],[Range1_Low]:[Range1_High]])</f>
        <v>5.0000000000000001E-3</v>
      </c>
      <c r="AH450">
        <v>1</v>
      </c>
    </row>
    <row r="451" spans="1:34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tr" cm="1">
        <f t="array" ref="U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51" t="str" cm="1">
        <f t="array" ref="V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4.2 µV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  <c r="AF451">
        <f>AVERAGE(Table1[[#This Row],[Range2_Low]:[Range2_High]])</f>
        <v>0.52</v>
      </c>
      <c r="AG451">
        <f>AVERAGE(Table1[[#This Row],[Range1_Low]:[Range1_High]])</f>
        <v>5.0000000000000001E-3</v>
      </c>
      <c r="AH451">
        <v>1</v>
      </c>
    </row>
    <row r="452" spans="1:34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tr" cm="1">
        <f t="array" ref="U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52" t="str" cm="1">
        <f t="array" ref="V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  <c r="AF452">
        <f>AVERAGE(Table1[[#This Row],[Range2_Low]:[Range2_High]])</f>
        <v>2500</v>
      </c>
      <c r="AG452">
        <f>AVERAGE(Table1[[#This Row],[Range1_Low]:[Range1_High]])</f>
        <v>5.0000000000000001E-3</v>
      </c>
      <c r="AH452">
        <v>1</v>
      </c>
    </row>
    <row r="453" spans="1:34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tr" cm="1">
        <f t="array" ref="U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3" t="str" cm="1">
        <f t="array" ref="V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  <c r="AF453">
        <f>AVERAGE(Table1[[#This Row],[Range2_Low]:[Range2_High]])</f>
        <v>6000</v>
      </c>
      <c r="AG453">
        <f>AVERAGE(Table1[[#This Row],[Range1_Low]:[Range1_High]])</f>
        <v>5.0000000000000001E-3</v>
      </c>
      <c r="AH453">
        <v>1</v>
      </c>
    </row>
    <row r="454" spans="1:34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tr" cm="1">
        <f t="array" ref="U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54" t="str" cm="1">
        <f t="array" ref="V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  <c r="AF454">
        <f>AVERAGE(Table1[[#This Row],[Range2_Low]:[Range2_High]])</f>
        <v>200</v>
      </c>
      <c r="AG454">
        <f>AVERAGE(Table1[[#This Row],[Range1_Low]:[Range1_High]])</f>
        <v>5.0000000000000001E-3</v>
      </c>
      <c r="AH454">
        <v>1</v>
      </c>
    </row>
    <row r="455" spans="1:34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tr" cm="1">
        <f t="array" ref="U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55" t="str" cm="1">
        <f t="array" ref="V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  <c r="AF455">
        <f>AVERAGE(Table1[[#This Row],[Range2_Low]:[Range2_High]])</f>
        <v>650</v>
      </c>
      <c r="AG455">
        <f>AVERAGE(Table1[[#This Row],[Range1_Low]:[Range1_High]])</f>
        <v>5.0000000000000001E-3</v>
      </c>
      <c r="AH455">
        <v>1</v>
      </c>
    </row>
    <row r="456" spans="1:34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tr" cm="1">
        <f t="array" ref="U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56" t="str" cm="1">
        <f t="array" ref="V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  <c r="AF456">
        <f>AVERAGE(Table1[[#This Row],[Range2_Low]:[Range2_High]])</f>
        <v>35</v>
      </c>
      <c r="AG456">
        <f>AVERAGE(Table1[[#This Row],[Range1_Low]:[Range1_High]])</f>
        <v>5.0000000000000001E-3</v>
      </c>
      <c r="AH456">
        <v>1</v>
      </c>
    </row>
    <row r="457" spans="1:34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tr" cm="1">
        <f t="array" ref="U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457" t="str" cm="1">
        <f t="array" ref="V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µV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  <c r="AF457">
        <f>AVERAGE(Table1[[#This Row],[Range2_Low]:[Range2_High]])</f>
        <v>0.52</v>
      </c>
      <c r="AG457">
        <f>AVERAGE(Table1[[#This Row],[Range1_Low]:[Range1_High]])</f>
        <v>5.0000000000000001E-3</v>
      </c>
      <c r="AH457">
        <v>1</v>
      </c>
    </row>
    <row r="458" spans="1:34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tr" cm="1">
        <f t="array" ref="U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µV</v>
      </c>
      <c r="V458" t="str" cm="1">
        <f t="array" ref="V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µV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  <c r="AF458">
        <f>AVERAGE(Table1[[#This Row],[Range2_Low]:[Range2_High]])</f>
        <v>2.0500000000000001E-2</v>
      </c>
      <c r="AG458">
        <f>AVERAGE(Table1[[#This Row],[Range1_Low]:[Range1_High]])</f>
        <v>5.0000000000000001E-3</v>
      </c>
      <c r="AH458">
        <v>1</v>
      </c>
    </row>
    <row r="459" spans="1:34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tr" cm="1">
        <f t="array" ref="U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9" t="str" cm="1">
        <f t="array" ref="V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  <c r="AF459">
        <f>AVERAGE(Table1[[#This Row],[Range2_Low]:[Range2_High]])</f>
        <v>6000</v>
      </c>
      <c r="AG459">
        <f>AVERAGE(Table1[[#This Row],[Range1_Low]:[Range1_High]])</f>
        <v>5.0000000000000001E-3</v>
      </c>
      <c r="AH459">
        <v>1</v>
      </c>
    </row>
    <row r="460" spans="1:34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tr" cm="1">
        <f t="array" ref="U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µV</v>
      </c>
      <c r="V460" t="str" cm="1">
        <f t="array" ref="V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µV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  <c r="AF460">
        <f>AVERAGE(Table1[[#This Row],[Range2_Low]:[Range2_High]])</f>
        <v>10.5</v>
      </c>
      <c r="AG460">
        <f>AVERAGE(Table1[[#This Row],[Range1_Low]:[Range1_High]])</f>
        <v>5.0000000000000001E-3</v>
      </c>
      <c r="AH460">
        <v>1</v>
      </c>
    </row>
    <row r="461" spans="1:34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tr" cm="1">
        <f t="array" ref="U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61" t="str" cm="1">
        <f t="array" ref="V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  <c r="AF461">
        <f>AVERAGE(Table1[[#This Row],[Range2_Low]:[Range2_High]])</f>
        <v>2500</v>
      </c>
      <c r="AG461">
        <f>AVERAGE(Table1[[#This Row],[Range1_Low]:[Range1_High]])</f>
        <v>5.0000000000000001E-3</v>
      </c>
      <c r="AH461">
        <v>1</v>
      </c>
    </row>
    <row r="462" spans="1:34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tr" cm="1">
        <f t="array" ref="U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62" t="str" cm="1">
        <f t="array" ref="V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  <c r="AF462">
        <f>AVERAGE(Table1[[#This Row],[Range2_Low]:[Range2_High]])</f>
        <v>650</v>
      </c>
      <c r="AG462">
        <f>AVERAGE(Table1[[#This Row],[Range1_Low]:[Range1_High]])</f>
        <v>5.0000000000000001E-3</v>
      </c>
      <c r="AH462">
        <v>1</v>
      </c>
    </row>
    <row r="463" spans="1:34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tr" cm="1">
        <f t="array" ref="U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µV</v>
      </c>
      <c r="V463" t="str" cm="1">
        <f t="array" ref="V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  <c r="AF463">
        <f>AVERAGE(Table1[[#This Row],[Range2_Low]:[Range2_High]])</f>
        <v>75</v>
      </c>
      <c r="AG463">
        <f>AVERAGE(Table1[[#This Row],[Range1_Low]:[Range1_High]])</f>
        <v>5.0000000000000001E-3</v>
      </c>
      <c r="AH463">
        <v>1</v>
      </c>
    </row>
    <row r="464" spans="1:34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tr" cm="1">
        <f t="array" ref="U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64" t="str" cm="1">
        <f t="array" ref="V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  <c r="AF464">
        <f>AVERAGE(Table1[[#This Row],[Range2_Low]:[Range2_High]])</f>
        <v>200</v>
      </c>
      <c r="AG464">
        <f>AVERAGE(Table1[[#This Row],[Range1_Low]:[Range1_High]])</f>
        <v>5.0000000000000001E-3</v>
      </c>
      <c r="AH464">
        <v>1</v>
      </c>
    </row>
    <row r="465" spans="1:34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tr" cm="1">
        <f t="array" ref="U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µV</v>
      </c>
      <c r="V465" t="str" cm="1">
        <f t="array" ref="V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  <c r="AF465">
        <f>AVERAGE(Table1[[#This Row],[Range2_Low]:[Range2_High]])</f>
        <v>35</v>
      </c>
      <c r="AG465">
        <f>AVERAGE(Table1[[#This Row],[Range1_Low]:[Range1_High]])</f>
        <v>5.0000000000000001E-3</v>
      </c>
      <c r="AH465">
        <v>1</v>
      </c>
    </row>
    <row r="466" spans="1:34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tr" cm="1">
        <f t="array" ref="U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6" t="str" cm="1">
        <f t="array" ref="V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  <c r="AF466">
        <f>AVERAGE(Table1[[#This Row],[Range2_Low]:[Range2_High]])</f>
        <v>35</v>
      </c>
      <c r="AG466">
        <f>AVERAGE(Table1[[#This Row],[Range1_Low]:[Range1_High]])</f>
        <v>5.0000000000000001E-3</v>
      </c>
      <c r="AH466">
        <v>1</v>
      </c>
    </row>
    <row r="467" spans="1:34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tr" cm="1">
        <f t="array" ref="U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7" t="str" cm="1">
        <f t="array" ref="V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  <c r="AF467">
        <f>AVERAGE(Table1[[#This Row],[Range2_Low]:[Range2_High]])</f>
        <v>2.0500000000000001E-2</v>
      </c>
      <c r="AG467">
        <f>AVERAGE(Table1[[#This Row],[Range1_Low]:[Range1_High]])</f>
        <v>5.0000000000000001E-3</v>
      </c>
      <c r="AH467">
        <v>1</v>
      </c>
    </row>
    <row r="468" spans="1:34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tr" cm="1">
        <f t="array" ref="U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8" t="str" cm="1">
        <f t="array" ref="V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  <c r="AF468">
        <f>AVERAGE(Table1[[#This Row],[Range2_Low]:[Range2_High]])</f>
        <v>0.52</v>
      </c>
      <c r="AG468">
        <f>AVERAGE(Table1[[#This Row],[Range1_Low]:[Range1_High]])</f>
        <v>5.0000000000000001E-3</v>
      </c>
      <c r="AH468">
        <v>1</v>
      </c>
    </row>
    <row r="469" spans="1:34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tr" cm="1">
        <f t="array" ref="U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469" t="str" cm="1">
        <f t="array" ref="V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  <c r="AF469">
        <f>AVERAGE(Table1[[#This Row],[Range2_Low]:[Range2_High]])</f>
        <v>6000</v>
      </c>
      <c r="AG469">
        <f>AVERAGE(Table1[[#This Row],[Range1_Low]:[Range1_High]])</f>
        <v>5.0000000000000001E-3</v>
      </c>
      <c r="AH469">
        <v>1</v>
      </c>
    </row>
    <row r="470" spans="1:34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tr" cm="1">
        <f t="array" ref="U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µV</v>
      </c>
      <c r="V470" t="str" cm="1">
        <f t="array" ref="V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µV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  <c r="AF470">
        <f>AVERAGE(Table1[[#This Row],[Range2_Low]:[Range2_High]])</f>
        <v>75</v>
      </c>
      <c r="AG470">
        <f>AVERAGE(Table1[[#This Row],[Range1_Low]:[Range1_High]])</f>
        <v>5.0000000000000001E-3</v>
      </c>
      <c r="AH470">
        <v>1</v>
      </c>
    </row>
    <row r="471" spans="1:34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tr" cm="1">
        <f t="array" ref="U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1" t="str" cm="1">
        <f t="array" ref="V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  <c r="AF471">
        <f>AVERAGE(Table1[[#This Row],[Range2_Low]:[Range2_High]])</f>
        <v>10.5</v>
      </c>
      <c r="AG471">
        <f>AVERAGE(Table1[[#This Row],[Range1_Low]:[Range1_High]])</f>
        <v>5.0000000000000001E-3</v>
      </c>
      <c r="AH471">
        <v>1</v>
      </c>
    </row>
    <row r="472" spans="1:34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tr" cm="1">
        <f t="array" ref="U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V472" t="str" cm="1">
        <f t="array" ref="V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  <c r="AF472">
        <f>AVERAGE(Table1[[#This Row],[Range2_Low]:[Range2_High]])</f>
        <v>2500</v>
      </c>
      <c r="AG472">
        <f>AVERAGE(Table1[[#This Row],[Range1_Low]:[Range1_High]])</f>
        <v>5.0000000000000001E-3</v>
      </c>
      <c r="AH472">
        <v>1</v>
      </c>
    </row>
    <row r="473" spans="1:34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tr" cm="1">
        <f t="array" ref="U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3" t="str" cm="1">
        <f t="array" ref="V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  <c r="AF473">
        <f>AVERAGE(Table1[[#This Row],[Range2_Low]:[Range2_High]])</f>
        <v>650</v>
      </c>
      <c r="AG473">
        <f>AVERAGE(Table1[[#This Row],[Range1_Low]:[Range1_High]])</f>
        <v>5.0000000000000001E-3</v>
      </c>
      <c r="AH473">
        <v>1</v>
      </c>
    </row>
    <row r="474" spans="1:34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tr" cm="1">
        <f t="array" ref="U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4" t="str" cm="1">
        <f t="array" ref="V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  <c r="AF474">
        <f>AVERAGE(Table1[[#This Row],[Range2_Low]:[Range2_High]])</f>
        <v>200</v>
      </c>
      <c r="AG474">
        <f>AVERAGE(Table1[[#This Row],[Range1_Low]:[Range1_High]])</f>
        <v>5.0000000000000001E-3</v>
      </c>
      <c r="AH474">
        <v>1</v>
      </c>
    </row>
    <row r="475" spans="1:34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tr" cm="1">
        <f t="array" ref="U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5" t="str" cm="1">
        <f t="array" ref="V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  <c r="AF475">
        <f>AVERAGE(Table1[[#This Row],[Range2_Low]:[Range2_High]])</f>
        <v>75</v>
      </c>
      <c r="AG475">
        <f>AVERAGE(Table1[[#This Row],[Range1_Low]:[Range1_High]])</f>
        <v>5.0000000000000001E-3</v>
      </c>
      <c r="AH475">
        <v>1</v>
      </c>
    </row>
    <row r="476" spans="1:34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tr" cm="1">
        <f t="array" ref="U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V476" t="str" cm="1">
        <f t="array" ref="V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  <c r="AF476">
        <f>AVERAGE(Table1[[#This Row],[Range2_Low]:[Range2_High]])</f>
        <v>6000</v>
      </c>
      <c r="AG476">
        <f>AVERAGE(Table1[[#This Row],[Range1_Low]:[Range1_High]])</f>
        <v>5.0000000000000001E-3</v>
      </c>
      <c r="AH476">
        <v>1</v>
      </c>
    </row>
    <row r="477" spans="1:34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tr" cm="1">
        <f t="array" ref="U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7" t="str" cm="1">
        <f t="array" ref="V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  <c r="AF477">
        <f>AVERAGE(Table1[[#This Row],[Range2_Low]:[Range2_High]])</f>
        <v>0.52</v>
      </c>
      <c r="AG477">
        <f>AVERAGE(Table1[[#This Row],[Range1_Low]:[Range1_High]])</f>
        <v>5.0000000000000001E-3</v>
      </c>
      <c r="AH477">
        <v>1</v>
      </c>
    </row>
    <row r="478" spans="1:34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tr" cm="1">
        <f t="array" ref="U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8" t="str" cm="1">
        <f t="array" ref="V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  <c r="AF478">
        <f>AVERAGE(Table1[[#This Row],[Range2_Low]:[Range2_High]])</f>
        <v>2.0500000000000001E-2</v>
      </c>
      <c r="AG478">
        <f>AVERAGE(Table1[[#This Row],[Range1_Low]:[Range1_High]])</f>
        <v>5.0000000000000001E-3</v>
      </c>
      <c r="AH478">
        <v>1</v>
      </c>
    </row>
    <row r="479" spans="1:34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tr" cm="1">
        <f t="array" ref="U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µV</v>
      </c>
      <c r="V479" t="str" cm="1">
        <f t="array" ref="V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µV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  <c r="AF479">
        <f>AVERAGE(Table1[[#This Row],[Range2_Low]:[Range2_High]])</f>
        <v>2500</v>
      </c>
      <c r="AG479">
        <f>AVERAGE(Table1[[#This Row],[Range1_Low]:[Range1_High]])</f>
        <v>5.0000000000000001E-3</v>
      </c>
      <c r="AH479">
        <v>1</v>
      </c>
    </row>
    <row r="480" spans="1:34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tr" cm="1">
        <f t="array" ref="U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0" t="str" cm="1">
        <f t="array" ref="V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  <c r="AF480">
        <f>AVERAGE(Table1[[#This Row],[Range2_Low]:[Range2_High]])</f>
        <v>35</v>
      </c>
      <c r="AG480">
        <f>AVERAGE(Table1[[#This Row],[Range1_Low]:[Range1_High]])</f>
        <v>5.0000000000000001E-3</v>
      </c>
      <c r="AH480">
        <v>1</v>
      </c>
    </row>
    <row r="481" spans="1:34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tr" cm="1">
        <f t="array" ref="U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1" t="str" cm="1">
        <f t="array" ref="V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  <c r="AF481">
        <f>AVERAGE(Table1[[#This Row],[Range2_Low]:[Range2_High]])</f>
        <v>10.5</v>
      </c>
      <c r="AG481">
        <f>AVERAGE(Table1[[#This Row],[Range1_Low]:[Range1_High]])</f>
        <v>5.0000000000000001E-3</v>
      </c>
      <c r="AH481">
        <v>1</v>
      </c>
    </row>
    <row r="482" spans="1:34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tr" cm="1">
        <f t="array" ref="U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2" t="str" cm="1">
        <f t="array" ref="V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  <c r="AF482">
        <f>AVERAGE(Table1[[#This Row],[Range2_Low]:[Range2_High]])</f>
        <v>200</v>
      </c>
      <c r="AG482">
        <f>AVERAGE(Table1[[#This Row],[Range1_Low]:[Range1_High]])</f>
        <v>5.0000000000000001E-3</v>
      </c>
      <c r="AH482">
        <v>1</v>
      </c>
    </row>
    <row r="483" spans="1:34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tr" cm="1">
        <f t="array" ref="U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3" t="str" cm="1">
        <f t="array" ref="V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  <c r="AF483">
        <f>AVERAGE(Table1[[#This Row],[Range2_Low]:[Range2_High]])</f>
        <v>650</v>
      </c>
      <c r="AG483">
        <f>AVERAGE(Table1[[#This Row],[Range1_Low]:[Range1_High]])</f>
        <v>5.0000000000000001E-3</v>
      </c>
      <c r="AH483">
        <v>1</v>
      </c>
    </row>
    <row r="484" spans="1:34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tr" cm="1">
        <f t="array" ref="U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484" t="str" cm="1">
        <f t="array" ref="V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  <c r="AF484">
        <f>AVERAGE(Table1[[#This Row],[Range2_Low]:[Range2_High]])</f>
        <v>2500</v>
      </c>
      <c r="AG484">
        <f>AVERAGE(Table1[[#This Row],[Range1_Low]:[Range1_High]])</f>
        <v>5.0000000000000001E-3</v>
      </c>
      <c r="AH484">
        <v>1</v>
      </c>
    </row>
    <row r="485" spans="1:34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tr" cm="1">
        <f t="array" ref="U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V485" t="str" cm="1">
        <f t="array" ref="V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  <c r="AF485">
        <f>AVERAGE(Table1[[#This Row],[Range2_Low]:[Range2_High]])</f>
        <v>6000</v>
      </c>
      <c r="AG485">
        <f>AVERAGE(Table1[[#This Row],[Range1_Low]:[Range1_High]])</f>
        <v>5.0000000000000001E-3</v>
      </c>
      <c r="AH485">
        <v>1</v>
      </c>
    </row>
    <row r="486" spans="1:34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tr" cm="1">
        <f t="array" ref="U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6" t="str" cm="1">
        <f t="array" ref="V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  <c r="AF486">
        <f>AVERAGE(Table1[[#This Row],[Range2_Low]:[Range2_High]])</f>
        <v>2500</v>
      </c>
      <c r="AG486">
        <f>AVERAGE(Table1[[#This Row],[Range1_Low]:[Range1_High]])</f>
        <v>5.0000000000000001E-3</v>
      </c>
      <c r="AH486">
        <v>1</v>
      </c>
    </row>
    <row r="487" spans="1:34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tr" cm="1">
        <f t="array" ref="U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7" t="str" cm="1">
        <f t="array" ref="V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  <c r="AF487">
        <f>AVERAGE(Table1[[#This Row],[Range2_Low]:[Range2_High]])</f>
        <v>6000</v>
      </c>
      <c r="AG487">
        <f>AVERAGE(Table1[[#This Row],[Range1_Low]:[Range1_High]])</f>
        <v>5.0000000000000001E-3</v>
      </c>
      <c r="AH487">
        <v>1</v>
      </c>
    </row>
    <row r="488" spans="1:34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tr" cm="1">
        <f t="array" ref="U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8" t="str" cm="1">
        <f t="array" ref="V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  <c r="AF488">
        <f>AVERAGE(Table1[[#This Row],[Range2_Low]:[Range2_High]])</f>
        <v>6000</v>
      </c>
      <c r="AG488">
        <f>AVERAGE(Table1[[#This Row],[Range1_Low]:[Range1_High]])</f>
        <v>5.0000000000000001E-3</v>
      </c>
      <c r="AH488">
        <v>1</v>
      </c>
    </row>
    <row r="489" spans="1:34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tr" cm="1">
        <f t="array" ref="U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9" t="str" cm="1">
        <f t="array" ref="V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  <c r="AF489">
        <f>AVERAGE(Table1[[#This Row],[Range2_Low]:[Range2_High]])</f>
        <v>2500</v>
      </c>
      <c r="AG489">
        <f>AVERAGE(Table1[[#This Row],[Range1_Low]:[Range1_High]])</f>
        <v>5.0000000000000001E-3</v>
      </c>
      <c r="AH489">
        <v>1</v>
      </c>
    </row>
    <row r="490" spans="1:34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tr" cm="1">
        <f t="array" ref="U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490" t="str" cm="1">
        <f t="array" ref="V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  <c r="AF490">
        <f>AVERAGE(Table1[[#This Row],[Range2_Low]:[Range2_High]])</f>
        <v>35</v>
      </c>
      <c r="AG490">
        <f>AVERAGE(Table1[[#This Row],[Range1_Low]:[Range1_High]])</f>
        <v>5.5E-2</v>
      </c>
      <c r="AH490">
        <v>1</v>
      </c>
    </row>
    <row r="491" spans="1:34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tr" cm="1">
        <f t="array" ref="U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491" t="str" cm="1">
        <f t="array" ref="V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µV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  <c r="AF491">
        <f>AVERAGE(Table1[[#This Row],[Range2_Low]:[Range2_High]])</f>
        <v>0.52</v>
      </c>
      <c r="AG491">
        <f>AVERAGE(Table1[[#This Row],[Range1_Low]:[Range1_High]])</f>
        <v>5.5E-2</v>
      </c>
      <c r="AH491">
        <v>1</v>
      </c>
    </row>
    <row r="492" spans="1:34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tr" cm="1">
        <f t="array" ref="U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492" t="str" cm="1">
        <f t="array" ref="V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  <c r="AF492">
        <f>AVERAGE(Table1[[#This Row],[Range2_Low]:[Range2_High]])</f>
        <v>75</v>
      </c>
      <c r="AG492">
        <f>AVERAGE(Table1[[#This Row],[Range1_Low]:[Range1_High]])</f>
        <v>5.5E-2</v>
      </c>
      <c r="AH492">
        <v>1</v>
      </c>
    </row>
    <row r="493" spans="1:34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tr" cm="1">
        <f t="array" ref="U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493" t="str" cm="1">
        <f t="array" ref="V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  <c r="AF493">
        <f>AVERAGE(Table1[[#This Row],[Range2_Low]:[Range2_High]])</f>
        <v>2.0500000000000001E-2</v>
      </c>
      <c r="AG493">
        <f>AVERAGE(Table1[[#This Row],[Range1_Low]:[Range1_High]])</f>
        <v>5.5E-2</v>
      </c>
      <c r="AH493">
        <v>1</v>
      </c>
    </row>
    <row r="494" spans="1:34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tr" cm="1">
        <f t="array" ref="U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494" t="str" cm="1">
        <f t="array" ref="V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  <c r="AF494">
        <f>AVERAGE(Table1[[#This Row],[Range2_Low]:[Range2_High]])</f>
        <v>6000</v>
      </c>
      <c r="AG494">
        <f>AVERAGE(Table1[[#This Row],[Range1_Low]:[Range1_High]])</f>
        <v>5.5E-2</v>
      </c>
      <c r="AH494">
        <v>1</v>
      </c>
    </row>
    <row r="495" spans="1:34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tr" cm="1">
        <f t="array" ref="U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µV</v>
      </c>
      <c r="V495" t="str" cm="1">
        <f t="array" ref="V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  <c r="AF495">
        <f>AVERAGE(Table1[[#This Row],[Range2_Low]:[Range2_High]])</f>
        <v>10.5</v>
      </c>
      <c r="AG495">
        <f>AVERAGE(Table1[[#This Row],[Range1_Low]:[Range1_High]])</f>
        <v>5.5E-2</v>
      </c>
      <c r="AH495">
        <v>1</v>
      </c>
    </row>
    <row r="496" spans="1:34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tr" cm="1">
        <f t="array" ref="U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496" t="str" cm="1">
        <f t="array" ref="V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  <c r="AF496">
        <f>AVERAGE(Table1[[#This Row],[Range2_Low]:[Range2_High]])</f>
        <v>650</v>
      </c>
      <c r="AG496">
        <f>AVERAGE(Table1[[#This Row],[Range1_Low]:[Range1_High]])</f>
        <v>5.5E-2</v>
      </c>
      <c r="AH496">
        <v>1</v>
      </c>
    </row>
    <row r="497" spans="1:34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tr" cm="1">
        <f t="array" ref="U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497" t="str" cm="1">
        <f t="array" ref="V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  <c r="AF497">
        <f>AVERAGE(Table1[[#This Row],[Range2_Low]:[Range2_High]])</f>
        <v>1500</v>
      </c>
      <c r="AG497">
        <f>AVERAGE(Table1[[#This Row],[Range1_Low]:[Range1_High]])</f>
        <v>5.5E-2</v>
      </c>
      <c r="AH497">
        <v>1</v>
      </c>
    </row>
    <row r="498" spans="1:34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tr" cm="1">
        <f t="array" ref="U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µV</v>
      </c>
      <c r="V498" t="str" cm="1">
        <f t="array" ref="V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  <c r="AF498">
        <f>AVERAGE(Table1[[#This Row],[Range2_Low]:[Range2_High]])</f>
        <v>9000</v>
      </c>
      <c r="AG498">
        <f>AVERAGE(Table1[[#This Row],[Range1_Low]:[Range1_High]])</f>
        <v>5.5E-2</v>
      </c>
      <c r="AH498">
        <v>1</v>
      </c>
    </row>
    <row r="499" spans="1:34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tr" cm="1">
        <f t="array" ref="U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99" t="str" cm="1">
        <f t="array" ref="V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  <c r="AF499">
        <f>AVERAGE(Table1[[#This Row],[Range2_Low]:[Range2_High]])</f>
        <v>200</v>
      </c>
      <c r="AG499">
        <f>AVERAGE(Table1[[#This Row],[Range1_Low]:[Range1_High]])</f>
        <v>5.5E-2</v>
      </c>
      <c r="AH499">
        <v>1</v>
      </c>
    </row>
    <row r="500" spans="1:34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tr" cm="1">
        <f t="array" ref="U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0" t="str" cm="1">
        <f t="array" ref="V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  <c r="AF500">
        <f>AVERAGE(Table1[[#This Row],[Range2_Low]:[Range2_High]])</f>
        <v>3000</v>
      </c>
      <c r="AG500">
        <f>AVERAGE(Table1[[#This Row],[Range1_Low]:[Range1_High]])</f>
        <v>5.5E-2</v>
      </c>
      <c r="AH500">
        <v>1</v>
      </c>
    </row>
    <row r="501" spans="1:34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tr" cm="1">
        <f t="array" ref="U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01" t="str" cm="1">
        <f t="array" ref="V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  <c r="AF501">
        <f>AVERAGE(Table1[[#This Row],[Range2_Low]:[Range2_High]])</f>
        <v>2.0500000000000001E-2</v>
      </c>
      <c r="AG501">
        <f>AVERAGE(Table1[[#This Row],[Range1_Low]:[Range1_High]])</f>
        <v>5.5E-2</v>
      </c>
      <c r="AH501">
        <v>1</v>
      </c>
    </row>
    <row r="502" spans="1:34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tr" cm="1">
        <f t="array" ref="U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02" t="str" cm="1">
        <f t="array" ref="V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  <c r="AF502">
        <f>AVERAGE(Table1[[#This Row],[Range2_Low]:[Range2_High]])</f>
        <v>200</v>
      </c>
      <c r="AG502">
        <f>AVERAGE(Table1[[#This Row],[Range1_Low]:[Range1_High]])</f>
        <v>5.5E-2</v>
      </c>
      <c r="AH502">
        <v>1</v>
      </c>
    </row>
    <row r="503" spans="1:34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tr" cm="1">
        <f t="array" ref="U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03" t="str" cm="1">
        <f t="array" ref="V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  <c r="AF503">
        <f>AVERAGE(Table1[[#This Row],[Range2_Low]:[Range2_High]])</f>
        <v>35</v>
      </c>
      <c r="AG503">
        <f>AVERAGE(Table1[[#This Row],[Range1_Low]:[Range1_High]])</f>
        <v>5.5E-2</v>
      </c>
      <c r="AH503">
        <v>1</v>
      </c>
    </row>
    <row r="504" spans="1:34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tr" cm="1">
        <f t="array" ref="U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04" t="str" cm="1">
        <f t="array" ref="V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  <c r="AF504">
        <f>AVERAGE(Table1[[#This Row],[Range2_Low]:[Range2_High]])</f>
        <v>75</v>
      </c>
      <c r="AG504">
        <f>AVERAGE(Table1[[#This Row],[Range1_Low]:[Range1_High]])</f>
        <v>5.5E-2</v>
      </c>
      <c r="AH504">
        <v>1</v>
      </c>
    </row>
    <row r="505" spans="1:34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tr" cm="1">
        <f t="array" ref="U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05" t="str" cm="1">
        <f t="array" ref="V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  <c r="AF505">
        <f>AVERAGE(Table1[[#This Row],[Range2_Low]:[Range2_High]])</f>
        <v>10.5</v>
      </c>
      <c r="AG505">
        <f>AVERAGE(Table1[[#This Row],[Range1_Low]:[Range1_High]])</f>
        <v>5.5E-2</v>
      </c>
      <c r="AH505">
        <v>1</v>
      </c>
    </row>
    <row r="506" spans="1:34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tr" cm="1">
        <f t="array" ref="U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06" t="str" cm="1">
        <f t="array" ref="V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  <c r="AF506">
        <f>AVERAGE(Table1[[#This Row],[Range2_Low]:[Range2_High]])</f>
        <v>1500</v>
      </c>
      <c r="AG506">
        <f>AVERAGE(Table1[[#This Row],[Range1_Low]:[Range1_High]])</f>
        <v>5.5E-2</v>
      </c>
      <c r="AH506">
        <v>1</v>
      </c>
    </row>
    <row r="507" spans="1:34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tr" cm="1">
        <f t="array" ref="U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07" t="str" cm="1">
        <f t="array" ref="V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  <c r="AF507">
        <f>AVERAGE(Table1[[#This Row],[Range2_Low]:[Range2_High]])</f>
        <v>650</v>
      </c>
      <c r="AG507">
        <f>AVERAGE(Table1[[#This Row],[Range1_Low]:[Range1_High]])</f>
        <v>5.5E-2</v>
      </c>
      <c r="AH507">
        <v>1</v>
      </c>
    </row>
    <row r="508" spans="1:34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tr" cm="1">
        <f t="array" ref="U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8" t="str" cm="1">
        <f t="array" ref="V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  <c r="AF508">
        <f>AVERAGE(Table1[[#This Row],[Range2_Low]:[Range2_High]])</f>
        <v>6000</v>
      </c>
      <c r="AG508">
        <f>AVERAGE(Table1[[#This Row],[Range1_Low]:[Range1_High]])</f>
        <v>5.5E-2</v>
      </c>
      <c r="AH508">
        <v>1</v>
      </c>
    </row>
    <row r="509" spans="1:34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tr" cm="1">
        <f t="array" ref="U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9" t="str" cm="1">
        <f t="array" ref="V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  <c r="AF509">
        <f>AVERAGE(Table1[[#This Row],[Range2_Low]:[Range2_High]])</f>
        <v>3000</v>
      </c>
      <c r="AG509">
        <f>AVERAGE(Table1[[#This Row],[Range1_Low]:[Range1_High]])</f>
        <v>5.5E-2</v>
      </c>
      <c r="AH509">
        <v>1</v>
      </c>
    </row>
    <row r="510" spans="1:34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tr" cm="1">
        <f t="array" ref="U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0" t="str" cm="1">
        <f t="array" ref="V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  <c r="AF510">
        <f>AVERAGE(Table1[[#This Row],[Range2_Low]:[Range2_High]])</f>
        <v>9000</v>
      </c>
      <c r="AG510">
        <f>AVERAGE(Table1[[#This Row],[Range1_Low]:[Range1_High]])</f>
        <v>5.5E-2</v>
      </c>
      <c r="AH510">
        <v>1</v>
      </c>
    </row>
    <row r="511" spans="1:34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tr" cm="1">
        <f t="array" ref="U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1" t="str" cm="1">
        <f t="array" ref="V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  <c r="AF511">
        <f>AVERAGE(Table1[[#This Row],[Range2_Low]:[Range2_High]])</f>
        <v>0.52</v>
      </c>
      <c r="AG511">
        <f>AVERAGE(Table1[[#This Row],[Range1_Low]:[Range1_High]])</f>
        <v>5.5E-2</v>
      </c>
      <c r="AH511">
        <v>1</v>
      </c>
    </row>
    <row r="512" spans="1:34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tr" cm="1">
        <f t="array" ref="U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12" t="str" cm="1">
        <f t="array" ref="V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  <c r="AF512">
        <f>AVERAGE(Table1[[#This Row],[Range2_Low]:[Range2_High]])</f>
        <v>35</v>
      </c>
      <c r="AG512">
        <f>AVERAGE(Table1[[#This Row],[Range1_Low]:[Range1_High]])</f>
        <v>5.5E-2</v>
      </c>
      <c r="AH512">
        <v>1</v>
      </c>
    </row>
    <row r="513" spans="1:34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tr" cm="1">
        <f t="array" ref="U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13" t="str" cm="1">
        <f t="array" ref="V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  <c r="AF513">
        <f>AVERAGE(Table1[[#This Row],[Range2_Low]:[Range2_High]])</f>
        <v>200</v>
      </c>
      <c r="AG513">
        <f>AVERAGE(Table1[[#This Row],[Range1_Low]:[Range1_High]])</f>
        <v>5.5E-2</v>
      </c>
      <c r="AH513">
        <v>1</v>
      </c>
    </row>
    <row r="514" spans="1:34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tr" cm="1">
        <f t="array" ref="U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14" t="str" cm="1">
        <f t="array" ref="V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  <c r="AF514">
        <f>AVERAGE(Table1[[#This Row],[Range2_Low]:[Range2_High]])</f>
        <v>650</v>
      </c>
      <c r="AG514">
        <f>AVERAGE(Table1[[#This Row],[Range1_Low]:[Range1_High]])</f>
        <v>5.5E-2</v>
      </c>
      <c r="AH514">
        <v>1</v>
      </c>
    </row>
    <row r="515" spans="1:34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tr" cm="1">
        <f t="array" ref="U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15" t="str" cm="1">
        <f t="array" ref="V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  <c r="AF515">
        <f>AVERAGE(Table1[[#This Row],[Range2_Low]:[Range2_High]])</f>
        <v>1500</v>
      </c>
      <c r="AG515">
        <f>AVERAGE(Table1[[#This Row],[Range1_Low]:[Range1_High]])</f>
        <v>5.5E-2</v>
      </c>
      <c r="AH515">
        <v>1</v>
      </c>
    </row>
    <row r="516" spans="1:34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tr" cm="1">
        <f t="array" ref="U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6" t="str" cm="1">
        <f t="array" ref="V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  <c r="AF516">
        <f>AVERAGE(Table1[[#This Row],[Range2_Low]:[Range2_High]])</f>
        <v>0.52</v>
      </c>
      <c r="AG516">
        <f>AVERAGE(Table1[[#This Row],[Range1_Low]:[Range1_High]])</f>
        <v>5.5E-2</v>
      </c>
      <c r="AH516">
        <v>1</v>
      </c>
    </row>
    <row r="517" spans="1:34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tr" cm="1">
        <f t="array" ref="U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7" t="str" cm="1">
        <f t="array" ref="V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  <c r="AF517">
        <f>AVERAGE(Table1[[#This Row],[Range2_Low]:[Range2_High]])</f>
        <v>9000</v>
      </c>
      <c r="AG517">
        <f>AVERAGE(Table1[[#This Row],[Range1_Low]:[Range1_High]])</f>
        <v>5.5E-2</v>
      </c>
      <c r="AH517">
        <v>1</v>
      </c>
    </row>
    <row r="518" spans="1:34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tr" cm="1">
        <f t="array" ref="U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18" t="str" cm="1">
        <f t="array" ref="V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  <c r="AF518">
        <f>AVERAGE(Table1[[#This Row],[Range2_Low]:[Range2_High]])</f>
        <v>75</v>
      </c>
      <c r="AG518">
        <f>AVERAGE(Table1[[#This Row],[Range1_Low]:[Range1_High]])</f>
        <v>5.5E-2</v>
      </c>
      <c r="AH518">
        <v>1</v>
      </c>
    </row>
    <row r="519" spans="1:34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tr" cm="1">
        <f t="array" ref="U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19" t="str" cm="1">
        <f t="array" ref="V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  <c r="AF519">
        <f>AVERAGE(Table1[[#This Row],[Range2_Low]:[Range2_High]])</f>
        <v>2.0500000000000001E-2</v>
      </c>
      <c r="AG519">
        <f>AVERAGE(Table1[[#This Row],[Range1_Low]:[Range1_High]])</f>
        <v>5.5E-2</v>
      </c>
      <c r="AH519">
        <v>1</v>
      </c>
    </row>
    <row r="520" spans="1:34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tr" cm="1">
        <f t="array" ref="U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20" t="str" cm="1">
        <f t="array" ref="V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  <c r="AF520">
        <f>AVERAGE(Table1[[#This Row],[Range2_Low]:[Range2_High]])</f>
        <v>10.5</v>
      </c>
      <c r="AG520">
        <f>AVERAGE(Table1[[#This Row],[Range1_Low]:[Range1_High]])</f>
        <v>5.5E-2</v>
      </c>
      <c r="AH520">
        <v>1</v>
      </c>
    </row>
    <row r="521" spans="1:34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tr" cm="1">
        <f t="array" ref="U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1" t="str" cm="1">
        <f t="array" ref="V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  <c r="AF521">
        <f>AVERAGE(Table1[[#This Row],[Range2_Low]:[Range2_High]])</f>
        <v>6000</v>
      </c>
      <c r="AG521">
        <f>AVERAGE(Table1[[#This Row],[Range1_Low]:[Range1_High]])</f>
        <v>5.5E-2</v>
      </c>
      <c r="AH521">
        <v>1</v>
      </c>
    </row>
    <row r="522" spans="1:34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tr" cm="1">
        <f t="array" ref="U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2" t="str" cm="1">
        <f t="array" ref="V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  <c r="AF522">
        <f>AVERAGE(Table1[[#This Row],[Range2_Low]:[Range2_High]])</f>
        <v>3000</v>
      </c>
      <c r="AG522">
        <f>AVERAGE(Table1[[#This Row],[Range1_Low]:[Range1_High]])</f>
        <v>5.5E-2</v>
      </c>
      <c r="AH522">
        <v>1</v>
      </c>
    </row>
    <row r="523" spans="1:34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tr" cm="1">
        <f t="array" ref="U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µV</v>
      </c>
      <c r="V523" t="str" cm="1">
        <f t="array" ref="V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  <c r="AF523">
        <f>AVERAGE(Table1[[#This Row],[Range2_Low]:[Range2_High]])</f>
        <v>10.5</v>
      </c>
      <c r="AG523">
        <f>AVERAGE(Table1[[#This Row],[Range1_Low]:[Range1_High]])</f>
        <v>5.5E-2</v>
      </c>
      <c r="AH523">
        <v>1</v>
      </c>
    </row>
    <row r="524" spans="1:34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tr" cm="1">
        <f t="array" ref="U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524" t="str" cm="1">
        <f t="array" ref="V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  <c r="AF524">
        <f>AVERAGE(Table1[[#This Row],[Range2_Low]:[Range2_High]])</f>
        <v>2.0500000000000001E-2</v>
      </c>
      <c r="AG524">
        <f>AVERAGE(Table1[[#This Row],[Range1_Low]:[Range1_High]])</f>
        <v>5.5E-2</v>
      </c>
      <c r="AH524">
        <v>1</v>
      </c>
    </row>
    <row r="525" spans="1:34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tr" cm="1">
        <f t="array" ref="U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25" t="str" cm="1">
        <f t="array" ref="V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  <c r="AF525">
        <f>AVERAGE(Table1[[#This Row],[Range2_Low]:[Range2_High]])</f>
        <v>200</v>
      </c>
      <c r="AG525">
        <f>AVERAGE(Table1[[#This Row],[Range1_Low]:[Range1_High]])</f>
        <v>5.5E-2</v>
      </c>
      <c r="AH525">
        <v>1</v>
      </c>
    </row>
    <row r="526" spans="1:34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tr" cm="1">
        <f t="array" ref="U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26" t="str" cm="1">
        <f t="array" ref="V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  <c r="AF526">
        <f>AVERAGE(Table1[[#This Row],[Range2_Low]:[Range2_High]])</f>
        <v>650</v>
      </c>
      <c r="AG526">
        <f>AVERAGE(Table1[[#This Row],[Range1_Low]:[Range1_High]])</f>
        <v>5.5E-2</v>
      </c>
      <c r="AH526">
        <v>1</v>
      </c>
    </row>
    <row r="527" spans="1:34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tr" cm="1">
        <f t="array" ref="U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7" t="str" cm="1">
        <f t="array" ref="V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  <c r="AF527">
        <f>AVERAGE(Table1[[#This Row],[Range2_Low]:[Range2_High]])</f>
        <v>3000</v>
      </c>
      <c r="AG527">
        <f>AVERAGE(Table1[[#This Row],[Range1_Low]:[Range1_High]])</f>
        <v>5.5E-2</v>
      </c>
      <c r="AH527">
        <v>1</v>
      </c>
    </row>
    <row r="528" spans="1:34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tr" cm="1">
        <f t="array" ref="U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V528" t="str" cm="1">
        <f t="array" ref="V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  <c r="AF528">
        <f>AVERAGE(Table1[[#This Row],[Range2_Low]:[Range2_High]])</f>
        <v>0.52</v>
      </c>
      <c r="AG528">
        <f>AVERAGE(Table1[[#This Row],[Range1_Low]:[Range1_High]])</f>
        <v>5.5E-2</v>
      </c>
      <c r="AH528">
        <v>1</v>
      </c>
    </row>
    <row r="529" spans="1:34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tr" cm="1">
        <f t="array" ref="U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V529" t="str" cm="1">
        <f t="array" ref="V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  <c r="AF529">
        <f>AVERAGE(Table1[[#This Row],[Range2_Low]:[Range2_High]])</f>
        <v>35</v>
      </c>
      <c r="AG529">
        <f>AVERAGE(Table1[[#This Row],[Range1_Low]:[Range1_High]])</f>
        <v>5.5E-2</v>
      </c>
      <c r="AH529">
        <v>1</v>
      </c>
    </row>
    <row r="530" spans="1:34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tr" cm="1">
        <f t="array" ref="U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0" t="str" cm="1">
        <f t="array" ref="V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  <c r="AF530">
        <f>AVERAGE(Table1[[#This Row],[Range2_Low]:[Range2_High]])</f>
        <v>9000</v>
      </c>
      <c r="AG530">
        <f>AVERAGE(Table1[[#This Row],[Range1_Low]:[Range1_High]])</f>
        <v>5.5E-2</v>
      </c>
      <c r="AH530">
        <v>1</v>
      </c>
    </row>
    <row r="531" spans="1:34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tr" cm="1">
        <f t="array" ref="U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1" t="str" cm="1">
        <f t="array" ref="V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  <c r="AF531">
        <f>AVERAGE(Table1[[#This Row],[Range2_Low]:[Range2_High]])</f>
        <v>1500</v>
      </c>
      <c r="AG531">
        <f>AVERAGE(Table1[[#This Row],[Range1_Low]:[Range1_High]])</f>
        <v>5.5E-2</v>
      </c>
      <c r="AH531">
        <v>1</v>
      </c>
    </row>
    <row r="532" spans="1:34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tr" cm="1">
        <f t="array" ref="U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2" t="str" cm="1">
        <f t="array" ref="V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  <c r="AF532">
        <f>AVERAGE(Table1[[#This Row],[Range2_Low]:[Range2_High]])</f>
        <v>6000</v>
      </c>
      <c r="AG532">
        <f>AVERAGE(Table1[[#This Row],[Range1_Low]:[Range1_High]])</f>
        <v>5.5E-2</v>
      </c>
      <c r="AH532">
        <v>1</v>
      </c>
    </row>
    <row r="533" spans="1:34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tr" cm="1">
        <f t="array" ref="U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µV</v>
      </c>
      <c r="V533" t="str" cm="1">
        <f t="array" ref="V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  <c r="AF533">
        <f>AVERAGE(Table1[[#This Row],[Range2_Low]:[Range2_High]])</f>
        <v>75</v>
      </c>
      <c r="AG533">
        <f>AVERAGE(Table1[[#This Row],[Range1_Low]:[Range1_High]])</f>
        <v>5.5E-2</v>
      </c>
      <c r="AH533">
        <v>1</v>
      </c>
    </row>
    <row r="534" spans="1:34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tr" cm="1">
        <f t="array" ref="U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4" t="str" cm="1">
        <f t="array" ref="V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  <c r="AF534">
        <f>AVERAGE(Table1[[#This Row],[Range2_Low]:[Range2_High]])</f>
        <v>6000</v>
      </c>
      <c r="AG534">
        <f>AVERAGE(Table1[[#This Row],[Range1_Low]:[Range1_High]])</f>
        <v>5.5E-2</v>
      </c>
      <c r="AH534">
        <v>1</v>
      </c>
    </row>
    <row r="535" spans="1:34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tr" cm="1">
        <f t="array" ref="U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V535" t="str" cm="1">
        <f t="array" ref="V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  <c r="AF535">
        <f>AVERAGE(Table1[[#This Row],[Range2_Low]:[Range2_High]])</f>
        <v>35</v>
      </c>
      <c r="AG535">
        <f>AVERAGE(Table1[[#This Row],[Range1_Low]:[Range1_High]])</f>
        <v>5.5E-2</v>
      </c>
      <c r="AH535">
        <v>1</v>
      </c>
    </row>
    <row r="536" spans="1:34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tr" cm="1">
        <f t="array" ref="U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6" t="str" cm="1">
        <f t="array" ref="V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  <c r="AF536">
        <f>AVERAGE(Table1[[#This Row],[Range2_Low]:[Range2_High]])</f>
        <v>1500</v>
      </c>
      <c r="AG536">
        <f>AVERAGE(Table1[[#This Row],[Range1_Low]:[Range1_High]])</f>
        <v>5.5E-2</v>
      </c>
      <c r="AH536">
        <v>1</v>
      </c>
    </row>
    <row r="537" spans="1:34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tr" cm="1">
        <f t="array" ref="U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37" t="str" cm="1">
        <f t="array" ref="V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  <c r="AF537">
        <f>AVERAGE(Table1[[#This Row],[Range2_Low]:[Range2_High]])</f>
        <v>2.0500000000000001E-2</v>
      </c>
      <c r="AG537">
        <f>AVERAGE(Table1[[#This Row],[Range1_Low]:[Range1_High]])</f>
        <v>5.5E-2</v>
      </c>
      <c r="AH537">
        <v>1</v>
      </c>
    </row>
    <row r="538" spans="1:34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tr" cm="1">
        <f t="array" ref="U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8" t="str" cm="1">
        <f t="array" ref="V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  <c r="AF538">
        <f>AVERAGE(Table1[[#This Row],[Range2_Low]:[Range2_High]])</f>
        <v>9000</v>
      </c>
      <c r="AG538">
        <f>AVERAGE(Table1[[#This Row],[Range1_Low]:[Range1_High]])</f>
        <v>5.5E-2</v>
      </c>
      <c r="AH538">
        <v>1</v>
      </c>
    </row>
    <row r="539" spans="1:34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tr" cm="1">
        <f t="array" ref="U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µV</v>
      </c>
      <c r="V539" t="str" cm="1">
        <f t="array" ref="V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  <c r="AF539">
        <f>AVERAGE(Table1[[#This Row],[Range2_Low]:[Range2_High]])</f>
        <v>650</v>
      </c>
      <c r="AG539">
        <f>AVERAGE(Table1[[#This Row],[Range1_Low]:[Range1_High]])</f>
        <v>5.5E-2</v>
      </c>
      <c r="AH539">
        <v>1</v>
      </c>
    </row>
    <row r="540" spans="1:34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tr" cm="1">
        <f t="array" ref="U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40" t="str" cm="1">
        <f t="array" ref="V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  <c r="AF540">
        <f>AVERAGE(Table1[[#This Row],[Range2_Low]:[Range2_High]])</f>
        <v>3000</v>
      </c>
      <c r="AG540">
        <f>AVERAGE(Table1[[#This Row],[Range1_Low]:[Range1_High]])</f>
        <v>5.5E-2</v>
      </c>
      <c r="AH540">
        <v>1</v>
      </c>
    </row>
    <row r="541" spans="1:34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tr" cm="1">
        <f t="array" ref="U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41" t="str" cm="1">
        <f t="array" ref="V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  <c r="AF541">
        <f>AVERAGE(Table1[[#This Row],[Range2_Low]:[Range2_High]])</f>
        <v>0.52</v>
      </c>
      <c r="AG541">
        <f>AVERAGE(Table1[[#This Row],[Range1_Low]:[Range1_High]])</f>
        <v>5.5E-2</v>
      </c>
      <c r="AH541">
        <v>1</v>
      </c>
    </row>
    <row r="542" spans="1:34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tr" cm="1">
        <f t="array" ref="U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V542" t="str" cm="1">
        <f t="array" ref="V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  <c r="AF542">
        <f>AVERAGE(Table1[[#This Row],[Range2_Low]:[Range2_High]])</f>
        <v>200</v>
      </c>
      <c r="AG542">
        <f>AVERAGE(Table1[[#This Row],[Range1_Low]:[Range1_High]])</f>
        <v>5.5E-2</v>
      </c>
      <c r="AH542">
        <v>1</v>
      </c>
    </row>
    <row r="543" spans="1:34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tr" cm="1">
        <f t="array" ref="U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V543" t="str" cm="1">
        <f t="array" ref="V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  <c r="AF543">
        <f>AVERAGE(Table1[[#This Row],[Range2_Low]:[Range2_High]])</f>
        <v>75</v>
      </c>
      <c r="AG543">
        <f>AVERAGE(Table1[[#This Row],[Range1_Low]:[Range1_High]])</f>
        <v>5.5E-2</v>
      </c>
      <c r="AH543">
        <v>1</v>
      </c>
    </row>
    <row r="544" spans="1:34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tr" cm="1">
        <f t="array" ref="U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V544" t="str" cm="1">
        <f t="array" ref="V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  <c r="AF544">
        <f>AVERAGE(Table1[[#This Row],[Range2_Low]:[Range2_High]])</f>
        <v>10.5</v>
      </c>
      <c r="AG544">
        <f>AVERAGE(Table1[[#This Row],[Range1_Low]:[Range1_High]])</f>
        <v>5.5E-2</v>
      </c>
      <c r="AH544">
        <v>1</v>
      </c>
    </row>
    <row r="545" spans="1:34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tr" cm="1">
        <f t="array" ref="U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5" t="str" cm="1">
        <f t="array" ref="V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  <c r="AF545">
        <f>AVERAGE(Table1[[#This Row],[Range2_Low]:[Range2_High]])</f>
        <v>75</v>
      </c>
      <c r="AG545">
        <f>AVERAGE(Table1[[#This Row],[Range1_Low]:[Range1_High]])</f>
        <v>5.5E-2</v>
      </c>
      <c r="AH545">
        <v>1</v>
      </c>
    </row>
    <row r="546" spans="1:34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tr" cm="1">
        <f t="array" ref="U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V546" t="str" cm="1">
        <f t="array" ref="V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µV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  <c r="AF546">
        <f>AVERAGE(Table1[[#This Row],[Range2_Low]:[Range2_High]])</f>
        <v>1500</v>
      </c>
      <c r="AG546">
        <f>AVERAGE(Table1[[#This Row],[Range1_Low]:[Range1_High]])</f>
        <v>5.5E-2</v>
      </c>
      <c r="AH546">
        <v>1</v>
      </c>
    </row>
    <row r="547" spans="1:34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tr" cm="1">
        <f t="array" ref="U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7" t="str" cm="1">
        <f t="array" ref="V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  <c r="AF547">
        <f>AVERAGE(Table1[[#This Row],[Range2_Low]:[Range2_High]])</f>
        <v>35</v>
      </c>
      <c r="AG547">
        <f>AVERAGE(Table1[[#This Row],[Range1_Low]:[Range1_High]])</f>
        <v>5.5E-2</v>
      </c>
      <c r="AH547">
        <v>1</v>
      </c>
    </row>
    <row r="548" spans="1:34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tr" cm="1">
        <f t="array" ref="U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8" t="str" cm="1">
        <f t="array" ref="V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  <c r="AF548">
        <f>AVERAGE(Table1[[#This Row],[Range2_Low]:[Range2_High]])</f>
        <v>0.52</v>
      </c>
      <c r="AG548">
        <f>AVERAGE(Table1[[#This Row],[Range1_Low]:[Range1_High]])</f>
        <v>5.5E-2</v>
      </c>
      <c r="AH548">
        <v>1</v>
      </c>
    </row>
    <row r="549" spans="1:34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tr" cm="1">
        <f t="array" ref="U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49" t="str" cm="1">
        <f t="array" ref="V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  <c r="AF549">
        <f>AVERAGE(Table1[[#This Row],[Range2_Low]:[Range2_High]])</f>
        <v>3000</v>
      </c>
      <c r="AG549">
        <f>AVERAGE(Table1[[#This Row],[Range1_Low]:[Range1_High]])</f>
        <v>5.5E-2</v>
      </c>
      <c r="AH549">
        <v>1</v>
      </c>
    </row>
    <row r="550" spans="1:34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tr" cm="1">
        <f t="array" ref="U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µV</v>
      </c>
      <c r="V550" t="str" cm="1">
        <f t="array" ref="V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  <c r="AF550">
        <f>AVERAGE(Table1[[#This Row],[Range2_Low]:[Range2_High]])</f>
        <v>650</v>
      </c>
      <c r="AG550">
        <f>AVERAGE(Table1[[#This Row],[Range1_Low]:[Range1_High]])</f>
        <v>5.5E-2</v>
      </c>
      <c r="AH550">
        <v>1</v>
      </c>
    </row>
    <row r="551" spans="1:34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tr" cm="1">
        <f t="array" ref="U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V551" t="str" cm="1">
        <f t="array" ref="V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  <c r="AF551">
        <f>AVERAGE(Table1[[#This Row],[Range2_Low]:[Range2_High]])</f>
        <v>200</v>
      </c>
      <c r="AG551">
        <f>AVERAGE(Table1[[#This Row],[Range1_Low]:[Range1_High]])</f>
        <v>5.5E-2</v>
      </c>
      <c r="AH551">
        <v>1</v>
      </c>
    </row>
    <row r="552" spans="1:34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tr" cm="1">
        <f t="array" ref="U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2" t="str" cm="1">
        <f t="array" ref="V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  <c r="AF552">
        <f>AVERAGE(Table1[[#This Row],[Range2_Low]:[Range2_High]])</f>
        <v>10.5</v>
      </c>
      <c r="AG552">
        <f>AVERAGE(Table1[[#This Row],[Range1_Low]:[Range1_High]])</f>
        <v>5.5E-2</v>
      </c>
      <c r="AH552">
        <v>1</v>
      </c>
    </row>
    <row r="553" spans="1:34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tr" cm="1">
        <f t="array" ref="U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3" t="str" cm="1">
        <f t="array" ref="V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  <c r="AF553">
        <f>AVERAGE(Table1[[#This Row],[Range2_Low]:[Range2_High]])</f>
        <v>2.0500000000000001E-2</v>
      </c>
      <c r="AG553">
        <f>AVERAGE(Table1[[#This Row],[Range1_Low]:[Range1_High]])</f>
        <v>5.5E-2</v>
      </c>
      <c r="AH553">
        <v>1</v>
      </c>
    </row>
    <row r="554" spans="1:34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tr" cm="1">
        <f t="array" ref="U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54" t="str" cm="1">
        <f t="array" ref="V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  <c r="AF554">
        <f>AVERAGE(Table1[[#This Row],[Range2_Low]:[Range2_High]])</f>
        <v>9000</v>
      </c>
      <c r="AG554">
        <f>AVERAGE(Table1[[#This Row],[Range1_Low]:[Range1_High]])</f>
        <v>5.5E-2</v>
      </c>
      <c r="AH554">
        <v>1</v>
      </c>
    </row>
    <row r="555" spans="1:34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tr" cm="1">
        <f t="array" ref="U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55" t="str" cm="1">
        <f t="array" ref="V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  <c r="AF555">
        <f>AVERAGE(Table1[[#This Row],[Range2_Low]:[Range2_High]])</f>
        <v>6000</v>
      </c>
      <c r="AG555">
        <f>AVERAGE(Table1[[#This Row],[Range1_Low]:[Range1_High]])</f>
        <v>5.5E-2</v>
      </c>
      <c r="AH555">
        <v>1</v>
      </c>
    </row>
    <row r="556" spans="1:34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tr" cm="1">
        <f t="array" ref="U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56" t="str" cm="1">
        <f t="array" ref="V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  <c r="AF556">
        <f>AVERAGE(Table1[[#This Row],[Range2_Low]:[Range2_High]])</f>
        <v>75</v>
      </c>
      <c r="AG556">
        <f>AVERAGE(Table1[[#This Row],[Range1_Low]:[Range1_High]])</f>
        <v>0.55000000000000004</v>
      </c>
      <c r="AH556">
        <v>1</v>
      </c>
    </row>
    <row r="557" spans="1:34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tr" cm="1">
        <f t="array" ref="U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57" t="str" cm="1">
        <f t="array" ref="V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  <c r="AF557">
        <f>AVERAGE(Table1[[#This Row],[Range2_Low]:[Range2_High]])</f>
        <v>0.52</v>
      </c>
      <c r="AG557">
        <f>AVERAGE(Table1[[#This Row],[Range1_Low]:[Range1_High]])</f>
        <v>0.55000000000000004</v>
      </c>
      <c r="AH557">
        <v>1</v>
      </c>
    </row>
    <row r="558" spans="1:34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tr" cm="1">
        <f t="array" ref="U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58" t="str" cm="1">
        <f t="array" ref="V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  <c r="AF558">
        <f>AVERAGE(Table1[[#This Row],[Range2_Low]:[Range2_High]])</f>
        <v>6000</v>
      </c>
      <c r="AG558">
        <f>AVERAGE(Table1[[#This Row],[Range1_Low]:[Range1_High]])</f>
        <v>0.55000000000000004</v>
      </c>
      <c r="AH558">
        <v>1</v>
      </c>
    </row>
    <row r="559" spans="1:34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tr" cm="1">
        <f t="array" ref="U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59" t="str" cm="1">
        <f t="array" ref="V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  <c r="AF559">
        <f>AVERAGE(Table1[[#This Row],[Range2_Low]:[Range2_High]])</f>
        <v>200</v>
      </c>
      <c r="AG559">
        <f>AVERAGE(Table1[[#This Row],[Range1_Low]:[Range1_High]])</f>
        <v>0.55000000000000004</v>
      </c>
      <c r="AH559">
        <v>1</v>
      </c>
    </row>
    <row r="560" spans="1:34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tr" cm="1">
        <f t="array" ref="U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µV</v>
      </c>
      <c r="V560" t="str" cm="1">
        <f t="array" ref="V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  <c r="AF560">
        <f>AVERAGE(Table1[[#This Row],[Range2_Low]:[Range2_High]])</f>
        <v>1500</v>
      </c>
      <c r="AG560">
        <f>AVERAGE(Table1[[#This Row],[Range1_Low]:[Range1_High]])</f>
        <v>0.55000000000000004</v>
      </c>
      <c r="AH560">
        <v>1</v>
      </c>
    </row>
    <row r="561" spans="1:34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tr" cm="1">
        <f t="array" ref="U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61" t="str" cm="1">
        <f t="array" ref="V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  <c r="AF561">
        <f>AVERAGE(Table1[[#This Row],[Range2_Low]:[Range2_High]])</f>
        <v>9000</v>
      </c>
      <c r="AG561">
        <f>AVERAGE(Table1[[#This Row],[Range1_Low]:[Range1_High]])</f>
        <v>0.55000000000000004</v>
      </c>
      <c r="AH561">
        <v>1</v>
      </c>
    </row>
    <row r="562" spans="1:34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tr" cm="1">
        <f t="array" ref="U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62" t="str" cm="1">
        <f t="array" ref="V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  <c r="AF562">
        <f>AVERAGE(Table1[[#This Row],[Range2_Low]:[Range2_High]])</f>
        <v>10.5</v>
      </c>
      <c r="AG562">
        <f>AVERAGE(Table1[[#This Row],[Range1_Low]:[Range1_High]])</f>
        <v>0.55000000000000004</v>
      </c>
      <c r="AH562">
        <v>1</v>
      </c>
    </row>
    <row r="563" spans="1:34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tr" cm="1">
        <f t="array" ref="U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63" t="str" cm="1">
        <f t="array" ref="V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  <c r="AF563">
        <f>AVERAGE(Table1[[#This Row],[Range2_Low]:[Range2_High]])</f>
        <v>35</v>
      </c>
      <c r="AG563">
        <f>AVERAGE(Table1[[#This Row],[Range1_Low]:[Range1_High]])</f>
        <v>0.55000000000000004</v>
      </c>
      <c r="AH563">
        <v>1</v>
      </c>
    </row>
    <row r="564" spans="1:34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tr" cm="1">
        <f t="array" ref="U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4" t="str" cm="1">
        <f t="array" ref="V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  <c r="AF564">
        <f>AVERAGE(Table1[[#This Row],[Range2_Low]:[Range2_High]])</f>
        <v>2.0500000000000001E-2</v>
      </c>
      <c r="AG564">
        <f>AVERAGE(Table1[[#This Row],[Range1_Low]:[Range1_High]])</f>
        <v>0.55000000000000004</v>
      </c>
      <c r="AH564">
        <v>1</v>
      </c>
    </row>
    <row r="565" spans="1:34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tr" cm="1">
        <f t="array" ref="U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5" t="str" cm="1">
        <f t="array" ref="V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  <c r="AF565">
        <f>AVERAGE(Table1[[#This Row],[Range2_Low]:[Range2_High]])</f>
        <v>3000</v>
      </c>
      <c r="AG565">
        <f>AVERAGE(Table1[[#This Row],[Range1_Low]:[Range1_High]])</f>
        <v>0.55000000000000004</v>
      </c>
      <c r="AH565">
        <v>1</v>
      </c>
    </row>
    <row r="566" spans="1:34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tr" cm="1">
        <f t="array" ref="U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66" t="str" cm="1">
        <f t="array" ref="V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  <c r="AF566">
        <f>AVERAGE(Table1[[#This Row],[Range2_Low]:[Range2_High]])</f>
        <v>0.52</v>
      </c>
      <c r="AG566">
        <f>AVERAGE(Table1[[#This Row],[Range1_Low]:[Range1_High]])</f>
        <v>0.55000000000000004</v>
      </c>
      <c r="AH566">
        <v>1</v>
      </c>
    </row>
    <row r="567" spans="1:34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tr" cm="1">
        <f t="array" ref="U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7" t="str" cm="1">
        <f t="array" ref="V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  <c r="AF567">
        <f>AVERAGE(Table1[[#This Row],[Range2_Low]:[Range2_High]])</f>
        <v>6000</v>
      </c>
      <c r="AG567">
        <f>AVERAGE(Table1[[#This Row],[Range1_Low]:[Range1_High]])</f>
        <v>0.55000000000000004</v>
      </c>
      <c r="AH567">
        <v>1</v>
      </c>
    </row>
    <row r="568" spans="1:34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tr" cm="1">
        <f t="array" ref="U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68" t="str" cm="1">
        <f t="array" ref="V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  <c r="AF568">
        <f>AVERAGE(Table1[[#This Row],[Range2_Low]:[Range2_High]])</f>
        <v>75</v>
      </c>
      <c r="AG568">
        <f>AVERAGE(Table1[[#This Row],[Range1_Low]:[Range1_High]])</f>
        <v>0.55000000000000004</v>
      </c>
      <c r="AH568">
        <v>1</v>
      </c>
    </row>
    <row r="569" spans="1:34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tr" cm="1">
        <f t="array" ref="U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9" t="str" cm="1">
        <f t="array" ref="V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  <c r="AF569">
        <f>AVERAGE(Table1[[#This Row],[Range2_Low]:[Range2_High]])</f>
        <v>2.0500000000000001E-2</v>
      </c>
      <c r="AG569">
        <f>AVERAGE(Table1[[#This Row],[Range1_Low]:[Range1_High]])</f>
        <v>0.55000000000000004</v>
      </c>
      <c r="AH569">
        <v>1</v>
      </c>
    </row>
    <row r="570" spans="1:34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tr" cm="1">
        <f t="array" ref="U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70" t="str" cm="1">
        <f t="array" ref="V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  <c r="AF570">
        <f>AVERAGE(Table1[[#This Row],[Range2_Low]:[Range2_High]])</f>
        <v>650</v>
      </c>
      <c r="AG570">
        <f>AVERAGE(Table1[[#This Row],[Range1_Low]:[Range1_High]])</f>
        <v>0.55000000000000004</v>
      </c>
      <c r="AH570">
        <v>1</v>
      </c>
    </row>
    <row r="571" spans="1:34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tr" cm="1">
        <f t="array" ref="U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71" t="str" cm="1">
        <f t="array" ref="V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  <c r="AF571">
        <f>AVERAGE(Table1[[#This Row],[Range2_Low]:[Range2_High]])</f>
        <v>35</v>
      </c>
      <c r="AG571">
        <f>AVERAGE(Table1[[#This Row],[Range1_Low]:[Range1_High]])</f>
        <v>0.55000000000000004</v>
      </c>
      <c r="AH571">
        <v>1</v>
      </c>
    </row>
    <row r="572" spans="1:34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tr" cm="1">
        <f t="array" ref="U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72" t="str" cm="1">
        <f t="array" ref="V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  <c r="AF572">
        <f>AVERAGE(Table1[[#This Row],[Range2_Low]:[Range2_High]])</f>
        <v>10.5</v>
      </c>
      <c r="AG572">
        <f>AVERAGE(Table1[[#This Row],[Range1_Low]:[Range1_High]])</f>
        <v>0.55000000000000004</v>
      </c>
      <c r="AH572">
        <v>1</v>
      </c>
    </row>
    <row r="573" spans="1:34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tr" cm="1">
        <f t="array" ref="U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3" t="str" cm="1">
        <f t="array" ref="V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  <c r="AF573">
        <f>AVERAGE(Table1[[#This Row],[Range2_Low]:[Range2_High]])</f>
        <v>200</v>
      </c>
      <c r="AG573">
        <f>AVERAGE(Table1[[#This Row],[Range1_Low]:[Range1_High]])</f>
        <v>0.55000000000000004</v>
      </c>
      <c r="AH573">
        <v>1</v>
      </c>
    </row>
    <row r="574" spans="1:34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tr" cm="1">
        <f t="array" ref="U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74" t="str" cm="1">
        <f t="array" ref="V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  <c r="AF574">
        <f>AVERAGE(Table1[[#This Row],[Range2_Low]:[Range2_High]])</f>
        <v>1500</v>
      </c>
      <c r="AG574">
        <f>AVERAGE(Table1[[#This Row],[Range1_Low]:[Range1_High]])</f>
        <v>0.55000000000000004</v>
      </c>
      <c r="AH574">
        <v>1</v>
      </c>
    </row>
    <row r="575" spans="1:34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tr" cm="1">
        <f t="array" ref="U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75" t="str" cm="1">
        <f t="array" ref="V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  <c r="AF575">
        <f>AVERAGE(Table1[[#This Row],[Range2_Low]:[Range2_High]])</f>
        <v>9000</v>
      </c>
      <c r="AG575">
        <f>AVERAGE(Table1[[#This Row],[Range1_Low]:[Range1_High]])</f>
        <v>0.55000000000000004</v>
      </c>
      <c r="AH575">
        <v>1</v>
      </c>
    </row>
    <row r="576" spans="1:34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tr" cm="1">
        <f t="array" ref="U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76" t="str" cm="1">
        <f t="array" ref="V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  <c r="AF576">
        <f>AVERAGE(Table1[[#This Row],[Range2_Low]:[Range2_High]])</f>
        <v>3000</v>
      </c>
      <c r="AG576">
        <f>AVERAGE(Table1[[#This Row],[Range1_Low]:[Range1_High]])</f>
        <v>0.55000000000000004</v>
      </c>
      <c r="AH576">
        <v>1</v>
      </c>
    </row>
    <row r="577" spans="1:34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tr" cm="1">
        <f t="array" ref="U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77" t="str" cm="1">
        <f t="array" ref="V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  <c r="AF577">
        <f>AVERAGE(Table1[[#This Row],[Range2_Low]:[Range2_High]])</f>
        <v>75</v>
      </c>
      <c r="AG577">
        <f>AVERAGE(Table1[[#This Row],[Range1_Low]:[Range1_High]])</f>
        <v>0.55000000000000004</v>
      </c>
      <c r="AH577">
        <v>1</v>
      </c>
    </row>
    <row r="578" spans="1:34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tr" cm="1">
        <f t="array" ref="U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8" t="str" cm="1">
        <f t="array" ref="V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  <c r="AF578">
        <f>AVERAGE(Table1[[#This Row],[Range2_Low]:[Range2_High]])</f>
        <v>200</v>
      </c>
      <c r="AG578">
        <f>AVERAGE(Table1[[#This Row],[Range1_Low]:[Range1_High]])</f>
        <v>0.55000000000000004</v>
      </c>
      <c r="AH578">
        <v>1</v>
      </c>
    </row>
    <row r="579" spans="1:34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tr" cm="1">
        <f t="array" ref="U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79" t="str" cm="1">
        <f t="array" ref="V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  <c r="AF579">
        <f>AVERAGE(Table1[[#This Row],[Range2_Low]:[Range2_High]])</f>
        <v>2.0500000000000001E-2</v>
      </c>
      <c r="AG579">
        <f>AVERAGE(Table1[[#This Row],[Range1_Low]:[Range1_High]])</f>
        <v>0.55000000000000004</v>
      </c>
      <c r="AH579">
        <v>1</v>
      </c>
    </row>
    <row r="580" spans="1:34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tr" cm="1">
        <f t="array" ref="U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80" t="str" cm="1">
        <f t="array" ref="V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  <c r="AF580">
        <f>AVERAGE(Table1[[#This Row],[Range2_Low]:[Range2_High]])</f>
        <v>9000</v>
      </c>
      <c r="AG580">
        <f>AVERAGE(Table1[[#This Row],[Range1_Low]:[Range1_High]])</f>
        <v>0.55000000000000004</v>
      </c>
      <c r="AH580">
        <v>1</v>
      </c>
    </row>
    <row r="581" spans="1:34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tr" cm="1">
        <f t="array" ref="U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1" t="str" cm="1">
        <f t="array" ref="V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  <c r="AF581">
        <f>AVERAGE(Table1[[#This Row],[Range2_Low]:[Range2_High]])</f>
        <v>1500</v>
      </c>
      <c r="AG581">
        <f>AVERAGE(Table1[[#This Row],[Range1_Low]:[Range1_High]])</f>
        <v>0.55000000000000004</v>
      </c>
      <c r="AH581">
        <v>1</v>
      </c>
    </row>
    <row r="582" spans="1:34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tr" cm="1">
        <f t="array" ref="U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82" t="str" cm="1">
        <f t="array" ref="V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  <c r="AF582">
        <f>AVERAGE(Table1[[#This Row],[Range2_Low]:[Range2_High]])</f>
        <v>0.52</v>
      </c>
      <c r="AG582">
        <f>AVERAGE(Table1[[#This Row],[Range1_Low]:[Range1_High]])</f>
        <v>0.55000000000000004</v>
      </c>
      <c r="AH582">
        <v>1</v>
      </c>
    </row>
    <row r="583" spans="1:34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tr" cm="1">
        <f t="array" ref="U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3" t="str" cm="1">
        <f t="array" ref="V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  <c r="AF583">
        <f>AVERAGE(Table1[[#This Row],[Range2_Low]:[Range2_High]])</f>
        <v>3000</v>
      </c>
      <c r="AG583">
        <f>AVERAGE(Table1[[#This Row],[Range1_Low]:[Range1_High]])</f>
        <v>0.55000000000000004</v>
      </c>
      <c r="AH583">
        <v>1</v>
      </c>
    </row>
    <row r="584" spans="1:34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tr" cm="1">
        <f t="array" ref="U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4" t="str" cm="1">
        <f t="array" ref="V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  <c r="AF584">
        <f>AVERAGE(Table1[[#This Row],[Range2_Low]:[Range2_High]])</f>
        <v>6000</v>
      </c>
      <c r="AG584">
        <f>AVERAGE(Table1[[#This Row],[Range1_Low]:[Range1_High]])</f>
        <v>0.55000000000000004</v>
      </c>
      <c r="AH584">
        <v>1</v>
      </c>
    </row>
    <row r="585" spans="1:34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tr" cm="1">
        <f t="array" ref="U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85" t="str" cm="1">
        <f t="array" ref="V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  <c r="AF585">
        <f>AVERAGE(Table1[[#This Row],[Range2_Low]:[Range2_High]])</f>
        <v>10.5</v>
      </c>
      <c r="AG585">
        <f>AVERAGE(Table1[[#This Row],[Range1_Low]:[Range1_High]])</f>
        <v>0.55000000000000004</v>
      </c>
      <c r="AH585">
        <v>1</v>
      </c>
    </row>
    <row r="586" spans="1:34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tr" cm="1">
        <f t="array" ref="U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86" t="str" cm="1">
        <f t="array" ref="V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  <c r="AF586">
        <f>AVERAGE(Table1[[#This Row],[Range2_Low]:[Range2_High]])</f>
        <v>650</v>
      </c>
      <c r="AG586">
        <f>AVERAGE(Table1[[#This Row],[Range1_Low]:[Range1_High]])</f>
        <v>0.55000000000000004</v>
      </c>
      <c r="AH586">
        <v>1</v>
      </c>
    </row>
    <row r="587" spans="1:34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tr" cm="1">
        <f t="array" ref="U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87" t="str" cm="1">
        <f t="array" ref="V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  <c r="AF587">
        <f>AVERAGE(Table1[[#This Row],[Range2_Low]:[Range2_High]])</f>
        <v>35</v>
      </c>
      <c r="AG587">
        <f>AVERAGE(Table1[[#This Row],[Range1_Low]:[Range1_High]])</f>
        <v>0.55000000000000004</v>
      </c>
      <c r="AH587">
        <v>1</v>
      </c>
    </row>
    <row r="588" spans="1:34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tr" cm="1">
        <f t="array" ref="U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8" t="str" cm="1">
        <f t="array" ref="V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  <c r="AF588">
        <f>AVERAGE(Table1[[#This Row],[Range2_Low]:[Range2_High]])</f>
        <v>1500</v>
      </c>
      <c r="AG588">
        <f>AVERAGE(Table1[[#This Row],[Range1_Low]:[Range1_High]])</f>
        <v>0.55000000000000004</v>
      </c>
      <c r="AH588">
        <v>1</v>
      </c>
    </row>
    <row r="589" spans="1:34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tr" cm="1">
        <f t="array" ref="U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89" t="str" cm="1">
        <f t="array" ref="V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  <c r="AF589">
        <f>AVERAGE(Table1[[#This Row],[Range2_Low]:[Range2_High]])</f>
        <v>200</v>
      </c>
      <c r="AG589">
        <f>AVERAGE(Table1[[#This Row],[Range1_Low]:[Range1_High]])</f>
        <v>0.55000000000000004</v>
      </c>
      <c r="AH589">
        <v>1</v>
      </c>
    </row>
    <row r="590" spans="1:34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tr" cm="1">
        <f t="array" ref="U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0" t="str" cm="1">
        <f t="array" ref="V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  <c r="AF590">
        <f>AVERAGE(Table1[[#This Row],[Range2_Low]:[Range2_High]])</f>
        <v>6000</v>
      </c>
      <c r="AG590">
        <f>AVERAGE(Table1[[#This Row],[Range1_Low]:[Range1_High]])</f>
        <v>0.55000000000000004</v>
      </c>
      <c r="AH590">
        <v>1</v>
      </c>
    </row>
    <row r="591" spans="1:34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tr" cm="1">
        <f t="array" ref="U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591" t="str" cm="1">
        <f t="array" ref="V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  <c r="AF591">
        <f>AVERAGE(Table1[[#This Row],[Range2_Low]:[Range2_High]])</f>
        <v>0.52</v>
      </c>
      <c r="AG591">
        <f>AVERAGE(Table1[[#This Row],[Range1_Low]:[Range1_High]])</f>
        <v>0.55000000000000004</v>
      </c>
      <c r="AH591">
        <v>1</v>
      </c>
    </row>
    <row r="592" spans="1:34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tr" cm="1">
        <f t="array" ref="U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92" t="str" cm="1">
        <f t="array" ref="V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  <c r="AF592">
        <f>AVERAGE(Table1[[#This Row],[Range2_Low]:[Range2_High]])</f>
        <v>650</v>
      </c>
      <c r="AG592">
        <f>AVERAGE(Table1[[#This Row],[Range1_Low]:[Range1_High]])</f>
        <v>0.55000000000000004</v>
      </c>
      <c r="AH592">
        <v>1</v>
      </c>
    </row>
    <row r="593" spans="1:34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tr" cm="1">
        <f t="array" ref="U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 µV</v>
      </c>
      <c r="V593" t="str" cm="1">
        <f t="array" ref="V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  <c r="AF593">
        <f>AVERAGE(Table1[[#This Row],[Range2_Low]:[Range2_High]])</f>
        <v>2.0500000000000001E-2</v>
      </c>
      <c r="AG593">
        <f>AVERAGE(Table1[[#This Row],[Range1_Low]:[Range1_High]])</f>
        <v>0.55000000000000004</v>
      </c>
      <c r="AH593">
        <v>1</v>
      </c>
    </row>
    <row r="594" spans="1:34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tr" cm="1">
        <f t="array" ref="U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94" t="str" cm="1">
        <f t="array" ref="V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  <c r="AF594">
        <f>AVERAGE(Table1[[#This Row],[Range2_Low]:[Range2_High]])</f>
        <v>9000</v>
      </c>
      <c r="AG594">
        <f>AVERAGE(Table1[[#This Row],[Range1_Low]:[Range1_High]])</f>
        <v>0.55000000000000004</v>
      </c>
      <c r="AH594">
        <v>1</v>
      </c>
    </row>
    <row r="595" spans="1:34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tr" cm="1">
        <f t="array" ref="U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µV</v>
      </c>
      <c r="V595" t="str" cm="1">
        <f t="array" ref="V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  <c r="AF595">
        <f>AVERAGE(Table1[[#This Row],[Range2_Low]:[Range2_High]])</f>
        <v>75</v>
      </c>
      <c r="AG595">
        <f>AVERAGE(Table1[[#This Row],[Range1_Low]:[Range1_High]])</f>
        <v>0.55000000000000004</v>
      </c>
      <c r="AH595">
        <v>1</v>
      </c>
    </row>
    <row r="596" spans="1:34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tr" cm="1">
        <f t="array" ref="U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596" t="str" cm="1">
        <f t="array" ref="V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µV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  <c r="AF596">
        <f>AVERAGE(Table1[[#This Row],[Range2_Low]:[Range2_High]])</f>
        <v>35</v>
      </c>
      <c r="AG596">
        <f>AVERAGE(Table1[[#This Row],[Range1_Low]:[Range1_High]])</f>
        <v>0.55000000000000004</v>
      </c>
      <c r="AH596">
        <v>1</v>
      </c>
    </row>
    <row r="597" spans="1:34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tr" cm="1">
        <f t="array" ref="U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7" t="str" cm="1">
        <f t="array" ref="V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  <c r="AF597">
        <f>AVERAGE(Table1[[#This Row],[Range2_Low]:[Range2_High]])</f>
        <v>3000</v>
      </c>
      <c r="AG597">
        <f>AVERAGE(Table1[[#This Row],[Range1_Low]:[Range1_High]])</f>
        <v>0.55000000000000004</v>
      </c>
      <c r="AH597">
        <v>1</v>
      </c>
    </row>
    <row r="598" spans="1:34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tr" cm="1">
        <f t="array" ref="U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598" t="str" cm="1">
        <f t="array" ref="V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  <c r="AF598">
        <f>AVERAGE(Table1[[#This Row],[Range2_Low]:[Range2_High]])</f>
        <v>10.5</v>
      </c>
      <c r="AG598">
        <f>AVERAGE(Table1[[#This Row],[Range1_Low]:[Range1_High]])</f>
        <v>0.55000000000000004</v>
      </c>
      <c r="AH598">
        <v>1</v>
      </c>
    </row>
    <row r="599" spans="1:34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tr" cm="1">
        <f t="array" ref="U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9" t="str" cm="1">
        <f t="array" ref="V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  <c r="AF599">
        <f>AVERAGE(Table1[[#This Row],[Range2_Low]:[Range2_High]])</f>
        <v>6000</v>
      </c>
      <c r="AG599">
        <f>AVERAGE(Table1[[#This Row],[Range1_Low]:[Range1_High]])</f>
        <v>0.55000000000000004</v>
      </c>
      <c r="AH599">
        <v>1</v>
      </c>
    </row>
    <row r="600" spans="1:34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tr" cm="1">
        <f t="array" ref="U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600" t="str" cm="1">
        <f t="array" ref="V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  <c r="AF600">
        <f>AVERAGE(Table1[[#This Row],[Range2_Low]:[Range2_High]])</f>
        <v>10.5</v>
      </c>
      <c r="AG600">
        <f>AVERAGE(Table1[[#This Row],[Range1_Low]:[Range1_High]])</f>
        <v>0.55000000000000004</v>
      </c>
      <c r="AH600">
        <v>1</v>
      </c>
    </row>
    <row r="601" spans="1:34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tr" cm="1">
        <f t="array" ref="U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1" t="str" cm="1">
        <f t="array" ref="V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  <c r="AF601">
        <f>AVERAGE(Table1[[#This Row],[Range2_Low]:[Range2_High]])</f>
        <v>0.52</v>
      </c>
      <c r="AG601">
        <f>AVERAGE(Table1[[#This Row],[Range1_Low]:[Range1_High]])</f>
        <v>0.55000000000000004</v>
      </c>
      <c r="AH601">
        <v>1</v>
      </c>
    </row>
    <row r="602" spans="1:34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tr" cm="1">
        <f t="array" ref="U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602" t="str" cm="1">
        <f t="array" ref="V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  <c r="AF602">
        <f>AVERAGE(Table1[[#This Row],[Range2_Low]:[Range2_High]])</f>
        <v>3000</v>
      </c>
      <c r="AG602">
        <f>AVERAGE(Table1[[#This Row],[Range1_Low]:[Range1_High]])</f>
        <v>0.55000000000000004</v>
      </c>
      <c r="AH602">
        <v>1</v>
      </c>
    </row>
    <row r="603" spans="1:34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tr" cm="1">
        <f t="array" ref="U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3" t="str" cm="1">
        <f t="array" ref="V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  <c r="AF603">
        <f>AVERAGE(Table1[[#This Row],[Range2_Low]:[Range2_High]])</f>
        <v>2.0500000000000001E-2</v>
      </c>
      <c r="AG603">
        <f>AVERAGE(Table1[[#This Row],[Range1_Low]:[Range1_High]])</f>
        <v>0.55000000000000004</v>
      </c>
      <c r="AH603">
        <v>1</v>
      </c>
    </row>
    <row r="604" spans="1:34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tr" cm="1">
        <f t="array" ref="U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µV</v>
      </c>
      <c r="V604" t="str" cm="1">
        <f t="array" ref="V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  <c r="AF604">
        <f>AVERAGE(Table1[[#This Row],[Range2_Low]:[Range2_High]])</f>
        <v>650</v>
      </c>
      <c r="AG604">
        <f>AVERAGE(Table1[[#This Row],[Range1_Low]:[Range1_High]])</f>
        <v>0.55000000000000004</v>
      </c>
      <c r="AH604">
        <v>1</v>
      </c>
    </row>
    <row r="605" spans="1:34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tr" cm="1">
        <f t="array" ref="U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605" t="str" cm="1">
        <f t="array" ref="V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  <c r="AF605">
        <f>AVERAGE(Table1[[#This Row],[Range2_Low]:[Range2_High]])</f>
        <v>1500</v>
      </c>
      <c r="AG605">
        <f>AVERAGE(Table1[[#This Row],[Range1_Low]:[Range1_High]])</f>
        <v>0.55000000000000004</v>
      </c>
      <c r="AH605">
        <v>1</v>
      </c>
    </row>
    <row r="606" spans="1:34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tr" cm="1">
        <f t="array" ref="U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06" t="str" cm="1">
        <f t="array" ref="V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  <c r="AF606">
        <f>AVERAGE(Table1[[#This Row],[Range2_Low]:[Range2_High]])</f>
        <v>9000</v>
      </c>
      <c r="AG606">
        <f>AVERAGE(Table1[[#This Row],[Range1_Low]:[Range1_High]])</f>
        <v>0.55000000000000004</v>
      </c>
      <c r="AH606">
        <v>1</v>
      </c>
    </row>
    <row r="607" spans="1:34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tr" cm="1">
        <f t="array" ref="U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µV</v>
      </c>
      <c r="V607" t="str" cm="1">
        <f t="array" ref="V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µV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  <c r="AF607">
        <f>AVERAGE(Table1[[#This Row],[Range2_Low]:[Range2_High]])</f>
        <v>75</v>
      </c>
      <c r="AG607">
        <f>AVERAGE(Table1[[#This Row],[Range1_Low]:[Range1_High]])</f>
        <v>0.55000000000000004</v>
      </c>
      <c r="AH607">
        <v>1</v>
      </c>
    </row>
    <row r="608" spans="1:34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tr" cm="1">
        <f t="array" ref="U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08" t="str" cm="1">
        <f t="array" ref="V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  <c r="AF608">
        <f>AVERAGE(Table1[[#This Row],[Range2_Low]:[Range2_High]])</f>
        <v>35</v>
      </c>
      <c r="AG608">
        <f>AVERAGE(Table1[[#This Row],[Range1_Low]:[Range1_High]])</f>
        <v>0.55000000000000004</v>
      </c>
      <c r="AH608">
        <v>1</v>
      </c>
    </row>
    <row r="609" spans="1:34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tr" cm="1">
        <f t="array" ref="U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V609" t="str" cm="1">
        <f t="array" ref="V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2700 µV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  <c r="AF609">
        <f>AVERAGE(Table1[[#This Row],[Range2_Low]:[Range2_High]])</f>
        <v>200</v>
      </c>
      <c r="AG609">
        <f>AVERAGE(Table1[[#This Row],[Range1_Low]:[Range1_High]])</f>
        <v>0.55000000000000004</v>
      </c>
      <c r="AH609">
        <v>1</v>
      </c>
    </row>
    <row r="610" spans="1:34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tr" cm="1">
        <f t="array" ref="U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0" t="str" cm="1">
        <f t="array" ref="V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  <c r="AF610">
        <f>AVERAGE(Table1[[#This Row],[Range2_Low]:[Range2_High]])</f>
        <v>35</v>
      </c>
      <c r="AG610">
        <f>AVERAGE(Table1[[#This Row],[Range1_Low]:[Range1_High]])</f>
        <v>0.55000000000000004</v>
      </c>
      <c r="AH610">
        <v>1</v>
      </c>
    </row>
    <row r="611" spans="1:34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tr" cm="1">
        <f t="array" ref="U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V611" t="str" cm="1">
        <f t="array" ref="V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µV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  <c r="AF611">
        <f>AVERAGE(Table1[[#This Row],[Range2_Low]:[Range2_High]])</f>
        <v>200</v>
      </c>
      <c r="AG611">
        <f>AVERAGE(Table1[[#This Row],[Range1_Low]:[Range1_High]])</f>
        <v>0.55000000000000004</v>
      </c>
      <c r="AH611">
        <v>1</v>
      </c>
    </row>
    <row r="612" spans="1:34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tr" cm="1">
        <f t="array" ref="U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2" t="str" cm="1">
        <f t="array" ref="V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  <c r="AF612">
        <f>AVERAGE(Table1[[#This Row],[Range2_Low]:[Range2_High]])</f>
        <v>10.5</v>
      </c>
      <c r="AG612">
        <f>AVERAGE(Table1[[#This Row],[Range1_Low]:[Range1_High]])</f>
        <v>0.55000000000000004</v>
      </c>
      <c r="AH612">
        <v>1</v>
      </c>
    </row>
    <row r="613" spans="1:34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tr" cm="1">
        <f t="array" ref="U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3" t="str" cm="1">
        <f t="array" ref="V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  <c r="AF613">
        <f>AVERAGE(Table1[[#This Row],[Range2_Low]:[Range2_High]])</f>
        <v>6000</v>
      </c>
      <c r="AG613">
        <f>AVERAGE(Table1[[#This Row],[Range1_Low]:[Range1_High]])</f>
        <v>0.55000000000000004</v>
      </c>
      <c r="AH613">
        <v>1</v>
      </c>
    </row>
    <row r="614" spans="1:34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tr" cm="1">
        <f t="array" ref="U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14" t="str" cm="1">
        <f t="array" ref="V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  <c r="AF614">
        <f>AVERAGE(Table1[[#This Row],[Range2_Low]:[Range2_High]])</f>
        <v>9000</v>
      </c>
      <c r="AG614">
        <f>AVERAGE(Table1[[#This Row],[Range1_Low]:[Range1_High]])</f>
        <v>0.55000000000000004</v>
      </c>
      <c r="AH614">
        <v>1</v>
      </c>
    </row>
    <row r="615" spans="1:34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tr" cm="1">
        <f t="array" ref="U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µV</v>
      </c>
      <c r="V615" t="str" cm="1">
        <f t="array" ref="V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µV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  <c r="AF615">
        <f>AVERAGE(Table1[[#This Row],[Range2_Low]:[Range2_High]])</f>
        <v>1500</v>
      </c>
      <c r="AG615">
        <f>AVERAGE(Table1[[#This Row],[Range1_Low]:[Range1_High]])</f>
        <v>0.55000000000000004</v>
      </c>
      <c r="AH615">
        <v>1</v>
      </c>
    </row>
    <row r="616" spans="1:34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tr" cm="1">
        <f t="array" ref="U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6" t="str" cm="1">
        <f t="array" ref="V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  <c r="AF616">
        <f>AVERAGE(Table1[[#This Row],[Range2_Low]:[Range2_High]])</f>
        <v>2.0500000000000001E-2</v>
      </c>
      <c r="AG616">
        <f>AVERAGE(Table1[[#This Row],[Range1_Low]:[Range1_High]])</f>
        <v>0.55000000000000004</v>
      </c>
      <c r="AH616">
        <v>1</v>
      </c>
    </row>
    <row r="617" spans="1:34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tr" cm="1">
        <f t="array" ref="U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7" t="str" cm="1">
        <f t="array" ref="V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  <c r="AF617">
        <f>AVERAGE(Table1[[#This Row],[Range2_Low]:[Range2_High]])</f>
        <v>3000</v>
      </c>
      <c r="AG617">
        <f>AVERAGE(Table1[[#This Row],[Range1_Low]:[Range1_High]])</f>
        <v>0.55000000000000004</v>
      </c>
      <c r="AH617">
        <v>1</v>
      </c>
    </row>
    <row r="618" spans="1:34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tr" cm="1">
        <f t="array" ref="U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8300 µV</v>
      </c>
      <c r="V618" t="str" cm="1">
        <f t="array" ref="V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µV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  <c r="AF618">
        <f>AVERAGE(Table1[[#This Row],[Range2_Low]:[Range2_High]])</f>
        <v>650</v>
      </c>
      <c r="AG618">
        <f>AVERAGE(Table1[[#This Row],[Range1_Low]:[Range1_High]])</f>
        <v>0.55000000000000004</v>
      </c>
      <c r="AH618">
        <v>1</v>
      </c>
    </row>
    <row r="619" spans="1:34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tr" cm="1">
        <f t="array" ref="U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9" t="str" cm="1">
        <f t="array" ref="V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  <c r="AF619">
        <f>AVERAGE(Table1[[#This Row],[Range2_Low]:[Range2_High]])</f>
        <v>0.52</v>
      </c>
      <c r="AG619">
        <f>AVERAGE(Table1[[#This Row],[Range1_Low]:[Range1_High]])</f>
        <v>0.55000000000000004</v>
      </c>
      <c r="AH619">
        <v>1</v>
      </c>
    </row>
    <row r="620" spans="1:34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tr" cm="1">
        <f t="array" ref="U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20" t="str" cm="1">
        <f t="array" ref="V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  <c r="AF620">
        <f>AVERAGE(Table1[[#This Row],[Range2_Low]:[Range2_High]])</f>
        <v>75</v>
      </c>
      <c r="AG620">
        <f>AVERAGE(Table1[[#This Row],[Range1_Low]:[Range1_High]])</f>
        <v>0.55000000000000004</v>
      </c>
      <c r="AH620">
        <v>1</v>
      </c>
    </row>
    <row r="621" spans="1:34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tr" cm="1">
        <f t="array" ref="U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1" t="str" cm="1">
        <f t="array" ref="V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  <c r="AF621">
        <f>AVERAGE(Table1[[#This Row],[Range2_Low]:[Range2_High]])</f>
        <v>6000</v>
      </c>
      <c r="AG621">
        <f>AVERAGE(Table1[[#This Row],[Range1_Low]:[Range1_High]])</f>
        <v>5.5</v>
      </c>
      <c r="AH621">
        <v>1</v>
      </c>
    </row>
    <row r="622" spans="1:34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tr" cm="1">
        <f t="array" ref="U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22" t="str" cm="1">
        <f t="array" ref="V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  <c r="AF622">
        <f>AVERAGE(Table1[[#This Row],[Range2_Low]:[Range2_High]])</f>
        <v>75</v>
      </c>
      <c r="AG622">
        <f>AVERAGE(Table1[[#This Row],[Range1_Low]:[Range1_High]])</f>
        <v>5.5</v>
      </c>
      <c r="AH622">
        <v>1</v>
      </c>
    </row>
    <row r="623" spans="1:34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tr" cm="1">
        <f t="array" ref="U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0.92 mV</v>
      </c>
      <c r="V623" t="str" cm="1">
        <f t="array" ref="V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  <c r="AF623">
        <f>AVERAGE(Table1[[#This Row],[Range2_Low]:[Range2_High]])</f>
        <v>10.5</v>
      </c>
      <c r="AG623">
        <f>AVERAGE(Table1[[#This Row],[Range1_Low]:[Range1_High]])</f>
        <v>5.5</v>
      </c>
      <c r="AH623">
        <v>1</v>
      </c>
    </row>
    <row r="624" spans="1:34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tr" cm="1">
        <f t="array" ref="U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24" t="str" cm="1">
        <f t="array" ref="V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  <c r="AF624">
        <f>AVERAGE(Table1[[#This Row],[Range2_Low]:[Range2_High]])</f>
        <v>2.0500000000000001E-2</v>
      </c>
      <c r="AG624">
        <f>AVERAGE(Table1[[#This Row],[Range1_Low]:[Range1_High]])</f>
        <v>5.5</v>
      </c>
      <c r="AH624">
        <v>1</v>
      </c>
    </row>
    <row r="625" spans="1:34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tr" cm="1">
        <f t="array" ref="U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25" t="str" cm="1">
        <f t="array" ref="V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  <c r="AF625">
        <f>AVERAGE(Table1[[#This Row],[Range2_Low]:[Range2_High]])</f>
        <v>200</v>
      </c>
      <c r="AG625">
        <f>AVERAGE(Table1[[#This Row],[Range1_Low]:[Range1_High]])</f>
        <v>5.5</v>
      </c>
      <c r="AH625">
        <v>1</v>
      </c>
    </row>
    <row r="626" spans="1:34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tr" cm="1">
        <f t="array" ref="U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26" t="str" cm="1">
        <f t="array" ref="V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  <c r="AF626">
        <f>AVERAGE(Table1[[#This Row],[Range2_Low]:[Range2_High]])</f>
        <v>0.52</v>
      </c>
      <c r="AG626">
        <f>AVERAGE(Table1[[#This Row],[Range1_Low]:[Range1_High]])</f>
        <v>5.5</v>
      </c>
      <c r="AH626">
        <v>1</v>
      </c>
    </row>
    <row r="627" spans="1:34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tr" cm="1">
        <f t="array" ref="U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7" t="str" cm="1">
        <f t="array" ref="V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  <c r="AF627">
        <f>AVERAGE(Table1[[#This Row],[Range2_Low]:[Range2_High]])</f>
        <v>3000</v>
      </c>
      <c r="AG627">
        <f>AVERAGE(Table1[[#This Row],[Range1_Low]:[Range1_High]])</f>
        <v>5.5</v>
      </c>
      <c r="AH627">
        <v>1</v>
      </c>
    </row>
    <row r="628" spans="1:34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tr" cm="1">
        <f t="array" ref="U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28" t="str" cm="1">
        <f t="array" ref="V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  <c r="AF628">
        <f>AVERAGE(Table1[[#This Row],[Range2_Low]:[Range2_High]])</f>
        <v>35</v>
      </c>
      <c r="AG628">
        <f>AVERAGE(Table1[[#This Row],[Range1_Low]:[Range1_High]])</f>
        <v>5.5</v>
      </c>
      <c r="AH628">
        <v>1</v>
      </c>
    </row>
    <row r="629" spans="1:34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tr" cm="1">
        <f t="array" ref="U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29" t="str" cm="1">
        <f t="array" ref="V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  <c r="AF629">
        <f>AVERAGE(Table1[[#This Row],[Range2_Low]:[Range2_High]])</f>
        <v>9000</v>
      </c>
      <c r="AG629">
        <f>AVERAGE(Table1[[#This Row],[Range1_Low]:[Range1_High]])</f>
        <v>5.5</v>
      </c>
      <c r="AH629">
        <v>1</v>
      </c>
    </row>
    <row r="630" spans="1:34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tr" cm="1">
        <f t="array" ref="U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630" t="str" cm="1">
        <f t="array" ref="V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  <c r="AF630">
        <f>AVERAGE(Table1[[#This Row],[Range2_Low]:[Range2_High]])</f>
        <v>1500</v>
      </c>
      <c r="AG630">
        <f>AVERAGE(Table1[[#This Row],[Range1_Low]:[Range1_High]])</f>
        <v>5.5</v>
      </c>
      <c r="AH630">
        <v>1</v>
      </c>
    </row>
    <row r="631" spans="1:34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tr" cm="1">
        <f t="array" ref="U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1" t="str" cm="1">
        <f t="array" ref="V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  <c r="AF631">
        <f>AVERAGE(Table1[[#This Row],[Range2_Low]:[Range2_High]])</f>
        <v>650</v>
      </c>
      <c r="AG631">
        <f>AVERAGE(Table1[[#This Row],[Range1_Low]:[Range1_High]])</f>
        <v>5.5</v>
      </c>
      <c r="AH631">
        <v>1</v>
      </c>
    </row>
    <row r="632" spans="1:34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tr" cm="1">
        <f t="array" ref="U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2" t="str" cm="1">
        <f t="array" ref="V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  <c r="AF632">
        <f>AVERAGE(Table1[[#This Row],[Range2_Low]:[Range2_High]])</f>
        <v>650</v>
      </c>
      <c r="AG632">
        <f>AVERAGE(Table1[[#This Row],[Range1_Low]:[Range1_High]])</f>
        <v>5.5</v>
      </c>
      <c r="AH632">
        <v>1</v>
      </c>
    </row>
    <row r="633" spans="1:34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tr" cm="1">
        <f t="array" ref="U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33" t="str" cm="1">
        <f t="array" ref="V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  <c r="AF633">
        <f>AVERAGE(Table1[[#This Row],[Range2_Low]:[Range2_High]])</f>
        <v>1500</v>
      </c>
      <c r="AG633">
        <f>AVERAGE(Table1[[#This Row],[Range1_Low]:[Range1_High]])</f>
        <v>5.5</v>
      </c>
      <c r="AH633">
        <v>1</v>
      </c>
    </row>
    <row r="634" spans="1:34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tr" cm="1">
        <f t="array" ref="U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34" t="str" cm="1">
        <f t="array" ref="V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  <c r="AF634">
        <f>AVERAGE(Table1[[#This Row],[Range2_Low]:[Range2_High]])</f>
        <v>10.5</v>
      </c>
      <c r="AG634">
        <f>AVERAGE(Table1[[#This Row],[Range1_Low]:[Range1_High]])</f>
        <v>5.5</v>
      </c>
      <c r="AH634">
        <v>1</v>
      </c>
    </row>
    <row r="635" spans="1:34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tr" cm="1">
        <f t="array" ref="U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35" t="str" cm="1">
        <f t="array" ref="V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  <c r="AF635">
        <f>AVERAGE(Table1[[#This Row],[Range2_Low]:[Range2_High]])</f>
        <v>75</v>
      </c>
      <c r="AG635">
        <f>AVERAGE(Table1[[#This Row],[Range1_Low]:[Range1_High]])</f>
        <v>5.5</v>
      </c>
      <c r="AH635">
        <v>1</v>
      </c>
    </row>
    <row r="636" spans="1:34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tr" cm="1">
        <f t="array" ref="U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36" t="str" cm="1">
        <f t="array" ref="V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  <c r="AF636">
        <f>AVERAGE(Table1[[#This Row],[Range2_Low]:[Range2_High]])</f>
        <v>9000</v>
      </c>
      <c r="AG636">
        <f>AVERAGE(Table1[[#This Row],[Range1_Low]:[Range1_High]])</f>
        <v>5.5</v>
      </c>
      <c r="AH636">
        <v>1</v>
      </c>
    </row>
    <row r="637" spans="1:34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tr" cm="1">
        <f t="array" ref="U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37" t="str" cm="1">
        <f t="array" ref="V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  <c r="AF637">
        <f>AVERAGE(Table1[[#This Row],[Range2_Low]:[Range2_High]])</f>
        <v>6000</v>
      </c>
      <c r="AG637">
        <f>AVERAGE(Table1[[#This Row],[Range1_Low]:[Range1_High]])</f>
        <v>5.5</v>
      </c>
      <c r="AH637">
        <v>1</v>
      </c>
    </row>
    <row r="638" spans="1:34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tr" cm="1">
        <f t="array" ref="U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38" t="str" cm="1">
        <f t="array" ref="V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  <c r="AF638">
        <f>AVERAGE(Table1[[#This Row],[Range2_Low]:[Range2_High]])</f>
        <v>35</v>
      </c>
      <c r="AG638">
        <f>AVERAGE(Table1[[#This Row],[Range1_Low]:[Range1_High]])</f>
        <v>5.5</v>
      </c>
      <c r="AH638">
        <v>1</v>
      </c>
    </row>
    <row r="639" spans="1:34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tr" cm="1">
        <f t="array" ref="U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39" t="str" cm="1">
        <f t="array" ref="V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  <c r="AF639">
        <f>AVERAGE(Table1[[#This Row],[Range2_Low]:[Range2_High]])</f>
        <v>0.52</v>
      </c>
      <c r="AG639">
        <f>AVERAGE(Table1[[#This Row],[Range1_Low]:[Range1_High]])</f>
        <v>5.5</v>
      </c>
      <c r="AH639">
        <v>1</v>
      </c>
    </row>
    <row r="640" spans="1:34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tr" cm="1">
        <f t="array" ref="U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0" t="str" cm="1">
        <f t="array" ref="V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  <c r="AF640">
        <f>AVERAGE(Table1[[#This Row],[Range2_Low]:[Range2_High]])</f>
        <v>3000</v>
      </c>
      <c r="AG640">
        <f>AVERAGE(Table1[[#This Row],[Range1_Low]:[Range1_High]])</f>
        <v>5.5</v>
      </c>
      <c r="AH640">
        <v>1</v>
      </c>
    </row>
    <row r="641" spans="1:34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tr" cm="1">
        <f t="array" ref="U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1" t="str" cm="1">
        <f t="array" ref="V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  <c r="AF641">
        <f>AVERAGE(Table1[[#This Row],[Range2_Low]:[Range2_High]])</f>
        <v>2.0500000000000001E-2</v>
      </c>
      <c r="AG641">
        <f>AVERAGE(Table1[[#This Row],[Range1_Low]:[Range1_High]])</f>
        <v>5.5</v>
      </c>
      <c r="AH641">
        <v>1</v>
      </c>
    </row>
    <row r="642" spans="1:34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tr" cm="1">
        <f t="array" ref="U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2" t="str" cm="1">
        <f t="array" ref="V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  <c r="AF642">
        <f>AVERAGE(Table1[[#This Row],[Range2_Low]:[Range2_High]])</f>
        <v>200</v>
      </c>
      <c r="AG642">
        <f>AVERAGE(Table1[[#This Row],[Range1_Low]:[Range1_High]])</f>
        <v>5.5</v>
      </c>
      <c r="AH642">
        <v>1</v>
      </c>
    </row>
    <row r="643" spans="1:34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tr" cm="1">
        <f t="array" ref="U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43" t="str" cm="1">
        <f t="array" ref="V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  <c r="AF643">
        <f>AVERAGE(Table1[[#This Row],[Range2_Low]:[Range2_High]])</f>
        <v>9000</v>
      </c>
      <c r="AG643">
        <f>AVERAGE(Table1[[#This Row],[Range1_Low]:[Range1_High]])</f>
        <v>5.5</v>
      </c>
      <c r="AH643">
        <v>1</v>
      </c>
    </row>
    <row r="644" spans="1:34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tr" cm="1">
        <f t="array" ref="U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44" t="str" cm="1">
        <f t="array" ref="V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  <c r="AF644">
        <f>AVERAGE(Table1[[#This Row],[Range2_Low]:[Range2_High]])</f>
        <v>0.52</v>
      </c>
      <c r="AG644">
        <f>AVERAGE(Table1[[#This Row],[Range1_Low]:[Range1_High]])</f>
        <v>5.5</v>
      </c>
      <c r="AH644">
        <v>1</v>
      </c>
    </row>
    <row r="645" spans="1:34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tr" cm="1">
        <f t="array" ref="U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5" t="str" cm="1">
        <f t="array" ref="V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  <c r="AF645">
        <f>AVERAGE(Table1[[#This Row],[Range2_Low]:[Range2_High]])</f>
        <v>200</v>
      </c>
      <c r="AG645">
        <f>AVERAGE(Table1[[#This Row],[Range1_Low]:[Range1_High]])</f>
        <v>5.5</v>
      </c>
      <c r="AH645">
        <v>1</v>
      </c>
    </row>
    <row r="646" spans="1:34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tr" cm="1">
        <f t="array" ref="U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46" t="str" cm="1">
        <f t="array" ref="V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  <c r="AF646">
        <f>AVERAGE(Table1[[#This Row],[Range2_Low]:[Range2_High]])</f>
        <v>35</v>
      </c>
      <c r="AG646">
        <f>AVERAGE(Table1[[#This Row],[Range1_Low]:[Range1_High]])</f>
        <v>5.5</v>
      </c>
      <c r="AH646">
        <v>1</v>
      </c>
    </row>
    <row r="647" spans="1:34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tr" cm="1">
        <f t="array" ref="U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7" t="str" cm="1">
        <f t="array" ref="V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  <c r="AF647">
        <f>AVERAGE(Table1[[#This Row],[Range2_Low]:[Range2_High]])</f>
        <v>6000</v>
      </c>
      <c r="AG647">
        <f>AVERAGE(Table1[[#This Row],[Range1_Low]:[Range1_High]])</f>
        <v>5.5</v>
      </c>
      <c r="AH647">
        <v>1</v>
      </c>
    </row>
    <row r="648" spans="1:34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tr" cm="1">
        <f t="array" ref="U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8" t="str" cm="1">
        <f t="array" ref="V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  <c r="AF648">
        <f>AVERAGE(Table1[[#This Row],[Range2_Low]:[Range2_High]])</f>
        <v>2.0500000000000001E-2</v>
      </c>
      <c r="AG648">
        <f>AVERAGE(Table1[[#This Row],[Range1_Low]:[Range1_High]])</f>
        <v>5.5</v>
      </c>
      <c r="AH648">
        <v>1</v>
      </c>
    </row>
    <row r="649" spans="1:34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tr" cm="1">
        <f t="array" ref="U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49" t="str" cm="1">
        <f t="array" ref="V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  <c r="AF649">
        <f>AVERAGE(Table1[[#This Row],[Range2_Low]:[Range2_High]])</f>
        <v>75</v>
      </c>
      <c r="AG649">
        <f>AVERAGE(Table1[[#This Row],[Range1_Low]:[Range1_High]])</f>
        <v>5.5</v>
      </c>
      <c r="AH649">
        <v>1</v>
      </c>
    </row>
    <row r="650" spans="1:34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tr" cm="1">
        <f t="array" ref="U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0" t="str" cm="1">
        <f t="array" ref="V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  <c r="AF650">
        <f>AVERAGE(Table1[[#This Row],[Range2_Low]:[Range2_High]])</f>
        <v>3000</v>
      </c>
      <c r="AG650">
        <f>AVERAGE(Table1[[#This Row],[Range1_Low]:[Range1_High]])</f>
        <v>5.5</v>
      </c>
      <c r="AH650">
        <v>1</v>
      </c>
    </row>
    <row r="651" spans="1:34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tr" cm="1">
        <f t="array" ref="U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51" t="str" cm="1">
        <f t="array" ref="V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  <c r="AF651">
        <f>AVERAGE(Table1[[#This Row],[Range2_Low]:[Range2_High]])</f>
        <v>650</v>
      </c>
      <c r="AG651">
        <f>AVERAGE(Table1[[#This Row],[Range1_Low]:[Range1_High]])</f>
        <v>5.5</v>
      </c>
      <c r="AH651">
        <v>1</v>
      </c>
    </row>
    <row r="652" spans="1:34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tr" cm="1">
        <f t="array" ref="U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2" t="str" cm="1">
        <f t="array" ref="V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  <c r="AF652">
        <f>AVERAGE(Table1[[#This Row],[Range2_Low]:[Range2_High]])</f>
        <v>1500</v>
      </c>
      <c r="AG652">
        <f>AVERAGE(Table1[[#This Row],[Range1_Low]:[Range1_High]])</f>
        <v>5.5</v>
      </c>
      <c r="AH652">
        <v>1</v>
      </c>
    </row>
    <row r="653" spans="1:34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tr" cm="1">
        <f t="array" ref="U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53" t="str" cm="1">
        <f t="array" ref="V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  <c r="AF653">
        <f>AVERAGE(Table1[[#This Row],[Range2_Low]:[Range2_High]])</f>
        <v>10.5</v>
      </c>
      <c r="AG653">
        <f>AVERAGE(Table1[[#This Row],[Range1_Low]:[Range1_High]])</f>
        <v>5.5</v>
      </c>
      <c r="AH653">
        <v>1</v>
      </c>
    </row>
    <row r="654" spans="1:34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tr" cm="1">
        <f t="array" ref="U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mV</v>
      </c>
      <c r="V654" t="str" cm="1">
        <f t="array" ref="V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  <c r="AF654">
        <f>AVERAGE(Table1[[#This Row],[Range2_Low]:[Range2_High]])</f>
        <v>75</v>
      </c>
      <c r="AG654">
        <f>AVERAGE(Table1[[#This Row],[Range1_Low]:[Range1_High]])</f>
        <v>5.5</v>
      </c>
      <c r="AH654">
        <v>1</v>
      </c>
    </row>
    <row r="655" spans="1:34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tr" cm="1">
        <f t="array" ref="U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55" t="str" cm="1">
        <f t="array" ref="V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  <c r="AF655">
        <f>AVERAGE(Table1[[#This Row],[Range2_Low]:[Range2_High]])</f>
        <v>9000</v>
      </c>
      <c r="AG655">
        <f>AVERAGE(Table1[[#This Row],[Range1_Low]:[Range1_High]])</f>
        <v>5.5</v>
      </c>
      <c r="AH655">
        <v>1</v>
      </c>
    </row>
    <row r="656" spans="1:34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tr" cm="1">
        <f t="array" ref="U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656" t="str" cm="1">
        <f t="array" ref="V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  <c r="AF656">
        <f>AVERAGE(Table1[[#This Row],[Range2_Low]:[Range2_High]])</f>
        <v>0.52</v>
      </c>
      <c r="AG656">
        <f>AVERAGE(Table1[[#This Row],[Range1_Low]:[Range1_High]])</f>
        <v>5.5</v>
      </c>
      <c r="AH656">
        <v>1</v>
      </c>
    </row>
    <row r="657" spans="1:34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tr" cm="1">
        <f t="array" ref="U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7" t="str" cm="1">
        <f t="array" ref="V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  <c r="AF657">
        <f>AVERAGE(Table1[[#This Row],[Range2_Low]:[Range2_High]])</f>
        <v>3000</v>
      </c>
      <c r="AG657">
        <f>AVERAGE(Table1[[#This Row],[Range1_Low]:[Range1_High]])</f>
        <v>5.5</v>
      </c>
      <c r="AH657">
        <v>1</v>
      </c>
    </row>
    <row r="658" spans="1:34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tr" cm="1">
        <f t="array" ref="U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8" t="str" cm="1">
        <f t="array" ref="V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  <c r="AF658">
        <f>AVERAGE(Table1[[#This Row],[Range2_Low]:[Range2_High]])</f>
        <v>6000</v>
      </c>
      <c r="AG658">
        <f>AVERAGE(Table1[[#This Row],[Range1_Low]:[Range1_High]])</f>
        <v>5.5</v>
      </c>
      <c r="AH658">
        <v>1</v>
      </c>
    </row>
    <row r="659" spans="1:34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tr" cm="1">
        <f t="array" ref="U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9" t="str" cm="1">
        <f t="array" ref="V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  <c r="AF659">
        <f>AVERAGE(Table1[[#This Row],[Range2_Low]:[Range2_High]])</f>
        <v>1500</v>
      </c>
      <c r="AG659">
        <f>AVERAGE(Table1[[#This Row],[Range1_Low]:[Range1_High]])</f>
        <v>5.5</v>
      </c>
      <c r="AH659">
        <v>1</v>
      </c>
    </row>
    <row r="660" spans="1:34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tr" cm="1">
        <f t="array" ref="U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V660" t="str" cm="1">
        <f t="array" ref="V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mV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  <c r="AF660">
        <f>AVERAGE(Table1[[#This Row],[Range2_Low]:[Range2_High]])</f>
        <v>2.0500000000000001E-2</v>
      </c>
      <c r="AG660">
        <f>AVERAGE(Table1[[#This Row],[Range1_Low]:[Range1_High]])</f>
        <v>5.5</v>
      </c>
      <c r="AH660">
        <v>1</v>
      </c>
    </row>
    <row r="661" spans="1:34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tr" cm="1">
        <f t="array" ref="U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61" t="str" cm="1">
        <f t="array" ref="V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  <c r="AF661">
        <f>AVERAGE(Table1[[#This Row],[Range2_Low]:[Range2_High]])</f>
        <v>650</v>
      </c>
      <c r="AG661">
        <f>AVERAGE(Table1[[#This Row],[Range1_Low]:[Range1_High]])</f>
        <v>5.5</v>
      </c>
      <c r="AH661">
        <v>1</v>
      </c>
    </row>
    <row r="662" spans="1:34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tr" cm="1">
        <f t="array" ref="U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662" t="str" cm="1">
        <f t="array" ref="V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  <c r="AF662">
        <f>AVERAGE(Table1[[#This Row],[Range2_Low]:[Range2_High]])</f>
        <v>35</v>
      </c>
      <c r="AG662">
        <f>AVERAGE(Table1[[#This Row],[Range1_Low]:[Range1_High]])</f>
        <v>5.5</v>
      </c>
      <c r="AH662">
        <v>1</v>
      </c>
    </row>
    <row r="663" spans="1:34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tr" cm="1">
        <f t="array" ref="U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663" t="str" cm="1">
        <f t="array" ref="V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mV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  <c r="AF663">
        <f>AVERAGE(Table1[[#This Row],[Range2_Low]:[Range2_High]])</f>
        <v>10.5</v>
      </c>
      <c r="AG663">
        <f>AVERAGE(Table1[[#This Row],[Range1_Low]:[Range1_High]])</f>
        <v>5.5</v>
      </c>
      <c r="AH663">
        <v>1</v>
      </c>
    </row>
    <row r="664" spans="1:34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tr" cm="1">
        <f t="array" ref="U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64" t="str" cm="1">
        <f t="array" ref="V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  <c r="AF664">
        <f>AVERAGE(Table1[[#This Row],[Range2_Low]:[Range2_High]])</f>
        <v>200</v>
      </c>
      <c r="AG664">
        <f>AVERAGE(Table1[[#This Row],[Range1_Low]:[Range1_High]])</f>
        <v>5.5</v>
      </c>
      <c r="AH664">
        <v>1</v>
      </c>
    </row>
    <row r="665" spans="1:34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tr" cm="1">
        <f t="array" ref="U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665" t="str" cm="1">
        <f t="array" ref="V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  <c r="AF665">
        <f>AVERAGE(Table1[[#This Row],[Range2_Low]:[Range2_High]])</f>
        <v>10.5</v>
      </c>
      <c r="AG665">
        <f>AVERAGE(Table1[[#This Row],[Range1_Low]:[Range1_High]])</f>
        <v>5.5</v>
      </c>
      <c r="AH665">
        <v>1</v>
      </c>
    </row>
    <row r="666" spans="1:34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tr" cm="1">
        <f t="array" ref="U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6" t="str" cm="1">
        <f t="array" ref="V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  <c r="AF666">
        <f>AVERAGE(Table1[[#This Row],[Range2_Low]:[Range2_High]])</f>
        <v>6000</v>
      </c>
      <c r="AG666">
        <f>AVERAGE(Table1[[#This Row],[Range1_Low]:[Range1_High]])</f>
        <v>5.5</v>
      </c>
      <c r="AH666">
        <v>1</v>
      </c>
    </row>
    <row r="667" spans="1:34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tr" cm="1">
        <f t="array" ref="U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67" t="str" cm="1">
        <f t="array" ref="V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  <c r="AF667">
        <f>AVERAGE(Table1[[#This Row],[Range2_Low]:[Range2_High]])</f>
        <v>1500</v>
      </c>
      <c r="AG667">
        <f>AVERAGE(Table1[[#This Row],[Range1_Low]:[Range1_High]])</f>
        <v>5.5</v>
      </c>
      <c r="AH667">
        <v>1</v>
      </c>
    </row>
    <row r="668" spans="1:34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tr" cm="1">
        <f t="array" ref="U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68" t="str" cm="1">
        <f t="array" ref="V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  <c r="AF668">
        <f>AVERAGE(Table1[[#This Row],[Range2_Low]:[Range2_High]])</f>
        <v>0.52</v>
      </c>
      <c r="AG668">
        <f>AVERAGE(Table1[[#This Row],[Range1_Low]:[Range1_High]])</f>
        <v>5.5</v>
      </c>
      <c r="AH668">
        <v>1</v>
      </c>
    </row>
    <row r="669" spans="1:34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tr" cm="1">
        <f t="array" ref="U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9" t="str" cm="1">
        <f t="array" ref="V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  <c r="AF669">
        <f>AVERAGE(Table1[[#This Row],[Range2_Low]:[Range2_High]])</f>
        <v>3000</v>
      </c>
      <c r="AG669">
        <f>AVERAGE(Table1[[#This Row],[Range1_Low]:[Range1_High]])</f>
        <v>5.5</v>
      </c>
      <c r="AH669">
        <v>1</v>
      </c>
    </row>
    <row r="670" spans="1:34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tr" cm="1">
        <f t="array" ref="U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70" t="str" cm="1">
        <f t="array" ref="V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  <c r="AF670">
        <f>AVERAGE(Table1[[#This Row],[Range2_Low]:[Range2_High]])</f>
        <v>2.0500000000000001E-2</v>
      </c>
      <c r="AG670">
        <f>AVERAGE(Table1[[#This Row],[Range1_Low]:[Range1_High]])</f>
        <v>5.5</v>
      </c>
      <c r="AH670">
        <v>1</v>
      </c>
    </row>
    <row r="671" spans="1:34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tr" cm="1">
        <f t="array" ref="U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671" t="str" cm="1">
        <f t="array" ref="V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  <c r="AF671">
        <f>AVERAGE(Table1[[#This Row],[Range2_Low]:[Range2_High]])</f>
        <v>200</v>
      </c>
      <c r="AG671">
        <f>AVERAGE(Table1[[#This Row],[Range1_Low]:[Range1_High]])</f>
        <v>5.5</v>
      </c>
      <c r="AH671">
        <v>1</v>
      </c>
    </row>
    <row r="672" spans="1:34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tr" cm="1">
        <f t="array" ref="U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mV</v>
      </c>
      <c r="V672" t="str" cm="1">
        <f t="array" ref="V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  <c r="AF672">
        <f>AVERAGE(Table1[[#This Row],[Range2_Low]:[Range2_High]])</f>
        <v>650</v>
      </c>
      <c r="AG672">
        <f>AVERAGE(Table1[[#This Row],[Range1_Low]:[Range1_High]])</f>
        <v>5.5</v>
      </c>
      <c r="AH672">
        <v>1</v>
      </c>
    </row>
    <row r="673" spans="1:34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tr" cm="1">
        <f t="array" ref="U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673" t="str" cm="1">
        <f t="array" ref="V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  <c r="AF673">
        <f>AVERAGE(Table1[[#This Row],[Range2_Low]:[Range2_High]])</f>
        <v>35</v>
      </c>
      <c r="AG673">
        <f>AVERAGE(Table1[[#This Row],[Range1_Low]:[Range1_High]])</f>
        <v>5.5</v>
      </c>
      <c r="AH673">
        <v>1</v>
      </c>
    </row>
    <row r="674" spans="1:34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tr" cm="1">
        <f t="array" ref="U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74" t="str" cm="1">
        <f t="array" ref="V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  <c r="AF674">
        <f>AVERAGE(Table1[[#This Row],[Range2_Low]:[Range2_High]])</f>
        <v>75</v>
      </c>
      <c r="AG674">
        <f>AVERAGE(Table1[[#This Row],[Range1_Low]:[Range1_High]])</f>
        <v>5.5</v>
      </c>
      <c r="AH674">
        <v>1</v>
      </c>
    </row>
    <row r="675" spans="1:34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tr" cm="1">
        <f t="array" ref="U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5" t="str" cm="1">
        <f t="array" ref="V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  <c r="AF675">
        <f>AVERAGE(Table1[[#This Row],[Range2_Low]:[Range2_High]])</f>
        <v>9000</v>
      </c>
      <c r="AG675">
        <f>AVERAGE(Table1[[#This Row],[Range1_Low]:[Range1_High]])</f>
        <v>5.5</v>
      </c>
      <c r="AH675">
        <v>1</v>
      </c>
    </row>
    <row r="676" spans="1:34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tr" cm="1">
        <f t="array" ref="U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V676" t="str" cm="1">
        <f t="array" ref="V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  <c r="AF676">
        <f>AVERAGE(Table1[[#This Row],[Range2_Low]:[Range2_High]])</f>
        <v>200</v>
      </c>
      <c r="AG676">
        <f>AVERAGE(Table1[[#This Row],[Range1_Low]:[Range1_High]])</f>
        <v>5.5</v>
      </c>
      <c r="AH676">
        <v>1</v>
      </c>
    </row>
    <row r="677" spans="1:34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tr" cm="1">
        <f t="array" ref="U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7" t="str" cm="1">
        <f t="array" ref="V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  <c r="AF677">
        <f>AVERAGE(Table1[[#This Row],[Range2_Low]:[Range2_High]])</f>
        <v>9000</v>
      </c>
      <c r="AG677">
        <f>AVERAGE(Table1[[#This Row],[Range1_Low]:[Range1_High]])</f>
        <v>5.5</v>
      </c>
      <c r="AH677">
        <v>1</v>
      </c>
    </row>
    <row r="678" spans="1:34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tr" cm="1">
        <f t="array" ref="U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678" t="str" cm="1">
        <f t="array" ref="V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  <c r="AF678">
        <f>AVERAGE(Table1[[#This Row],[Range2_Low]:[Range2_High]])</f>
        <v>1500</v>
      </c>
      <c r="AG678">
        <f>AVERAGE(Table1[[#This Row],[Range1_Low]:[Range1_High]])</f>
        <v>5.5</v>
      </c>
      <c r="AH678">
        <v>1</v>
      </c>
    </row>
    <row r="679" spans="1:34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tr" cm="1">
        <f t="array" ref="U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79" t="str" cm="1">
        <f t="array" ref="V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  <c r="AF679">
        <f>AVERAGE(Table1[[#This Row],[Range2_Low]:[Range2_High]])</f>
        <v>35</v>
      </c>
      <c r="AG679">
        <f>AVERAGE(Table1[[#This Row],[Range1_Low]:[Range1_High]])</f>
        <v>5.5</v>
      </c>
      <c r="AH679">
        <v>1</v>
      </c>
    </row>
    <row r="680" spans="1:34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tr" cm="1">
        <f t="array" ref="U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0" t="str" cm="1">
        <f t="array" ref="V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  <c r="AF680">
        <f>AVERAGE(Table1[[#This Row],[Range2_Low]:[Range2_High]])</f>
        <v>6000</v>
      </c>
      <c r="AG680">
        <f>AVERAGE(Table1[[#This Row],[Range1_Low]:[Range1_High]])</f>
        <v>5.5</v>
      </c>
      <c r="AH680">
        <v>1</v>
      </c>
    </row>
    <row r="681" spans="1:34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tr" cm="1">
        <f t="array" ref="U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1" t="str" cm="1">
        <f t="array" ref="V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  <c r="AF681">
        <f>AVERAGE(Table1[[#This Row],[Range2_Low]:[Range2_High]])</f>
        <v>3000</v>
      </c>
      <c r="AG681">
        <f>AVERAGE(Table1[[#This Row],[Range1_Low]:[Range1_High]])</f>
        <v>5.5</v>
      </c>
      <c r="AH681">
        <v>1</v>
      </c>
    </row>
    <row r="682" spans="1:34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tr" cm="1">
        <f t="array" ref="U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mV</v>
      </c>
      <c r="V682" t="str" cm="1">
        <f t="array" ref="V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  <c r="AF682">
        <f>AVERAGE(Table1[[#This Row],[Range2_Low]:[Range2_High]])</f>
        <v>650</v>
      </c>
      <c r="AG682">
        <f>AVERAGE(Table1[[#This Row],[Range1_Low]:[Range1_High]])</f>
        <v>5.5</v>
      </c>
      <c r="AH682">
        <v>1</v>
      </c>
    </row>
    <row r="683" spans="1:34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tr" cm="1">
        <f t="array" ref="U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3" t="str" cm="1">
        <f t="array" ref="V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  <c r="AF683">
        <f>AVERAGE(Table1[[#This Row],[Range2_Low]:[Range2_High]])</f>
        <v>10.5</v>
      </c>
      <c r="AG683">
        <f>AVERAGE(Table1[[#This Row],[Range1_Low]:[Range1_High]])</f>
        <v>5.5</v>
      </c>
      <c r="AH683">
        <v>1</v>
      </c>
    </row>
    <row r="684" spans="1:34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tr" cm="1">
        <f t="array" ref="U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4" t="str" cm="1">
        <f t="array" ref="V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  <c r="AF684">
        <f>AVERAGE(Table1[[#This Row],[Range2_Low]:[Range2_High]])</f>
        <v>2.0500000000000001E-2</v>
      </c>
      <c r="AG684">
        <f>AVERAGE(Table1[[#This Row],[Range1_Low]:[Range1_High]])</f>
        <v>5.5</v>
      </c>
      <c r="AH684">
        <v>1</v>
      </c>
    </row>
    <row r="685" spans="1:34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tr" cm="1">
        <f t="array" ref="U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5" t="str" cm="1">
        <f t="array" ref="V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  <c r="AF685">
        <f>AVERAGE(Table1[[#This Row],[Range2_Low]:[Range2_High]])</f>
        <v>0.52</v>
      </c>
      <c r="AG685">
        <f>AVERAGE(Table1[[#This Row],[Range1_Low]:[Range1_High]])</f>
        <v>5.5</v>
      </c>
      <c r="AH685">
        <v>1</v>
      </c>
    </row>
    <row r="686" spans="1:34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tr" cm="1">
        <f t="array" ref="U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6" t="str" cm="1">
        <f t="array" ref="V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  <c r="AF686">
        <f>AVERAGE(Table1[[#This Row],[Range2_Low]:[Range2_High]])</f>
        <v>75</v>
      </c>
      <c r="AG686">
        <f>AVERAGE(Table1[[#This Row],[Range1_Low]:[Range1_High]])</f>
        <v>5.5</v>
      </c>
      <c r="AH686">
        <v>1</v>
      </c>
    </row>
    <row r="687" spans="1:34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tr" cm="1">
        <f t="array" ref="U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687" t="str" cm="1">
        <f t="array" ref="V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0</v>
      </c>
      <c r="Z687" t="b">
        <f>Table1[[#This Row],[Range1_High]]&lt;=Table1[[#This Row],[Range1_Low]]</f>
        <v>0</v>
      </c>
      <c r="AF687">
        <f>AVERAGE(Table1[[#This Row],[Range2_Low]:[Range2_High]])</f>
        <v>650</v>
      </c>
      <c r="AG687">
        <f>AVERAGE(Table1[[#This Row],[Range1_Low]:[Range1_High]])</f>
        <v>15</v>
      </c>
      <c r="AH687">
        <v>1</v>
      </c>
    </row>
    <row r="688" spans="1:34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tr" cm="1">
        <f t="array" ref="U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88" t="str" cm="1">
        <f t="array" ref="V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  <c r="AF688">
        <f>AVERAGE(Table1[[#This Row],[Range2_Low]:[Range2_High]])</f>
        <v>10.5</v>
      </c>
      <c r="AG688">
        <f>AVERAGE(Table1[[#This Row],[Range1_Low]:[Range1_High]])</f>
        <v>15</v>
      </c>
      <c r="AH688">
        <v>1</v>
      </c>
    </row>
    <row r="689" spans="1:34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tr" cm="1">
        <f t="array" ref="U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89" t="str" cm="1">
        <f t="array" ref="V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  <c r="AF689">
        <f>AVERAGE(Table1[[#This Row],[Range2_Low]:[Range2_High]])</f>
        <v>35</v>
      </c>
      <c r="AG689">
        <f>AVERAGE(Table1[[#This Row],[Range1_Low]:[Range1_High]])</f>
        <v>15</v>
      </c>
      <c r="AH689">
        <v>1</v>
      </c>
    </row>
    <row r="690" spans="1:34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tr" cm="1">
        <f t="array" ref="U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90" t="str" cm="1">
        <f t="array" ref="V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0</v>
      </c>
      <c r="Z690" t="b">
        <f>Table1[[#This Row],[Range1_High]]&lt;=Table1[[#This Row],[Range1_Low]]</f>
        <v>0</v>
      </c>
      <c r="AF690">
        <f>AVERAGE(Table1[[#This Row],[Range2_Low]:[Range2_High]])</f>
        <v>200</v>
      </c>
      <c r="AG690">
        <f>AVERAGE(Table1[[#This Row],[Range1_Low]:[Range1_High]])</f>
        <v>15</v>
      </c>
      <c r="AH690">
        <v>1</v>
      </c>
    </row>
    <row r="691" spans="1:34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tr" cm="1">
        <f t="array" ref="U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1" t="str" cm="1">
        <f t="array" ref="V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  <c r="AF691">
        <f>AVERAGE(Table1[[#This Row],[Range2_Low]:[Range2_High]])</f>
        <v>200</v>
      </c>
      <c r="AG691">
        <f>AVERAGE(Table1[[#This Row],[Range1_Low]:[Range1_High]])</f>
        <v>55</v>
      </c>
      <c r="AH691">
        <v>1</v>
      </c>
    </row>
    <row r="692" spans="1:34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tr" cm="1">
        <f t="array" ref="U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2" t="str" cm="1">
        <f t="array" ref="V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  <c r="AF692">
        <f>AVERAGE(Table1[[#This Row],[Range2_Low]:[Range2_High]])</f>
        <v>2.0500000000000001E-2</v>
      </c>
      <c r="AG692">
        <f>AVERAGE(Table1[[#This Row],[Range1_Low]:[Range1_High]])</f>
        <v>15</v>
      </c>
      <c r="AH692">
        <v>1</v>
      </c>
    </row>
    <row r="693" spans="1:34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tr" cm="1">
        <f t="array" ref="U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93" t="str" cm="1">
        <f t="array" ref="V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  <c r="AF693">
        <f>AVERAGE(Table1[[#This Row],[Range2_Low]:[Range2_High]])</f>
        <v>650</v>
      </c>
      <c r="AG693">
        <f>AVERAGE(Table1[[#This Row],[Range1_Low]:[Range1_High]])</f>
        <v>55</v>
      </c>
      <c r="AH693">
        <v>1</v>
      </c>
    </row>
    <row r="694" spans="1:34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tr" cm="1">
        <f t="array" ref="U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94" t="str" cm="1">
        <f t="array" ref="V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  <c r="AF694">
        <f>AVERAGE(Table1[[#This Row],[Range2_Low]:[Range2_High]])</f>
        <v>75</v>
      </c>
      <c r="AG694">
        <f>AVERAGE(Table1[[#This Row],[Range1_Low]:[Range1_High]])</f>
        <v>15</v>
      </c>
      <c r="AH694">
        <v>1</v>
      </c>
    </row>
    <row r="695" spans="1:34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tr" cm="1">
        <f t="array" ref="U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95" t="str" cm="1">
        <f t="array" ref="V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  <c r="AF695">
        <f>AVERAGE(Table1[[#This Row],[Range2_Low]:[Range2_High]])</f>
        <v>0.52</v>
      </c>
      <c r="AG695">
        <f>AVERAGE(Table1[[#This Row],[Range1_Low]:[Range1_High]])</f>
        <v>15</v>
      </c>
      <c r="AH695">
        <v>1</v>
      </c>
    </row>
    <row r="696" spans="1:34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tr" cm="1">
        <f t="array" ref="U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96" t="str" cm="1">
        <f t="array" ref="V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0</v>
      </c>
      <c r="Z696" t="b">
        <f>Table1[[#This Row],[Range1_High]]&lt;=Table1[[#This Row],[Range1_Low]]</f>
        <v>0</v>
      </c>
      <c r="AF696">
        <f>AVERAGE(Table1[[#This Row],[Range2_Low]:[Range2_High]])</f>
        <v>200</v>
      </c>
      <c r="AG696">
        <f>AVERAGE(Table1[[#This Row],[Range1_Low]:[Range1_High]])</f>
        <v>15</v>
      </c>
      <c r="AH696">
        <v>1</v>
      </c>
    </row>
    <row r="697" spans="1:34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tr" cm="1">
        <f t="array" ref="U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7" t="str" cm="1">
        <f t="array" ref="V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  <c r="AF697">
        <f>AVERAGE(Table1[[#This Row],[Range2_Low]:[Range2_High]])</f>
        <v>2.0500000000000001E-2</v>
      </c>
      <c r="AG697">
        <f>AVERAGE(Table1[[#This Row],[Range1_Low]:[Range1_High]])</f>
        <v>15</v>
      </c>
      <c r="AH697">
        <v>1</v>
      </c>
    </row>
    <row r="698" spans="1:34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tr" cm="1">
        <f t="array" ref="U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8" t="str" cm="1">
        <f t="array" ref="V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  <c r="AF698">
        <f>AVERAGE(Table1[[#This Row],[Range2_Low]:[Range2_High]])</f>
        <v>35</v>
      </c>
      <c r="AG698">
        <f>AVERAGE(Table1[[#This Row],[Range1_Low]:[Range1_High]])</f>
        <v>15</v>
      </c>
      <c r="AH698">
        <v>1</v>
      </c>
    </row>
    <row r="699" spans="1:34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tr" cm="1">
        <f t="array" ref="U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9" t="str" cm="1">
        <f t="array" ref="V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  <c r="AF699">
        <f>AVERAGE(Table1[[#This Row],[Range2_Low]:[Range2_High]])</f>
        <v>200</v>
      </c>
      <c r="AG699">
        <f>AVERAGE(Table1[[#This Row],[Range1_Low]:[Range1_High]])</f>
        <v>55</v>
      </c>
      <c r="AH699">
        <v>1</v>
      </c>
    </row>
    <row r="700" spans="1:34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tr" cm="1">
        <f t="array" ref="U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00" t="str" cm="1">
        <f t="array" ref="V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  <c r="AF700">
        <f>AVERAGE(Table1[[#This Row],[Range2_Low]:[Range2_High]])</f>
        <v>75</v>
      </c>
      <c r="AG700">
        <f>AVERAGE(Table1[[#This Row],[Range1_Low]:[Range1_High]])</f>
        <v>15</v>
      </c>
      <c r="AH700">
        <v>1</v>
      </c>
    </row>
    <row r="701" spans="1:34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tr" cm="1">
        <f t="array" ref="U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1" t="str" cm="1">
        <f t="array" ref="V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  <c r="AF701">
        <f>AVERAGE(Table1[[#This Row],[Range2_Low]:[Range2_High]])</f>
        <v>10.5</v>
      </c>
      <c r="AG701">
        <f>AVERAGE(Table1[[#This Row],[Range1_Low]:[Range1_High]])</f>
        <v>15</v>
      </c>
      <c r="AH701">
        <v>1</v>
      </c>
    </row>
    <row r="702" spans="1:34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tr" cm="1">
        <f t="array" ref="U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02" t="str" cm="1">
        <f t="array" ref="V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0</v>
      </c>
      <c r="Z702" t="b">
        <f>Table1[[#This Row],[Range1_High]]&lt;=Table1[[#This Row],[Range1_Low]]</f>
        <v>0</v>
      </c>
      <c r="AF702">
        <f>AVERAGE(Table1[[#This Row],[Range2_Low]:[Range2_High]])</f>
        <v>650</v>
      </c>
      <c r="AG702">
        <f>AVERAGE(Table1[[#This Row],[Range1_Low]:[Range1_High]])</f>
        <v>15</v>
      </c>
      <c r="AH702">
        <v>1</v>
      </c>
    </row>
    <row r="703" spans="1:34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tr" cm="1">
        <f t="array" ref="U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3" t="str" cm="1">
        <f t="array" ref="V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  <c r="AF703">
        <f>AVERAGE(Table1[[#This Row],[Range2_Low]:[Range2_High]])</f>
        <v>0.52</v>
      </c>
      <c r="AG703">
        <f>AVERAGE(Table1[[#This Row],[Range1_Low]:[Range1_High]])</f>
        <v>15</v>
      </c>
      <c r="AH703">
        <v>1</v>
      </c>
    </row>
    <row r="704" spans="1:34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tr" cm="1">
        <f t="array" ref="U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4" t="str" cm="1">
        <f t="array" ref="V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  <c r="AF704">
        <f>AVERAGE(Table1[[#This Row],[Range2_Low]:[Range2_High]])</f>
        <v>650</v>
      </c>
      <c r="AG704">
        <f>AVERAGE(Table1[[#This Row],[Range1_Low]:[Range1_High]])</f>
        <v>55</v>
      </c>
      <c r="AH704">
        <v>1</v>
      </c>
    </row>
    <row r="705" spans="1:34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tr" cm="1">
        <f t="array" ref="U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705" t="str" cm="1">
        <f t="array" ref="V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0</v>
      </c>
      <c r="Z705" t="b">
        <f>Table1[[#This Row],[Range1_High]]&lt;=Table1[[#This Row],[Range1_Low]]</f>
        <v>0</v>
      </c>
      <c r="AF705">
        <f>AVERAGE(Table1[[#This Row],[Range2_Low]:[Range2_High]])</f>
        <v>200</v>
      </c>
      <c r="AG705">
        <f>AVERAGE(Table1[[#This Row],[Range1_Low]:[Range1_High]])</f>
        <v>15</v>
      </c>
      <c r="AH705">
        <v>1</v>
      </c>
    </row>
    <row r="706" spans="1:34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tr" cm="1">
        <f t="array" ref="U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06" t="str" cm="1">
        <f t="array" ref="V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0</v>
      </c>
      <c r="Z706" t="b">
        <f>Table1[[#This Row],[Range1_High]]&lt;=Table1[[#This Row],[Range1_Low]]</f>
        <v>0</v>
      </c>
      <c r="AF706">
        <f>AVERAGE(Table1[[#This Row],[Range2_Low]:[Range2_High]])</f>
        <v>650</v>
      </c>
      <c r="AG706">
        <f>AVERAGE(Table1[[#This Row],[Range1_Low]:[Range1_High]])</f>
        <v>15</v>
      </c>
      <c r="AH706">
        <v>1</v>
      </c>
    </row>
    <row r="707" spans="1:34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tr" cm="1">
        <f t="array" ref="U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7" t="str" cm="1">
        <f t="array" ref="V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  <c r="AF707">
        <f>AVERAGE(Table1[[#This Row],[Range2_Low]:[Range2_High]])</f>
        <v>650</v>
      </c>
      <c r="AG707">
        <f>AVERAGE(Table1[[#This Row],[Range1_Low]:[Range1_High]])</f>
        <v>55</v>
      </c>
      <c r="AH707">
        <v>1</v>
      </c>
    </row>
    <row r="708" spans="1:34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tr" cm="1">
        <f t="array" ref="U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8" t="str" cm="1">
        <f t="array" ref="V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  <c r="AF708">
        <f>AVERAGE(Table1[[#This Row],[Range2_Low]:[Range2_High]])</f>
        <v>35</v>
      </c>
      <c r="AG708">
        <f>AVERAGE(Table1[[#This Row],[Range1_Low]:[Range1_High]])</f>
        <v>15</v>
      </c>
      <c r="AH708">
        <v>1</v>
      </c>
    </row>
    <row r="709" spans="1:34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tr" cm="1">
        <f t="array" ref="U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9" t="str" cm="1">
        <f t="array" ref="V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  <c r="AF709">
        <f>AVERAGE(Table1[[#This Row],[Range2_Low]:[Range2_High]])</f>
        <v>2.0500000000000001E-2</v>
      </c>
      <c r="AG709">
        <f>AVERAGE(Table1[[#This Row],[Range1_Low]:[Range1_High]])</f>
        <v>15</v>
      </c>
      <c r="AH709">
        <v>1</v>
      </c>
    </row>
    <row r="710" spans="1:34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tr" cm="1">
        <f t="array" ref="U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0" t="str" cm="1">
        <f t="array" ref="V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  <c r="AF710">
        <f>AVERAGE(Table1[[#This Row],[Range2_Low]:[Range2_High]])</f>
        <v>0.52</v>
      </c>
      <c r="AG710">
        <f>AVERAGE(Table1[[#This Row],[Range1_Low]:[Range1_High]])</f>
        <v>15</v>
      </c>
      <c r="AH710">
        <v>1</v>
      </c>
    </row>
    <row r="711" spans="1:34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tr" cm="1">
        <f t="array" ref="U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1" t="str" cm="1">
        <f t="array" ref="V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  <c r="AF711">
        <f>AVERAGE(Table1[[#This Row],[Range2_Low]:[Range2_High]])</f>
        <v>10.5</v>
      </c>
      <c r="AG711">
        <f>AVERAGE(Table1[[#This Row],[Range1_Low]:[Range1_High]])</f>
        <v>15</v>
      </c>
      <c r="AH711">
        <v>1</v>
      </c>
    </row>
    <row r="712" spans="1:34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tr" cm="1">
        <f t="array" ref="U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2" t="str" cm="1">
        <f t="array" ref="V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  <c r="AF712">
        <f>AVERAGE(Table1[[#This Row],[Range2_Low]:[Range2_High]])</f>
        <v>75</v>
      </c>
      <c r="AG712">
        <f>AVERAGE(Table1[[#This Row],[Range1_Low]:[Range1_High]])</f>
        <v>15</v>
      </c>
      <c r="AH712">
        <v>1</v>
      </c>
    </row>
    <row r="713" spans="1:34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tr" cm="1">
        <f t="array" ref="U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3" t="str" cm="1">
        <f t="array" ref="V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  <c r="AF713">
        <f>AVERAGE(Table1[[#This Row],[Range2_Low]:[Range2_High]])</f>
        <v>200</v>
      </c>
      <c r="AG713">
        <f>AVERAGE(Table1[[#This Row],[Range1_Low]:[Range1_High]])</f>
        <v>55</v>
      </c>
      <c r="AH713">
        <v>1</v>
      </c>
    </row>
    <row r="714" spans="1:34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tr" cm="1">
        <f t="array" ref="U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4" t="str" cm="1">
        <f t="array" ref="V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  <c r="AF714">
        <f>AVERAGE(Table1[[#This Row],[Range2_Low]:[Range2_High]])</f>
        <v>200</v>
      </c>
      <c r="AG714">
        <f>AVERAGE(Table1[[#This Row],[Range1_Low]:[Range1_High]])</f>
        <v>55</v>
      </c>
      <c r="AH714">
        <v>1</v>
      </c>
    </row>
    <row r="715" spans="1:34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tr" cm="1">
        <f t="array" ref="U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15" t="str" cm="1">
        <f t="array" ref="V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  <c r="AF715">
        <f>AVERAGE(Table1[[#This Row],[Range2_Low]:[Range2_High]])</f>
        <v>650</v>
      </c>
      <c r="AG715">
        <f>AVERAGE(Table1[[#This Row],[Range1_Low]:[Range1_High]])</f>
        <v>55</v>
      </c>
      <c r="AH715">
        <v>1</v>
      </c>
    </row>
    <row r="716" spans="1:34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tr" cm="1">
        <f t="array" ref="U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6" t="str" cm="1">
        <f t="array" ref="V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  <c r="AF716">
        <f>AVERAGE(Table1[[#This Row],[Range2_Low]:[Range2_High]])</f>
        <v>75</v>
      </c>
      <c r="AG716">
        <f>AVERAGE(Table1[[#This Row],[Range1_Low]:[Range1_High]])</f>
        <v>15</v>
      </c>
      <c r="AH716">
        <v>1</v>
      </c>
    </row>
    <row r="717" spans="1:34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tr" cm="1">
        <f t="array" ref="U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7" t="str" cm="1">
        <f t="array" ref="V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  <c r="AF717">
        <f>AVERAGE(Table1[[#This Row],[Range2_Low]:[Range2_High]])</f>
        <v>2.0500000000000001E-2</v>
      </c>
      <c r="AG717">
        <f>AVERAGE(Table1[[#This Row],[Range1_Low]:[Range1_High]])</f>
        <v>15</v>
      </c>
      <c r="AH717">
        <v>1</v>
      </c>
    </row>
    <row r="718" spans="1:34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tr" cm="1">
        <f t="array" ref="U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18" t="str" cm="1">
        <f t="array" ref="V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  <c r="AF718">
        <f>AVERAGE(Table1[[#This Row],[Range2_Low]:[Range2_High]])</f>
        <v>0.52</v>
      </c>
      <c r="AG718">
        <f>AVERAGE(Table1[[#This Row],[Range1_Low]:[Range1_High]])</f>
        <v>15</v>
      </c>
      <c r="AH718">
        <v>1</v>
      </c>
    </row>
    <row r="719" spans="1:34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tr" cm="1">
        <f t="array" ref="U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9" t="str" cm="1">
        <f t="array" ref="V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  <c r="AF719">
        <f>AVERAGE(Table1[[#This Row],[Range2_Low]:[Range2_High]])</f>
        <v>35</v>
      </c>
      <c r="AG719">
        <f>AVERAGE(Table1[[#This Row],[Range1_Low]:[Range1_High]])</f>
        <v>15</v>
      </c>
      <c r="AH719">
        <v>1</v>
      </c>
    </row>
    <row r="720" spans="1:34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tr" cm="1">
        <f t="array" ref="U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20" t="str" cm="1">
        <f t="array" ref="V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  <c r="AF720">
        <f>AVERAGE(Table1[[#This Row],[Range2_Low]:[Range2_High]])</f>
        <v>10.5</v>
      </c>
      <c r="AG720">
        <f>AVERAGE(Table1[[#This Row],[Range1_Low]:[Range1_High]])</f>
        <v>15</v>
      </c>
      <c r="AH720">
        <v>1</v>
      </c>
    </row>
    <row r="721" spans="1:34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tr" cm="1">
        <f t="array" ref="U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721" t="str" cm="1">
        <f t="array" ref="V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1</v>
      </c>
      <c r="Z721" t="b">
        <f>Table1[[#This Row],[Range1_High]]&lt;=Table1[[#This Row],[Range1_Low]]</f>
        <v>0</v>
      </c>
      <c r="AF721">
        <f>AVERAGE(Table1[[#This Row],[Range2_Low]:[Range2_High]])</f>
        <v>200</v>
      </c>
      <c r="AG721">
        <f>AVERAGE(Table1[[#This Row],[Range1_Low]:[Range1_High]])</f>
        <v>15</v>
      </c>
      <c r="AH721">
        <v>1</v>
      </c>
    </row>
    <row r="722" spans="1:34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tr" cm="1">
        <f t="array" ref="U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22" t="str" cm="1">
        <f t="array" ref="V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1</v>
      </c>
      <c r="Z722" t="b">
        <f>Table1[[#This Row],[Range1_High]]&lt;=Table1[[#This Row],[Range1_Low]]</f>
        <v>0</v>
      </c>
      <c r="AF722">
        <f>AVERAGE(Table1[[#This Row],[Range2_Low]:[Range2_High]])</f>
        <v>650</v>
      </c>
      <c r="AG722">
        <f>AVERAGE(Table1[[#This Row],[Range1_Low]:[Range1_High]])</f>
        <v>15</v>
      </c>
      <c r="AH722">
        <v>1</v>
      </c>
    </row>
    <row r="723" spans="1:34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tr" cm="1">
        <f t="array" ref="U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mV</v>
      </c>
      <c r="V723" t="str" cm="1">
        <f t="array" ref="V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0</v>
      </c>
      <c r="Z723" t="b">
        <f>Table1[[#This Row],[Range1_High]]&lt;=Table1[[#This Row],[Range1_Low]]</f>
        <v>0</v>
      </c>
      <c r="AF723">
        <f>AVERAGE(Table1[[#This Row],[Range2_Low]:[Range2_High]])</f>
        <v>200</v>
      </c>
      <c r="AG723">
        <f>AVERAGE(Table1[[#This Row],[Range1_Low]:[Range1_High]])</f>
        <v>15</v>
      </c>
      <c r="AH723">
        <v>1</v>
      </c>
    </row>
    <row r="724" spans="1:34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tr" cm="1">
        <f t="array" ref="U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24" t="str" cm="1">
        <f t="array" ref="V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  <c r="AF724">
        <f>AVERAGE(Table1[[#This Row],[Range2_Low]:[Range2_High]])</f>
        <v>650</v>
      </c>
      <c r="AG724">
        <f>AVERAGE(Table1[[#This Row],[Range1_Low]:[Range1_High]])</f>
        <v>55</v>
      </c>
      <c r="AH724">
        <v>1</v>
      </c>
    </row>
    <row r="725" spans="1:34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tr" cm="1">
        <f t="array" ref="U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725" t="str" cm="1">
        <f t="array" ref="V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  <c r="AF725">
        <f>AVERAGE(Table1[[#This Row],[Range2_Low]:[Range2_High]])</f>
        <v>200</v>
      </c>
      <c r="AG725">
        <f>AVERAGE(Table1[[#This Row],[Range1_Low]:[Range1_High]])</f>
        <v>55</v>
      </c>
      <c r="AH725">
        <v>1</v>
      </c>
    </row>
    <row r="726" spans="1:34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tr" cm="1">
        <f t="array" ref="U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6" t="str" cm="1">
        <f t="array" ref="V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  <c r="AF726">
        <f>AVERAGE(Table1[[#This Row],[Range2_Low]:[Range2_High]])</f>
        <v>10.5</v>
      </c>
      <c r="AG726">
        <f>AVERAGE(Table1[[#This Row],[Range1_Low]:[Range1_High]])</f>
        <v>15</v>
      </c>
      <c r="AH726">
        <v>1</v>
      </c>
    </row>
    <row r="727" spans="1:34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tr" cm="1">
        <f t="array" ref="U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7" t="str" cm="1">
        <f t="array" ref="V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  <c r="AF727">
        <f>AVERAGE(Table1[[#This Row],[Range2_Low]:[Range2_High]])</f>
        <v>0.52</v>
      </c>
      <c r="AG727">
        <f>AVERAGE(Table1[[#This Row],[Range1_Low]:[Range1_High]])</f>
        <v>15</v>
      </c>
      <c r="AH727">
        <v>1</v>
      </c>
    </row>
    <row r="728" spans="1:34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tr" cm="1">
        <f t="array" ref="U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728" t="str" cm="1">
        <f t="array" ref="V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  <c r="AF728">
        <f>AVERAGE(Table1[[#This Row],[Range2_Low]:[Range2_High]])</f>
        <v>75</v>
      </c>
      <c r="AG728">
        <f>AVERAGE(Table1[[#This Row],[Range1_Low]:[Range1_High]])</f>
        <v>15</v>
      </c>
      <c r="AH728">
        <v>1</v>
      </c>
    </row>
    <row r="729" spans="1:34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tr" cm="1">
        <f t="array" ref="U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9" t="str" cm="1">
        <f t="array" ref="V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  <c r="AF729">
        <f>AVERAGE(Table1[[#This Row],[Range2_Low]:[Range2_High]])</f>
        <v>650</v>
      </c>
      <c r="AG729">
        <f>AVERAGE(Table1[[#This Row],[Range1_Low]:[Range1_High]])</f>
        <v>15</v>
      </c>
      <c r="AH729">
        <v>1</v>
      </c>
    </row>
    <row r="730" spans="1:34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tr" cm="1">
        <f t="array" ref="U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0" t="str" cm="1">
        <f t="array" ref="V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  <c r="AF730">
        <f>AVERAGE(Table1[[#This Row],[Range2_Low]:[Range2_High]])</f>
        <v>35</v>
      </c>
      <c r="AG730">
        <f>AVERAGE(Table1[[#This Row],[Range1_Low]:[Range1_High]])</f>
        <v>15</v>
      </c>
      <c r="AH730">
        <v>1</v>
      </c>
    </row>
    <row r="731" spans="1:34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tr" cm="1">
        <f t="array" ref="U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1" t="str" cm="1">
        <f t="array" ref="V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  <c r="AF731">
        <f>AVERAGE(Table1[[#This Row],[Range2_Low]:[Range2_High]])</f>
        <v>2.0500000000000001E-2</v>
      </c>
      <c r="AG731">
        <f>AVERAGE(Table1[[#This Row],[Range1_Low]:[Range1_High]])</f>
        <v>15</v>
      </c>
      <c r="AH731">
        <v>1</v>
      </c>
    </row>
    <row r="732" spans="1:34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tr" cm="1">
        <f t="array" ref="U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2" t="str" cm="1">
        <f t="array" ref="V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  <c r="AF732">
        <f>AVERAGE(Table1[[#This Row],[Range2_Low]:[Range2_High]])</f>
        <v>2.0500000000000001E-2</v>
      </c>
      <c r="AG732">
        <f>AVERAGE(Table1[[#This Row],[Range1_Low]:[Range1_High]])</f>
        <v>15</v>
      </c>
      <c r="AH732">
        <v>1</v>
      </c>
    </row>
    <row r="733" spans="1:34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tr" cm="1">
        <f t="array" ref="U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733" t="str" cm="1">
        <f t="array" ref="V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  <c r="AF733">
        <f>AVERAGE(Table1[[#This Row],[Range2_Low]:[Range2_High]])</f>
        <v>650</v>
      </c>
      <c r="AG733">
        <f>AVERAGE(Table1[[#This Row],[Range1_Low]:[Range1_High]])</f>
        <v>55</v>
      </c>
      <c r="AH733">
        <v>1</v>
      </c>
    </row>
    <row r="734" spans="1:34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tr" cm="1">
        <f t="array" ref="U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734" t="str" cm="1">
        <f t="array" ref="V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  <c r="AF734">
        <f>AVERAGE(Table1[[#This Row],[Range2_Low]:[Range2_High]])</f>
        <v>200</v>
      </c>
      <c r="AG734">
        <f>AVERAGE(Table1[[#This Row],[Range1_Low]:[Range1_High]])</f>
        <v>55</v>
      </c>
      <c r="AH734">
        <v>1</v>
      </c>
    </row>
    <row r="735" spans="1:34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tr" cm="1">
        <f t="array" ref="U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5" t="str" cm="1">
        <f t="array" ref="V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  <c r="AF735">
        <f>AVERAGE(Table1[[#This Row],[Range2_Low]:[Range2_High]])</f>
        <v>10.5</v>
      </c>
      <c r="AG735">
        <f>AVERAGE(Table1[[#This Row],[Range1_Low]:[Range1_High]])</f>
        <v>15</v>
      </c>
      <c r="AH735">
        <v>1</v>
      </c>
    </row>
    <row r="736" spans="1:34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87">
        <v>5.5989999999999998E-2</v>
      </c>
      <c r="P736">
        <v>572.42999999999995</v>
      </c>
      <c r="Q736">
        <v>5.5786000000000002E-2</v>
      </c>
      <c r="U736" t="str" cm="1">
        <f t="array" ref="U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6" t="str" cm="1">
        <f t="array" ref="V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  <c r="AF736">
        <f>AVERAGE(Table1[[#This Row],[Range2_Low]:[Range2_High]])</f>
        <v>75</v>
      </c>
      <c r="AG736">
        <f>AVERAGE(Table1[[#This Row],[Range1_Low]:[Range1_High]])</f>
        <v>15</v>
      </c>
      <c r="AH736">
        <v>1</v>
      </c>
    </row>
    <row r="737" spans="1:34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87">
        <v>2.4694999999999999E-3</v>
      </c>
      <c r="P737">
        <v>577.14</v>
      </c>
      <c r="Q737">
        <v>2.3387E-3</v>
      </c>
      <c r="U737" t="str" cm="1">
        <f t="array" ref="U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7" t="str" cm="1">
        <f t="array" ref="V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  <c r="AF737">
        <f>AVERAGE(Table1[[#This Row],[Range2_Low]:[Range2_High]])</f>
        <v>0.52</v>
      </c>
      <c r="AG737">
        <f>AVERAGE(Table1[[#This Row],[Range1_Low]:[Range1_High]])</f>
        <v>15</v>
      </c>
      <c r="AH737">
        <v>1</v>
      </c>
    </row>
    <row r="738" spans="1:34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88">
        <v>0.64234000000000002</v>
      </c>
      <c r="P738">
        <v>542.91999999999996</v>
      </c>
      <c r="Q738">
        <v>0.64214000000000004</v>
      </c>
      <c r="U738" t="str" cm="1">
        <f t="array" ref="U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8" t="str" cm="1">
        <f t="array" ref="V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1</v>
      </c>
      <c r="Z738" t="b">
        <f>Table1[[#This Row],[Range1_High]]&lt;=Table1[[#This Row],[Range1_Low]]</f>
        <v>0</v>
      </c>
      <c r="AF738">
        <f>AVERAGE(Table1[[#This Row],[Range2_Low]:[Range2_High]])</f>
        <v>200</v>
      </c>
      <c r="AG738">
        <f>AVERAGE(Table1[[#This Row],[Range1_Low]:[Range1_High]])</f>
        <v>15</v>
      </c>
      <c r="AH738">
        <v>1</v>
      </c>
    </row>
    <row r="739" spans="1:34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88">
        <v>7.3338000000000001</v>
      </c>
      <c r="P739">
        <v>437.38</v>
      </c>
      <c r="Q739">
        <v>7.3335999999999997</v>
      </c>
      <c r="U739" t="str" cm="1">
        <f t="array" ref="U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V739" t="str" cm="1">
        <f t="array" ref="V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mV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1</v>
      </c>
      <c r="Z739" t="b">
        <f>Table1[[#This Row],[Range1_High]]&lt;=Table1[[#This Row],[Range1_Low]]</f>
        <v>0</v>
      </c>
      <c r="AF739">
        <f>AVERAGE(Table1[[#This Row],[Range2_Low]:[Range2_High]])</f>
        <v>650</v>
      </c>
      <c r="AG739">
        <f>AVERAGE(Table1[[#This Row],[Range1_Low]:[Range1_High]])</f>
        <v>15</v>
      </c>
      <c r="AH739">
        <v>1</v>
      </c>
    </row>
    <row r="740" spans="1:34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88">
        <v>6.1608000000000001E-3</v>
      </c>
      <c r="P740">
        <v>576.79999999999995</v>
      </c>
      <c r="Q740">
        <v>5.9565E-3</v>
      </c>
      <c r="U740" t="str" cm="1">
        <f t="array" ref="U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40" t="str" cm="1">
        <f t="array" ref="V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  <c r="AF740">
        <f>AVERAGE(Table1[[#This Row],[Range2_Low]:[Range2_High]])</f>
        <v>35</v>
      </c>
      <c r="AG740">
        <f>AVERAGE(Table1[[#This Row],[Range1_Low]:[Range1_High]])</f>
        <v>15</v>
      </c>
      <c r="AH740">
        <v>1</v>
      </c>
    </row>
    <row r="741" spans="1:34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tr" cm="1">
        <f t="array" ref="U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1" t="str" cm="1">
        <f t="array" ref="V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  <c r="AF741">
        <f>AVERAGE(Table1[[#This Row],[Range2_Low]:[Range2_High]])</f>
        <v>10.5</v>
      </c>
      <c r="AG741">
        <f>AVERAGE(Table1[[#This Row],[Range1_Low]:[Range1_High]])</f>
        <v>60</v>
      </c>
      <c r="AH741">
        <v>1</v>
      </c>
    </row>
    <row r="742" spans="1:34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tr" cm="1">
        <f t="array" ref="U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42" t="str" cm="1">
        <f t="array" ref="V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  <c r="AF742">
        <f>AVERAGE(Table1[[#This Row],[Range2_Low]:[Range2_High]])</f>
        <v>35</v>
      </c>
      <c r="AG742">
        <f>AVERAGE(Table1[[#This Row],[Range1_Low]:[Range1_High]])</f>
        <v>60</v>
      </c>
      <c r="AH742">
        <v>1</v>
      </c>
    </row>
    <row r="743" spans="1:34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tr" cm="1">
        <f t="array" ref="U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3" t="str" cm="1">
        <f t="array" ref="V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  <c r="AF743">
        <f>AVERAGE(Table1[[#This Row],[Range2_Low]:[Range2_High]])</f>
        <v>0.52</v>
      </c>
      <c r="AG743">
        <f>AVERAGE(Table1[[#This Row],[Range1_Low]:[Range1_High]])</f>
        <v>60</v>
      </c>
      <c r="AH743">
        <v>1</v>
      </c>
    </row>
    <row r="744" spans="1:34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tr" cm="1">
        <f t="array" ref="U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mV</v>
      </c>
      <c r="V744" t="str" cm="1">
        <f t="array" ref="V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  <c r="AF744">
        <f>AVERAGE(Table1[[#This Row],[Range2_Low]:[Range2_High]])</f>
        <v>75</v>
      </c>
      <c r="AG744">
        <f>AVERAGE(Table1[[#This Row],[Range1_Low]:[Range1_High]])</f>
        <v>60</v>
      </c>
      <c r="AH744">
        <v>1</v>
      </c>
    </row>
    <row r="745" spans="1:34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tr" cm="1">
        <f t="array" ref="U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5" t="str" cm="1">
        <f t="array" ref="V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  <c r="AF745">
        <f>AVERAGE(Table1[[#This Row],[Range2_Low]:[Range2_High]])</f>
        <v>2.0500000000000001E-2</v>
      </c>
      <c r="AG745">
        <f>AVERAGE(Table1[[#This Row],[Range1_Low]:[Range1_High]])</f>
        <v>60</v>
      </c>
      <c r="AH745">
        <v>1</v>
      </c>
    </row>
    <row r="746" spans="1:34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tr" cm="1">
        <f t="array" ref="U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6" t="str" cm="1">
        <f t="array" ref="V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  <c r="AF746">
        <f>AVERAGE(Table1[[#This Row],[Range2_Low]:[Range2_High]])</f>
        <v>10.5</v>
      </c>
      <c r="AG746">
        <f>AVERAGE(Table1[[#This Row],[Range1_Low]:[Range1_High]])</f>
        <v>60</v>
      </c>
      <c r="AH746">
        <v>1</v>
      </c>
    </row>
    <row r="747" spans="1:34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tr" cm="1">
        <f t="array" ref="U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7" t="str" cm="1">
        <f t="array" ref="V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  <c r="AF747">
        <f>AVERAGE(Table1[[#This Row],[Range2_Low]:[Range2_High]])</f>
        <v>2.0500000000000001E-2</v>
      </c>
      <c r="AG747">
        <f>AVERAGE(Table1[[#This Row],[Range1_Low]:[Range1_High]])</f>
        <v>60</v>
      </c>
      <c r="AH747">
        <v>1</v>
      </c>
    </row>
    <row r="748" spans="1:34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tr" cm="1">
        <f t="array" ref="U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8" t="str" cm="1">
        <f t="array" ref="V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  <c r="AF748">
        <f>AVERAGE(Table1[[#This Row],[Range2_Low]:[Range2_High]])</f>
        <v>0.52</v>
      </c>
      <c r="AG748">
        <f>AVERAGE(Table1[[#This Row],[Range1_Low]:[Range1_High]])</f>
        <v>60</v>
      </c>
      <c r="AH748">
        <v>1</v>
      </c>
    </row>
    <row r="749" spans="1:34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tr" cm="1">
        <f t="array" ref="U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49" t="str" cm="1">
        <f t="array" ref="V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  <c r="AF749">
        <f>AVERAGE(Table1[[#This Row],[Range2_Low]:[Range2_High]])</f>
        <v>75</v>
      </c>
      <c r="AG749">
        <f>AVERAGE(Table1[[#This Row],[Range1_Low]:[Range1_High]])</f>
        <v>60</v>
      </c>
      <c r="AH749">
        <v>1</v>
      </c>
    </row>
    <row r="750" spans="1:34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tr" cm="1">
        <f t="array" ref="U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0" t="str" cm="1">
        <f t="array" ref="V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  <c r="AF750">
        <f>AVERAGE(Table1[[#This Row],[Range2_Low]:[Range2_High]])</f>
        <v>35</v>
      </c>
      <c r="AG750">
        <f>AVERAGE(Table1[[#This Row],[Range1_Low]:[Range1_High]])</f>
        <v>60</v>
      </c>
      <c r="AH750">
        <v>1</v>
      </c>
    </row>
    <row r="751" spans="1:34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tr" cm="1">
        <f t="array" ref="U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51" t="str" cm="1">
        <f t="array" ref="V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  <c r="AF751">
        <f>AVERAGE(Table1[[#This Row],[Range2_Low]:[Range2_High]])</f>
        <v>75</v>
      </c>
      <c r="AG751">
        <f>AVERAGE(Table1[[#This Row],[Range1_Low]:[Range1_High]])</f>
        <v>60</v>
      </c>
      <c r="AH751">
        <v>1</v>
      </c>
    </row>
    <row r="752" spans="1:34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tr" cm="1">
        <f t="array" ref="U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2" t="str" cm="1">
        <f t="array" ref="V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  <c r="AF752">
        <f>AVERAGE(Table1[[#This Row],[Range2_Low]:[Range2_High]])</f>
        <v>35</v>
      </c>
      <c r="AG752">
        <f>AVERAGE(Table1[[#This Row],[Range1_Low]:[Range1_High]])</f>
        <v>60</v>
      </c>
      <c r="AH752">
        <v>1</v>
      </c>
    </row>
    <row r="753" spans="1:34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tr" cm="1">
        <f t="array" ref="U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3" t="str" cm="1">
        <f t="array" ref="V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  <c r="AF753">
        <f>AVERAGE(Table1[[#This Row],[Range2_Low]:[Range2_High]])</f>
        <v>2.0500000000000001E-2</v>
      </c>
      <c r="AG753">
        <f>AVERAGE(Table1[[#This Row],[Range1_Low]:[Range1_High]])</f>
        <v>60</v>
      </c>
      <c r="AH753">
        <v>1</v>
      </c>
    </row>
    <row r="754" spans="1:34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tr" cm="1">
        <f t="array" ref="U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54" t="str" cm="1">
        <f t="array" ref="V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  <c r="AF754">
        <f>AVERAGE(Table1[[#This Row],[Range2_Low]:[Range2_High]])</f>
        <v>0.52</v>
      </c>
      <c r="AG754">
        <f>AVERAGE(Table1[[#This Row],[Range1_Low]:[Range1_High]])</f>
        <v>60</v>
      </c>
      <c r="AH754">
        <v>1</v>
      </c>
    </row>
    <row r="755" spans="1:34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tr" cm="1">
        <f t="array" ref="U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5" t="str" cm="1">
        <f t="array" ref="V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  <c r="AF755">
        <f>AVERAGE(Table1[[#This Row],[Range2_Low]:[Range2_High]])</f>
        <v>10.5</v>
      </c>
      <c r="AG755">
        <f>AVERAGE(Table1[[#This Row],[Range1_Low]:[Range1_High]])</f>
        <v>60</v>
      </c>
      <c r="AH755">
        <v>1</v>
      </c>
    </row>
    <row r="756" spans="1:34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tr" cm="1">
        <f t="array" ref="U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756" t="str" cm="1">
        <f t="array" ref="V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mV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  <c r="AF756">
        <f>AVERAGE(Table1[[#This Row],[Range2_Low]:[Range2_High]])</f>
        <v>2.0500000000000001E-2</v>
      </c>
      <c r="AG756">
        <f>AVERAGE(Table1[[#This Row],[Range1_Low]:[Range1_High]])</f>
        <v>60</v>
      </c>
      <c r="AH756">
        <v>1</v>
      </c>
    </row>
    <row r="757" spans="1:34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tr" cm="1">
        <f t="array" ref="U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7" t="str" cm="1">
        <f t="array" ref="V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  <c r="AF757">
        <f>AVERAGE(Table1[[#This Row],[Range2_Low]:[Range2_High]])</f>
        <v>10.5</v>
      </c>
      <c r="AG757">
        <f>AVERAGE(Table1[[#This Row],[Range1_Low]:[Range1_High]])</f>
        <v>60</v>
      </c>
      <c r="AH757">
        <v>1</v>
      </c>
    </row>
    <row r="758" spans="1:34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tr" cm="1">
        <f t="array" ref="U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mV</v>
      </c>
      <c r="V758" t="str" cm="1">
        <f t="array" ref="V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  <c r="AF758">
        <f>AVERAGE(Table1[[#This Row],[Range2_Low]:[Range2_High]])</f>
        <v>35</v>
      </c>
      <c r="AG758">
        <f>AVERAGE(Table1[[#This Row],[Range1_Low]:[Range1_High]])</f>
        <v>60</v>
      </c>
      <c r="AH758">
        <v>1</v>
      </c>
    </row>
    <row r="759" spans="1:34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tr" cm="1">
        <f t="array" ref="U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9" t="str" cm="1">
        <f t="array" ref="V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  <c r="AF759">
        <f>AVERAGE(Table1[[#This Row],[Range2_Low]:[Range2_High]])</f>
        <v>0.52</v>
      </c>
      <c r="AG759">
        <f>AVERAGE(Table1[[#This Row],[Range1_Low]:[Range1_High]])</f>
        <v>60</v>
      </c>
      <c r="AH759">
        <v>1</v>
      </c>
    </row>
    <row r="760" spans="1:34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tr" cm="1">
        <f t="array" ref="U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60" t="str" cm="1">
        <f t="array" ref="V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  <c r="AF760">
        <f>AVERAGE(Table1[[#This Row],[Range2_Low]:[Range2_High]])</f>
        <v>75</v>
      </c>
      <c r="AG760">
        <f>AVERAGE(Table1[[#This Row],[Range1_Low]:[Range1_High]])</f>
        <v>60</v>
      </c>
      <c r="AH760">
        <v>1</v>
      </c>
    </row>
    <row r="761" spans="1:34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tr" cm="1">
        <f t="array" ref="U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V761" t="str" cm="1">
        <f t="array" ref="V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mV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  <c r="AF761">
        <f>AVERAGE(Table1[[#This Row],[Range2_Low]:[Range2_High]])</f>
        <v>35</v>
      </c>
      <c r="AG761">
        <f>AVERAGE(Table1[[#This Row],[Range1_Low]:[Range1_High]])</f>
        <v>60</v>
      </c>
      <c r="AH761">
        <v>1</v>
      </c>
    </row>
    <row r="762" spans="1:34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tr" cm="1">
        <f t="array" ref="U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2" t="str" cm="1">
        <f t="array" ref="V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  <c r="AF762">
        <f>AVERAGE(Table1[[#This Row],[Range2_Low]:[Range2_High]])</f>
        <v>0.52</v>
      </c>
      <c r="AG762">
        <f>AVERAGE(Table1[[#This Row],[Range1_Low]:[Range1_High]])</f>
        <v>60</v>
      </c>
      <c r="AH762">
        <v>1</v>
      </c>
    </row>
    <row r="763" spans="1:34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tr" cm="1">
        <f t="array" ref="U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3" t="str" cm="1">
        <f t="array" ref="V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  <c r="AF763">
        <f>AVERAGE(Table1[[#This Row],[Range2_Low]:[Range2_High]])</f>
        <v>2.0500000000000001E-2</v>
      </c>
      <c r="AG763">
        <f>AVERAGE(Table1[[#This Row],[Range1_Low]:[Range1_High]])</f>
        <v>60</v>
      </c>
      <c r="AH763">
        <v>1</v>
      </c>
    </row>
    <row r="764" spans="1:34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tr" cm="1">
        <f t="array" ref="U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764" t="str" cm="1">
        <f t="array" ref="V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  <c r="AF764">
        <f>AVERAGE(Table1[[#This Row],[Range2_Low]:[Range2_High]])</f>
        <v>75</v>
      </c>
      <c r="AG764">
        <f>AVERAGE(Table1[[#This Row],[Range1_Low]:[Range1_High]])</f>
        <v>60</v>
      </c>
      <c r="AH764">
        <v>1</v>
      </c>
    </row>
    <row r="765" spans="1:34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tr" cm="1">
        <f t="array" ref="U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5" t="str" cm="1">
        <f t="array" ref="V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  <c r="AF765">
        <f>AVERAGE(Table1[[#This Row],[Range2_Low]:[Range2_High]])</f>
        <v>10.5</v>
      </c>
      <c r="AG765">
        <f>AVERAGE(Table1[[#This Row],[Range1_Low]:[Range1_High]])</f>
        <v>60</v>
      </c>
      <c r="AH765">
        <v>1</v>
      </c>
    </row>
    <row r="766" spans="1:34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tr" cm="1">
        <f t="array" ref="U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6" t="str" cm="1">
        <f t="array" ref="V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  <c r="AF766">
        <f>AVERAGE(Table1[[#This Row],[Range2_Low]:[Range2_High]])</f>
        <v>10.5</v>
      </c>
      <c r="AG766">
        <f>AVERAGE(Table1[[#This Row],[Range1_Low]:[Range1_High]])</f>
        <v>60</v>
      </c>
      <c r="AH766">
        <v>1</v>
      </c>
    </row>
    <row r="767" spans="1:34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tr" cm="1">
        <f t="array" ref="U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7" t="str" cm="1">
        <f t="array" ref="V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  <c r="AF767">
        <f>AVERAGE(Table1[[#This Row],[Range2_Low]:[Range2_High]])</f>
        <v>0.52</v>
      </c>
      <c r="AG767">
        <f>AVERAGE(Table1[[#This Row],[Range1_Low]:[Range1_High]])</f>
        <v>60</v>
      </c>
      <c r="AH767">
        <v>1</v>
      </c>
    </row>
    <row r="768" spans="1:34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tr" cm="1">
        <f t="array" ref="U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8" t="str" cm="1">
        <f t="array" ref="V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  <c r="AF768">
        <f>AVERAGE(Table1[[#This Row],[Range2_Low]:[Range2_High]])</f>
        <v>75</v>
      </c>
      <c r="AG768">
        <f>AVERAGE(Table1[[#This Row],[Range1_Low]:[Range1_High]])</f>
        <v>60</v>
      </c>
      <c r="AH768">
        <v>1</v>
      </c>
    </row>
    <row r="769" spans="1:34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tr" cm="1">
        <f t="array" ref="U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9" t="str" cm="1">
        <f t="array" ref="V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  <c r="AF769">
        <f>AVERAGE(Table1[[#This Row],[Range2_Low]:[Range2_High]])</f>
        <v>2.0500000000000001E-2</v>
      </c>
      <c r="AG769">
        <f>AVERAGE(Table1[[#This Row],[Range1_Low]:[Range1_High]])</f>
        <v>60</v>
      </c>
      <c r="AH769">
        <v>1</v>
      </c>
    </row>
    <row r="770" spans="1:34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tr" cm="1">
        <f t="array" ref="U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0" t="str" cm="1">
        <f t="array" ref="V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  <c r="AF770">
        <f>AVERAGE(Table1[[#This Row],[Range2_Low]:[Range2_High]])</f>
        <v>35</v>
      </c>
      <c r="AG770">
        <f>AVERAGE(Table1[[#This Row],[Range1_Low]:[Range1_High]])</f>
        <v>60</v>
      </c>
      <c r="AH770">
        <v>1</v>
      </c>
    </row>
    <row r="771" spans="1:34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tr" cm="1">
        <f t="array" ref="U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71" t="str" cm="1">
        <f t="array" ref="V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  <c r="AF771">
        <f>AVERAGE(Table1[[#This Row],[Range2_Low]:[Range2_High]])</f>
        <v>0.52</v>
      </c>
      <c r="AG771">
        <f>AVERAGE(Table1[[#This Row],[Range1_Low]:[Range1_High]])</f>
        <v>215</v>
      </c>
      <c r="AH771">
        <v>1</v>
      </c>
    </row>
    <row r="772" spans="1:34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tr" cm="1">
        <f t="array" ref="U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72" t="str" cm="1">
        <f t="array" ref="V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  <c r="AF772">
        <f>AVERAGE(Table1[[#This Row],[Range2_Low]:[Range2_High]])</f>
        <v>10.5</v>
      </c>
      <c r="AG772">
        <f>AVERAGE(Table1[[#This Row],[Range1_Low]:[Range1_High]])</f>
        <v>215</v>
      </c>
      <c r="AH772">
        <v>1</v>
      </c>
    </row>
    <row r="773" spans="1:34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tr" cm="1">
        <f t="array" ref="U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73" t="str" cm="1">
        <f t="array" ref="V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  <c r="AF773">
        <f>AVERAGE(Table1[[#This Row],[Range2_Low]:[Range2_High]])</f>
        <v>35</v>
      </c>
      <c r="AG773">
        <f>AVERAGE(Table1[[#This Row],[Range1_Low]:[Range1_High]])</f>
        <v>215</v>
      </c>
      <c r="AH773">
        <v>1</v>
      </c>
    </row>
    <row r="774" spans="1:34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tr" cm="1">
        <f t="array" ref="U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74" t="str" cm="1">
        <f t="array" ref="V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  <c r="AF774">
        <f>AVERAGE(Table1[[#This Row],[Range2_Low]:[Range2_High]])</f>
        <v>75</v>
      </c>
      <c r="AG774">
        <f>AVERAGE(Table1[[#This Row],[Range1_Low]:[Range1_High]])</f>
        <v>215</v>
      </c>
      <c r="AH774">
        <v>1</v>
      </c>
    </row>
    <row r="775" spans="1:34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tr" cm="1">
        <f t="array" ref="U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5" t="str" cm="1">
        <f t="array" ref="V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  <c r="AF775">
        <f>AVERAGE(Table1[[#This Row],[Range2_Low]:[Range2_High]])</f>
        <v>75</v>
      </c>
      <c r="AG775">
        <f>AVERAGE(Table1[[#This Row],[Range1_Low]:[Range1_High]])</f>
        <v>550</v>
      </c>
      <c r="AH775">
        <v>1</v>
      </c>
    </row>
    <row r="776" spans="1:34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tr" cm="1">
        <f t="array" ref="U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6" t="str" cm="1">
        <f t="array" ref="V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  <c r="AF776">
        <f>AVERAGE(Table1[[#This Row],[Range2_Low]:[Range2_High]])</f>
        <v>35</v>
      </c>
      <c r="AG776">
        <f>AVERAGE(Table1[[#This Row],[Range1_Low]:[Range1_High]])</f>
        <v>550</v>
      </c>
      <c r="AH776">
        <v>1</v>
      </c>
    </row>
    <row r="777" spans="1:34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tr" cm="1">
        <f t="array" ref="U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77" t="str" cm="1">
        <f t="array" ref="V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  <c r="AF777">
        <f>AVERAGE(Table1[[#This Row],[Range2_Low]:[Range2_High]])</f>
        <v>2.0500000000000001E-2</v>
      </c>
      <c r="AG777">
        <f>AVERAGE(Table1[[#This Row],[Range1_Low]:[Range1_High]])</f>
        <v>215</v>
      </c>
      <c r="AH777">
        <v>1</v>
      </c>
    </row>
    <row r="778" spans="1:34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tr" cm="1">
        <f t="array" ref="U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78" t="str" cm="1">
        <f t="array" ref="V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  <c r="AF778">
        <f>AVERAGE(Table1[[#This Row],[Range2_Low]:[Range2_High]])</f>
        <v>10.5</v>
      </c>
      <c r="AG778">
        <f>AVERAGE(Table1[[#This Row],[Range1_Low]:[Range1_High]])</f>
        <v>550</v>
      </c>
      <c r="AH778">
        <v>1</v>
      </c>
    </row>
    <row r="779" spans="1:34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tr" cm="1">
        <f t="array" ref="U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9" t="str" cm="1">
        <f t="array" ref="V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  <c r="AF779">
        <f>AVERAGE(Table1[[#This Row],[Range2_Low]:[Range2_High]])</f>
        <v>75</v>
      </c>
      <c r="AG779">
        <f>AVERAGE(Table1[[#This Row],[Range1_Low]:[Range1_High]])</f>
        <v>550</v>
      </c>
      <c r="AH779">
        <v>1</v>
      </c>
    </row>
    <row r="780" spans="1:34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tr" cm="1">
        <f t="array" ref="U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80" t="str" cm="1">
        <f t="array" ref="V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  <c r="AF780">
        <f>AVERAGE(Table1[[#This Row],[Range2_Low]:[Range2_High]])</f>
        <v>75</v>
      </c>
      <c r="AG780">
        <f>AVERAGE(Table1[[#This Row],[Range1_Low]:[Range1_High]])</f>
        <v>215</v>
      </c>
      <c r="AH780">
        <v>1</v>
      </c>
    </row>
    <row r="781" spans="1:34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tr" cm="1">
        <f t="array" ref="U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81" t="str" cm="1">
        <f t="array" ref="V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  <c r="AF781">
        <f>AVERAGE(Table1[[#This Row],[Range2_Low]:[Range2_High]])</f>
        <v>10.5</v>
      </c>
      <c r="AG781">
        <f>AVERAGE(Table1[[#This Row],[Range1_Low]:[Range1_High]])</f>
        <v>550</v>
      </c>
      <c r="AH781">
        <v>1</v>
      </c>
    </row>
    <row r="782" spans="1:34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tr" cm="1">
        <f t="array" ref="U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82" t="str" cm="1">
        <f t="array" ref="V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  <c r="AF782">
        <f>AVERAGE(Table1[[#This Row],[Range2_Low]:[Range2_High]])</f>
        <v>35</v>
      </c>
      <c r="AG782">
        <f>AVERAGE(Table1[[#This Row],[Range1_Low]:[Range1_High]])</f>
        <v>550</v>
      </c>
      <c r="AH782">
        <v>1</v>
      </c>
    </row>
    <row r="783" spans="1:34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tr" cm="1">
        <f t="array" ref="U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83" t="str" cm="1">
        <f t="array" ref="V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  <c r="AF783">
        <f>AVERAGE(Table1[[#This Row],[Range2_Low]:[Range2_High]])</f>
        <v>2.0500000000000001E-2</v>
      </c>
      <c r="AG783">
        <f>AVERAGE(Table1[[#This Row],[Range1_Low]:[Range1_High]])</f>
        <v>215</v>
      </c>
      <c r="AH783">
        <v>1</v>
      </c>
    </row>
    <row r="784" spans="1:34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tr" cm="1">
        <f t="array" ref="U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4" t="str" cm="1">
        <f t="array" ref="V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  <c r="AF784">
        <f>AVERAGE(Table1[[#This Row],[Range2_Low]:[Range2_High]])</f>
        <v>0.52</v>
      </c>
      <c r="AG784">
        <f>AVERAGE(Table1[[#This Row],[Range1_Low]:[Range1_High]])</f>
        <v>215</v>
      </c>
      <c r="AH784">
        <v>1</v>
      </c>
    </row>
    <row r="785" spans="1:34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tr" cm="1">
        <f t="array" ref="U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5" t="str" cm="1">
        <f t="array" ref="V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  <c r="AF785">
        <f>AVERAGE(Table1[[#This Row],[Range2_Low]:[Range2_High]])</f>
        <v>35</v>
      </c>
      <c r="AG785">
        <f>AVERAGE(Table1[[#This Row],[Range1_Low]:[Range1_High]])</f>
        <v>215</v>
      </c>
      <c r="AH785">
        <v>1</v>
      </c>
    </row>
    <row r="786" spans="1:34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tr" cm="1">
        <f t="array" ref="U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6" t="str" cm="1">
        <f t="array" ref="V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  <c r="AF786">
        <f>AVERAGE(Table1[[#This Row],[Range2_Low]:[Range2_High]])</f>
        <v>10.5</v>
      </c>
      <c r="AG786">
        <f>AVERAGE(Table1[[#This Row],[Range1_Low]:[Range1_High]])</f>
        <v>215</v>
      </c>
      <c r="AH786">
        <v>1</v>
      </c>
    </row>
    <row r="787" spans="1:34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tr" cm="1">
        <f t="array" ref="U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7" t="str" cm="1">
        <f t="array" ref="V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  <c r="AF787">
        <f>AVERAGE(Table1[[#This Row],[Range2_Low]:[Range2_High]])</f>
        <v>10.5</v>
      </c>
      <c r="AG787">
        <f>AVERAGE(Table1[[#This Row],[Range1_Low]:[Range1_High]])</f>
        <v>215</v>
      </c>
      <c r="AH787">
        <v>1</v>
      </c>
    </row>
    <row r="788" spans="1:34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tr" cm="1">
        <f t="array" ref="U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8" t="str" cm="1">
        <f t="array" ref="V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  <c r="AF788">
        <f>AVERAGE(Table1[[#This Row],[Range2_Low]:[Range2_High]])</f>
        <v>35</v>
      </c>
      <c r="AG788">
        <f>AVERAGE(Table1[[#This Row],[Range1_Low]:[Range1_High]])</f>
        <v>215</v>
      </c>
      <c r="AH788">
        <v>1</v>
      </c>
    </row>
    <row r="789" spans="1:34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tr" cm="1">
        <f t="array" ref="U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9" t="str" cm="1">
        <f t="array" ref="V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  <c r="AF789">
        <f>AVERAGE(Table1[[#This Row],[Range2_Low]:[Range2_High]])</f>
        <v>0.52</v>
      </c>
      <c r="AG789">
        <f>AVERAGE(Table1[[#This Row],[Range1_Low]:[Range1_High]])</f>
        <v>215</v>
      </c>
      <c r="AH789">
        <v>1</v>
      </c>
    </row>
    <row r="790" spans="1:34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tr" cm="1">
        <f t="array" ref="U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90" t="str" cm="1">
        <f t="array" ref="V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  <c r="AF790">
        <f>AVERAGE(Table1[[#This Row],[Range2_Low]:[Range2_High]])</f>
        <v>2.0500000000000001E-2</v>
      </c>
      <c r="AG790">
        <f>AVERAGE(Table1[[#This Row],[Range1_Low]:[Range1_High]])</f>
        <v>215</v>
      </c>
      <c r="AH790">
        <v>1</v>
      </c>
    </row>
    <row r="791" spans="1:34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tr" cm="1">
        <f t="array" ref="U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1" t="str" cm="1">
        <f t="array" ref="V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  <c r="AF791">
        <f>AVERAGE(Table1[[#This Row],[Range2_Low]:[Range2_High]])</f>
        <v>75</v>
      </c>
      <c r="AG791">
        <f>AVERAGE(Table1[[#This Row],[Range1_Low]:[Range1_High]])</f>
        <v>215</v>
      </c>
      <c r="AH791">
        <v>1</v>
      </c>
    </row>
    <row r="792" spans="1:34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tr" cm="1">
        <f t="array" ref="U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92" t="str" cm="1">
        <f t="array" ref="V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  <c r="AF792">
        <f>AVERAGE(Table1[[#This Row],[Range2_Low]:[Range2_High]])</f>
        <v>75</v>
      </c>
      <c r="AG792">
        <f>AVERAGE(Table1[[#This Row],[Range1_Low]:[Range1_High]])</f>
        <v>550</v>
      </c>
      <c r="AH792">
        <v>1</v>
      </c>
    </row>
    <row r="793" spans="1:34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tr" cm="1">
        <f t="array" ref="U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93" t="str" cm="1">
        <f t="array" ref="V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  <c r="AF793">
        <f>AVERAGE(Table1[[#This Row],[Range2_Low]:[Range2_High]])</f>
        <v>10.5</v>
      </c>
      <c r="AG793">
        <f>AVERAGE(Table1[[#This Row],[Range1_Low]:[Range1_High]])</f>
        <v>550</v>
      </c>
      <c r="AH793">
        <v>1</v>
      </c>
    </row>
    <row r="794" spans="1:34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tr" cm="1">
        <f t="array" ref="U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94" t="str" cm="1">
        <f t="array" ref="V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  <c r="AF794">
        <f>AVERAGE(Table1[[#This Row],[Range2_Low]:[Range2_High]])</f>
        <v>35</v>
      </c>
      <c r="AG794">
        <f>AVERAGE(Table1[[#This Row],[Range1_Low]:[Range1_High]])</f>
        <v>550</v>
      </c>
      <c r="AH794">
        <v>1</v>
      </c>
    </row>
    <row r="795" spans="1:34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tr" cm="1">
        <f t="array" ref="U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5" t="str" cm="1">
        <f t="array" ref="V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  <c r="AF795">
        <f>AVERAGE(Table1[[#This Row],[Range2_Low]:[Range2_High]])</f>
        <v>75</v>
      </c>
      <c r="AG795">
        <f>AVERAGE(Table1[[#This Row],[Range1_Low]:[Range1_High]])</f>
        <v>215</v>
      </c>
      <c r="AH795">
        <v>1</v>
      </c>
    </row>
    <row r="796" spans="1:34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tr" cm="1">
        <f t="array" ref="U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796" t="str" cm="1">
        <f t="array" ref="V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520 mV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  <c r="AF796">
        <f>AVERAGE(Table1[[#This Row],[Range2_Low]:[Range2_High]])</f>
        <v>10.5</v>
      </c>
      <c r="AG796">
        <f>AVERAGE(Table1[[#This Row],[Range1_Low]:[Range1_High]])</f>
        <v>550</v>
      </c>
      <c r="AH796">
        <v>1</v>
      </c>
    </row>
    <row r="797" spans="1:34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tr" cm="1">
        <f t="array" ref="U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V797" t="str" cm="1">
        <f t="array" ref="V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  <c r="AF797">
        <f>AVERAGE(Table1[[#This Row],[Range2_Low]:[Range2_High]])</f>
        <v>2.0500000000000001E-2</v>
      </c>
      <c r="AG797">
        <f>AVERAGE(Table1[[#This Row],[Range1_Low]:[Range1_High]])</f>
        <v>215</v>
      </c>
      <c r="AH797">
        <v>1</v>
      </c>
    </row>
    <row r="798" spans="1:34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tr" cm="1">
        <f t="array" ref="U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98" t="str" cm="1">
        <f t="array" ref="V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mV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  <c r="AF798">
        <f>AVERAGE(Table1[[#This Row],[Range2_Low]:[Range2_High]])</f>
        <v>35</v>
      </c>
      <c r="AG798">
        <f>AVERAGE(Table1[[#This Row],[Range1_Low]:[Range1_High]])</f>
        <v>215</v>
      </c>
      <c r="AH798">
        <v>1</v>
      </c>
    </row>
    <row r="799" spans="1:34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tr" cm="1">
        <f t="array" ref="U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V799" t="str" cm="1">
        <f t="array" ref="V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  <c r="AF799">
        <f>AVERAGE(Table1[[#This Row],[Range2_Low]:[Range2_High]])</f>
        <v>0.52</v>
      </c>
      <c r="AG799">
        <f>AVERAGE(Table1[[#This Row],[Range1_Low]:[Range1_High]])</f>
        <v>215</v>
      </c>
      <c r="AH799">
        <v>1</v>
      </c>
    </row>
    <row r="800" spans="1:34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tr" cm="1">
        <f t="array" ref="U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800" t="str" cm="1">
        <f t="array" ref="V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  <c r="AF800">
        <f>AVERAGE(Table1[[#This Row],[Range2_Low]:[Range2_High]])</f>
        <v>10.5</v>
      </c>
      <c r="AG800">
        <f>AVERAGE(Table1[[#This Row],[Range1_Low]:[Range1_High]])</f>
        <v>215</v>
      </c>
      <c r="AH800">
        <v>1</v>
      </c>
    </row>
    <row r="801" spans="1:34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tr" cm="1">
        <f t="array" ref="U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1" t="str" cm="1">
        <f t="array" ref="V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  <c r="AF801">
        <f>AVERAGE(Table1[[#This Row],[Range2_Low]:[Range2_High]])</f>
        <v>35</v>
      </c>
      <c r="AG801">
        <f>AVERAGE(Table1[[#This Row],[Range1_Low]:[Range1_High]])</f>
        <v>550</v>
      </c>
      <c r="AH801">
        <v>1</v>
      </c>
    </row>
    <row r="802" spans="1:34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tr" cm="1">
        <f t="array" ref="U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802" t="str" cm="1">
        <f t="array" ref="V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  <c r="AF802">
        <f>AVERAGE(Table1[[#This Row],[Range2_Low]:[Range2_High]])</f>
        <v>75</v>
      </c>
      <c r="AG802">
        <f>AVERAGE(Table1[[#This Row],[Range1_Low]:[Range1_High]])</f>
        <v>550</v>
      </c>
      <c r="AH802">
        <v>1</v>
      </c>
    </row>
    <row r="803" spans="1:34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tr" cm="1">
        <f t="array" ref="U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mV</v>
      </c>
      <c r="V803" t="str" cm="1">
        <f t="array" ref="V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  <c r="AF803">
        <f>AVERAGE(Table1[[#This Row],[Range2_Low]:[Range2_High]])</f>
        <v>35</v>
      </c>
      <c r="AG803">
        <f>AVERAGE(Table1[[#This Row],[Range1_Low]:[Range1_High]])</f>
        <v>550</v>
      </c>
      <c r="AH803">
        <v>1</v>
      </c>
    </row>
    <row r="804" spans="1:34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tr" cm="1">
        <f t="array" ref="U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V804" t="str" cm="1">
        <f t="array" ref="V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  <c r="AF804">
        <f>AVERAGE(Table1[[#This Row],[Range2_Low]:[Range2_High]])</f>
        <v>10.5</v>
      </c>
      <c r="AG804">
        <f>AVERAGE(Table1[[#This Row],[Range1_Low]:[Range1_High]])</f>
        <v>550</v>
      </c>
      <c r="AH804">
        <v>1</v>
      </c>
    </row>
    <row r="805" spans="1:34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tr" cm="1">
        <f t="array" ref="U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05" t="str" cm="1">
        <f t="array" ref="V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  <c r="AF805">
        <f>AVERAGE(Table1[[#This Row],[Range2_Low]:[Range2_High]])</f>
        <v>35</v>
      </c>
      <c r="AG805">
        <f>AVERAGE(Table1[[#This Row],[Range1_Low]:[Range1_High]])</f>
        <v>215</v>
      </c>
      <c r="AH805">
        <v>1</v>
      </c>
    </row>
    <row r="806" spans="1:34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tr" cm="1">
        <f t="array" ref="U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mV</v>
      </c>
      <c r="V806" t="str" cm="1">
        <f t="array" ref="V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mV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  <c r="AF806">
        <f>AVERAGE(Table1[[#This Row],[Range2_Low]:[Range2_High]])</f>
        <v>75</v>
      </c>
      <c r="AG806">
        <f>AVERAGE(Table1[[#This Row],[Range1_Low]:[Range1_High]])</f>
        <v>550</v>
      </c>
      <c r="AH806">
        <v>1</v>
      </c>
    </row>
    <row r="807" spans="1:34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tr" cm="1">
        <f t="array" ref="U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807" t="str" cm="1">
        <f t="array" ref="V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  <c r="AF807">
        <f>AVERAGE(Table1[[#This Row],[Range2_Low]:[Range2_High]])</f>
        <v>10.5</v>
      </c>
      <c r="AG807">
        <f>AVERAGE(Table1[[#This Row],[Range1_Low]:[Range1_High]])</f>
        <v>215</v>
      </c>
      <c r="AH807">
        <v>1</v>
      </c>
    </row>
    <row r="808" spans="1:34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tr" cm="1">
        <f t="array" ref="U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8" t="str" cm="1">
        <f t="array" ref="V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  <c r="AF808">
        <f>AVERAGE(Table1[[#This Row],[Range2_Low]:[Range2_High]])</f>
        <v>0.52</v>
      </c>
      <c r="AG808">
        <f>AVERAGE(Table1[[#This Row],[Range1_Low]:[Range1_High]])</f>
        <v>215</v>
      </c>
      <c r="AH808">
        <v>1</v>
      </c>
    </row>
    <row r="809" spans="1:34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tr" cm="1">
        <f t="array" ref="U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mV</v>
      </c>
      <c r="V809" t="str" cm="1">
        <f t="array" ref="V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  <c r="AF809">
        <f>AVERAGE(Table1[[#This Row],[Range2_Low]:[Range2_High]])</f>
        <v>75</v>
      </c>
      <c r="AG809">
        <f>AVERAGE(Table1[[#This Row],[Range1_Low]:[Range1_High]])</f>
        <v>215</v>
      </c>
      <c r="AH809">
        <v>1</v>
      </c>
    </row>
    <row r="810" spans="1:34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tr" cm="1">
        <f t="array" ref="U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10" t="str" cm="1">
        <f t="array" ref="V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  <c r="AF810">
        <f>AVERAGE(Table1[[#This Row],[Range2_Low]:[Range2_High]])</f>
        <v>2.0500000000000001E-2</v>
      </c>
      <c r="AG810">
        <f>AVERAGE(Table1[[#This Row],[Range1_Low]:[Range1_High]])</f>
        <v>215</v>
      </c>
      <c r="AH810">
        <v>1</v>
      </c>
    </row>
    <row r="811" spans="1:34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tr" cm="1">
        <f t="array" ref="U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1" t="str" cm="1">
        <f t="array" ref="V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  <c r="AF811">
        <f>AVERAGE(Table1[[#This Row],[Range2_Low]:[Range2_High]])</f>
        <v>2.0500000000000001E-2</v>
      </c>
      <c r="AG811">
        <f>AVERAGE(Table1[[#This Row],[Range1_Low]:[Range1_High]])</f>
        <v>665</v>
      </c>
      <c r="AH811">
        <v>1</v>
      </c>
    </row>
    <row r="812" spans="1:34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tr" cm="1">
        <f t="array" ref="U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2" t="str" cm="1">
        <f t="array" ref="V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  <c r="AF812">
        <f>AVERAGE(Table1[[#This Row],[Range2_Low]:[Range2_High]])</f>
        <v>5.5</v>
      </c>
      <c r="AG812">
        <f>AVERAGE(Table1[[#This Row],[Range1_Low]:[Range1_High]])</f>
        <v>665</v>
      </c>
      <c r="AH812">
        <v>1</v>
      </c>
    </row>
    <row r="813" spans="1:34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tr" cm="1">
        <f t="array" ref="U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3" t="str" cm="1">
        <f t="array" ref="V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  <c r="AF813">
        <f>AVERAGE(Table1[[#This Row],[Range2_Low]:[Range2_High]])</f>
        <v>0.52</v>
      </c>
      <c r="AG813">
        <f>AVERAGE(Table1[[#This Row],[Range1_Low]:[Range1_High]])</f>
        <v>665</v>
      </c>
      <c r="AH813">
        <v>1</v>
      </c>
    </row>
    <row r="814" spans="1:34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tr" cm="1">
        <f t="array" ref="U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4" t="str" cm="1">
        <f t="array" ref="V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  <c r="AF814">
        <f>AVERAGE(Table1[[#This Row],[Range2_Low]:[Range2_High]])</f>
        <v>0.52</v>
      </c>
      <c r="AG814">
        <f>AVERAGE(Table1[[#This Row],[Range1_Low]:[Range1_High]])</f>
        <v>665</v>
      </c>
      <c r="AH814">
        <v>1</v>
      </c>
    </row>
    <row r="815" spans="1:34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tr" cm="1">
        <f t="array" ref="U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5" t="str" cm="1">
        <f t="array" ref="V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  <c r="AF815">
        <f>AVERAGE(Table1[[#This Row],[Range2_Low]:[Range2_High]])</f>
        <v>5.5</v>
      </c>
      <c r="AG815">
        <f>AVERAGE(Table1[[#This Row],[Range1_Low]:[Range1_High]])</f>
        <v>665</v>
      </c>
      <c r="AH815">
        <v>1</v>
      </c>
    </row>
    <row r="816" spans="1:34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tr" cm="1">
        <f t="array" ref="U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6" t="str" cm="1">
        <f t="array" ref="V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  <c r="AF816">
        <f>AVERAGE(Table1[[#This Row],[Range2_Low]:[Range2_High]])</f>
        <v>2.0500000000000001E-2</v>
      </c>
      <c r="AG816">
        <f>AVERAGE(Table1[[#This Row],[Range1_Low]:[Range1_High]])</f>
        <v>665</v>
      </c>
      <c r="AH816">
        <v>1</v>
      </c>
    </row>
    <row r="817" spans="1:34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tr" cm="1">
        <f t="array" ref="U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7" t="str" cm="1">
        <f t="array" ref="V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  <c r="AF817">
        <f>AVERAGE(Table1[[#This Row],[Range2_Low]:[Range2_High]])</f>
        <v>0.52</v>
      </c>
      <c r="AG817">
        <f>AVERAGE(Table1[[#This Row],[Range1_Low]:[Range1_High]])</f>
        <v>665</v>
      </c>
      <c r="AH817">
        <v>1</v>
      </c>
    </row>
    <row r="818" spans="1:34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tr" cm="1">
        <f t="array" ref="U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8" t="str" cm="1">
        <f t="array" ref="V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  <c r="AF818">
        <f>AVERAGE(Table1[[#This Row],[Range2_Low]:[Range2_High]])</f>
        <v>5.5</v>
      </c>
      <c r="AG818">
        <f>AVERAGE(Table1[[#This Row],[Range1_Low]:[Range1_High]])</f>
        <v>665</v>
      </c>
      <c r="AH818">
        <v>1</v>
      </c>
    </row>
    <row r="819" spans="1:34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tr" cm="1">
        <f t="array" ref="U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9" t="str" cm="1">
        <f t="array" ref="V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  <c r="AF819">
        <f>AVERAGE(Table1[[#This Row],[Range2_Low]:[Range2_High]])</f>
        <v>2.0500000000000001E-2</v>
      </c>
      <c r="AG819">
        <f>AVERAGE(Table1[[#This Row],[Range1_Low]:[Range1_High]])</f>
        <v>665</v>
      </c>
      <c r="AH819">
        <v>1</v>
      </c>
    </row>
    <row r="820" spans="1:34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tr" cm="1">
        <f t="array" ref="U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mV</v>
      </c>
      <c r="V820" t="str" cm="1">
        <f t="array" ref="V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  <c r="AF820">
        <f>AVERAGE(Table1[[#This Row],[Range2_Low]:[Range2_High]])</f>
        <v>0.52</v>
      </c>
      <c r="AG820">
        <f>AVERAGE(Table1[[#This Row],[Range1_Low]:[Range1_High]])</f>
        <v>665</v>
      </c>
      <c r="AH820">
        <v>1</v>
      </c>
    </row>
    <row r="821" spans="1:34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tr" cm="1">
        <f t="array" ref="U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821" t="str" cm="1">
        <f t="array" ref="V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  <c r="AF821">
        <f>AVERAGE(Table1[[#This Row],[Range2_Low]:[Range2_High]])</f>
        <v>2.0500000000000001E-2</v>
      </c>
      <c r="AG821">
        <f>AVERAGE(Table1[[#This Row],[Range1_Low]:[Range1_High]])</f>
        <v>665</v>
      </c>
      <c r="AH821">
        <v>1</v>
      </c>
    </row>
    <row r="822" spans="1:34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tr" cm="1">
        <f t="array" ref="U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mV</v>
      </c>
      <c r="V822" t="str" cm="1">
        <f t="array" ref="V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  <c r="AF822">
        <f>AVERAGE(Table1[[#This Row],[Range2_Low]:[Range2_High]])</f>
        <v>5.5</v>
      </c>
      <c r="AG822">
        <f>AVERAGE(Table1[[#This Row],[Range1_Low]:[Range1_High]])</f>
        <v>665</v>
      </c>
      <c r="AH822">
        <v>1</v>
      </c>
    </row>
    <row r="823" spans="1:34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tr" cm="1">
        <f t="array" ref="U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V823" t="str" cm="1">
        <f t="array" ref="V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mV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  <c r="AF823">
        <f>AVERAGE(Table1[[#This Row],[Range2_Low]:[Range2_High]])</f>
        <v>5.5</v>
      </c>
      <c r="AG823">
        <f>AVERAGE(Table1[[#This Row],[Range1_Low]:[Range1_High]])</f>
        <v>665</v>
      </c>
      <c r="AH823">
        <v>1</v>
      </c>
    </row>
    <row r="824" spans="1:34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tr" cm="1">
        <f t="array" ref="U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mV</v>
      </c>
      <c r="V824" t="str" cm="1">
        <f t="array" ref="V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mV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  <c r="AF824">
        <f>AVERAGE(Table1[[#This Row],[Range2_Low]:[Range2_High]])</f>
        <v>0.52</v>
      </c>
      <c r="AG824">
        <f>AVERAGE(Table1[[#This Row],[Range1_Low]:[Range1_High]])</f>
        <v>665</v>
      </c>
      <c r="AH824">
        <v>1</v>
      </c>
    </row>
    <row r="825" spans="1:34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tr" cm="1">
        <f t="array" ref="U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25" t="str" cm="1">
        <f t="array" ref="V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mV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  <c r="AF825">
        <f>AVERAGE(Table1[[#This Row],[Range2_Low]:[Range2_High]])</f>
        <v>2.0500000000000001E-2</v>
      </c>
      <c r="AG825">
        <f>AVERAGE(Table1[[#This Row],[Range1_Low]:[Range1_High]])</f>
        <v>665</v>
      </c>
      <c r="AH825">
        <v>1</v>
      </c>
    </row>
    <row r="826" spans="1:34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tr" cm="1">
        <f t="array" ref="U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6" t="str" cm="1">
        <f t="array" ref="V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  <c r="AF826">
        <f>AVERAGE(Table1[[#This Row],[Range2_Low]:[Range2_High]])</f>
        <v>2.5225</v>
      </c>
      <c r="AG826">
        <f>AVERAGE(Table1[[#This Row],[Range1_Low]:[Range1_High]])</f>
        <v>5.0000000000000002E-5</v>
      </c>
      <c r="AH826">
        <v>1</v>
      </c>
    </row>
    <row r="827" spans="1:34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tr" cm="1">
        <f t="array" ref="U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27" t="str" cm="1">
        <f t="array" ref="V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  <c r="AF827">
        <f>AVERAGE(Table1[[#This Row],[Range2_Low]:[Range2_High]])</f>
        <v>1.0500000000000001E-2</v>
      </c>
      <c r="AG827">
        <f>AVERAGE(Table1[[#This Row],[Range1_Low]:[Range1_High]])</f>
        <v>5.0000000000000002E-5</v>
      </c>
      <c r="AH827">
        <v>1</v>
      </c>
    </row>
    <row r="828" spans="1:34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tr" cm="1">
        <f t="array" ref="U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28" t="str" cm="1">
        <f t="array" ref="V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  <c r="AF828">
        <f>AVERAGE(Table1[[#This Row],[Range2_Low]:[Range2_High]])</f>
        <v>3.2500000000000001E-2</v>
      </c>
      <c r="AG828">
        <f>AVERAGE(Table1[[#This Row],[Range1_Low]:[Range1_High]])</f>
        <v>5.0000000000000002E-5</v>
      </c>
      <c r="AH828">
        <v>1</v>
      </c>
    </row>
    <row r="829" spans="1:34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tr" cm="1">
        <f t="array" ref="U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9" t="str" cm="1">
        <f t="array" ref="V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  <c r="AF829">
        <f>AVERAGE(Table1[[#This Row],[Range2_Low]:[Range2_High]])</f>
        <v>2.5225</v>
      </c>
      <c r="AG829">
        <f>AVERAGE(Table1[[#This Row],[Range1_Low]:[Range1_High]])</f>
        <v>5.0000000000000002E-5</v>
      </c>
      <c r="AH829">
        <v>1</v>
      </c>
    </row>
    <row r="830" spans="1:34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tr" cm="1">
        <f t="array" ref="U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0" t="str" cm="1">
        <f t="array" ref="V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  <c r="AF830">
        <f>AVERAGE(Table1[[#This Row],[Range2_Low]:[Range2_High]])</f>
        <v>3.2500000000000001E-2</v>
      </c>
      <c r="AG830">
        <f>AVERAGE(Table1[[#This Row],[Range1_Low]:[Range1_High]])</f>
        <v>5.0000000000000002E-5</v>
      </c>
      <c r="AH830">
        <v>1</v>
      </c>
    </row>
    <row r="831" spans="1:34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tr" cm="1">
        <f t="array" ref="U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1" t="str" cm="1">
        <f t="array" ref="V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  <c r="AF831">
        <f>AVERAGE(Table1[[#This Row],[Range2_Low]:[Range2_High]])</f>
        <v>1.0500000000000001E-2</v>
      </c>
      <c r="AG831">
        <f>AVERAGE(Table1[[#This Row],[Range1_Low]:[Range1_High]])</f>
        <v>5.0000000000000002E-5</v>
      </c>
      <c r="AH831">
        <v>1</v>
      </c>
    </row>
    <row r="832" spans="1:34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tr" cm="1">
        <f t="array" ref="U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2" t="str" cm="1">
        <f t="array" ref="V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  <c r="AF832">
        <f>AVERAGE(Table1[[#This Row],[Range2_Low]:[Range2_High]])</f>
        <v>1.0500000000000001E-2</v>
      </c>
      <c r="AG832">
        <f>AVERAGE(Table1[[#This Row],[Range1_Low]:[Range1_High]])</f>
        <v>5.0000000000000002E-5</v>
      </c>
      <c r="AH832">
        <v>1</v>
      </c>
    </row>
    <row r="833" spans="1:34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tr" cm="1">
        <f t="array" ref="U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33" t="str" cm="1">
        <f t="array" ref="V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  <c r="AF833">
        <f>AVERAGE(Table1[[#This Row],[Range2_Low]:[Range2_High]])</f>
        <v>2.5225</v>
      </c>
      <c r="AG833">
        <f>AVERAGE(Table1[[#This Row],[Range1_Low]:[Range1_High]])</f>
        <v>5.0000000000000002E-5</v>
      </c>
      <c r="AH833">
        <v>1</v>
      </c>
    </row>
    <row r="834" spans="1:34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tr" cm="1">
        <f t="array" ref="U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4" t="str" cm="1">
        <f t="array" ref="V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  <c r="AF834">
        <f>AVERAGE(Table1[[#This Row],[Range2_Low]:[Range2_High]])</f>
        <v>3.2500000000000001E-2</v>
      </c>
      <c r="AG834">
        <f>AVERAGE(Table1[[#This Row],[Range1_Low]:[Range1_High]])</f>
        <v>5.0000000000000002E-5</v>
      </c>
      <c r="AH834">
        <v>1</v>
      </c>
    </row>
    <row r="835" spans="1:34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tr" cm="1">
        <f t="array" ref="U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0.083 µA</v>
      </c>
      <c r="V835" t="str" cm="1">
        <f t="array" ref="V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µA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  <c r="AF835">
        <f>AVERAGE(Table1[[#This Row],[Range2_Low]:[Range2_High]])</f>
        <v>2.5225</v>
      </c>
      <c r="AG835">
        <f>AVERAGE(Table1[[#This Row],[Range1_Low]:[Range1_High]])</f>
        <v>5.0000000000000002E-5</v>
      </c>
      <c r="AH835">
        <v>1</v>
      </c>
    </row>
    <row r="836" spans="1:34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tr" cm="1">
        <f t="array" ref="U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V836" t="str" cm="1">
        <f t="array" ref="V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  <c r="AF836">
        <f>AVERAGE(Table1[[#This Row],[Range2_Low]:[Range2_High]])</f>
        <v>1.0500000000000001E-2</v>
      </c>
      <c r="AG836">
        <f>AVERAGE(Table1[[#This Row],[Range1_Low]:[Range1_High]])</f>
        <v>5.0000000000000002E-5</v>
      </c>
      <c r="AH836">
        <v>1</v>
      </c>
    </row>
    <row r="837" spans="1:34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tr" cm="1">
        <f t="array" ref="U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µA</v>
      </c>
      <c r="V837" t="str" cm="1">
        <f t="array" ref="V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  <c r="AF837">
        <f>AVERAGE(Table1[[#This Row],[Range2_Low]:[Range2_High]])</f>
        <v>3.2500000000000001E-2</v>
      </c>
      <c r="AG837">
        <f>AVERAGE(Table1[[#This Row],[Range1_Low]:[Range1_High]])</f>
        <v>5.0000000000000002E-5</v>
      </c>
      <c r="AH837">
        <v>1</v>
      </c>
    </row>
    <row r="838" spans="1:34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tr" cm="1">
        <f t="array" ref="U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838" t="str" cm="1">
        <f t="array" ref="V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  <c r="AF838">
        <f>AVERAGE(Table1[[#This Row],[Range2_Low]:[Range2_High]])</f>
        <v>2.5225</v>
      </c>
      <c r="AG838">
        <f>AVERAGE(Table1[[#This Row],[Range1_Low]:[Range1_High]])</f>
        <v>5.0000000000000002E-5</v>
      </c>
      <c r="AH838">
        <v>1</v>
      </c>
    </row>
    <row r="839" spans="1:34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tr" cm="1">
        <f t="array" ref="U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µA</v>
      </c>
      <c r="V839" t="str" cm="1">
        <f t="array" ref="V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  <c r="AF839">
        <f>AVERAGE(Table1[[#This Row],[Range2_Low]:[Range2_High]])</f>
        <v>3.2500000000000001E-2</v>
      </c>
      <c r="AG839">
        <f>AVERAGE(Table1[[#This Row],[Range1_Low]:[Range1_High]])</f>
        <v>5.0000000000000002E-5</v>
      </c>
      <c r="AH839">
        <v>1</v>
      </c>
    </row>
    <row r="840" spans="1:34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tr" cm="1">
        <f t="array" ref="U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V840" t="str" cm="1">
        <f t="array" ref="V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µA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  <c r="AF840">
        <f>AVERAGE(Table1[[#This Row],[Range2_Low]:[Range2_High]])</f>
        <v>1.0500000000000001E-2</v>
      </c>
      <c r="AG840">
        <f>AVERAGE(Table1[[#This Row],[Range1_Low]:[Range1_High]])</f>
        <v>5.0000000000000002E-5</v>
      </c>
      <c r="AH840">
        <v>1</v>
      </c>
    </row>
    <row r="841" spans="1:34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tr" cm="1">
        <f t="array" ref="U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1" t="str" cm="1">
        <f t="array" ref="V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  <c r="AF841">
        <f>AVERAGE(Table1[[#This Row],[Range2_Low]:[Range2_High]])</f>
        <v>3.2500000000000001E-2</v>
      </c>
      <c r="AG841">
        <f>AVERAGE(Table1[[#This Row],[Range1_Low]:[Range1_High]])</f>
        <v>5.0000000000000002E-5</v>
      </c>
      <c r="AH841">
        <v>1</v>
      </c>
    </row>
    <row r="842" spans="1:34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tr" cm="1">
        <f t="array" ref="U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2" t="str" cm="1">
        <f t="array" ref="V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  <c r="AF842">
        <f>AVERAGE(Table1[[#This Row],[Range2_Low]:[Range2_High]])</f>
        <v>2.5225</v>
      </c>
      <c r="AG842">
        <f>AVERAGE(Table1[[#This Row],[Range1_Low]:[Range1_High]])</f>
        <v>5.0000000000000002E-5</v>
      </c>
      <c r="AH842">
        <v>1</v>
      </c>
    </row>
    <row r="843" spans="1:34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tr" cm="1">
        <f t="array" ref="U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3" t="str" cm="1">
        <f t="array" ref="V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  <c r="AF843">
        <f>AVERAGE(Table1[[#This Row],[Range2_Low]:[Range2_High]])</f>
        <v>1.0500000000000001E-2</v>
      </c>
      <c r="AG843">
        <f>AVERAGE(Table1[[#This Row],[Range1_Low]:[Range1_High]])</f>
        <v>5.0000000000000002E-5</v>
      </c>
      <c r="AH843">
        <v>1</v>
      </c>
    </row>
    <row r="844" spans="1:34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tr" cm="1">
        <f t="array" ref="U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4" t="str" cm="1">
        <f t="array" ref="V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  <c r="AF844">
        <f>AVERAGE(Table1[[#This Row],[Range2_Low]:[Range2_High]])</f>
        <v>3.2500000000000001E-2</v>
      </c>
      <c r="AG844">
        <f>AVERAGE(Table1[[#This Row],[Range1_Low]:[Range1_High]])</f>
        <v>5.0000000000000002E-5</v>
      </c>
      <c r="AH844">
        <v>1</v>
      </c>
    </row>
    <row r="845" spans="1:34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tr" cm="1">
        <f t="array" ref="U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5" t="str" cm="1">
        <f t="array" ref="V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  <c r="AF845">
        <f>AVERAGE(Table1[[#This Row],[Range2_Low]:[Range2_High]])</f>
        <v>1.0500000000000001E-2</v>
      </c>
      <c r="AG845">
        <f>AVERAGE(Table1[[#This Row],[Range1_Low]:[Range1_High]])</f>
        <v>5.0000000000000002E-5</v>
      </c>
      <c r="AH845">
        <v>1</v>
      </c>
    </row>
    <row r="846" spans="1:34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tr" cm="1">
        <f t="array" ref="U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6" t="str" cm="1">
        <f t="array" ref="V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  <c r="AF846">
        <f>AVERAGE(Table1[[#This Row],[Range2_Low]:[Range2_High]])</f>
        <v>2.5225</v>
      </c>
      <c r="AG846">
        <f>AVERAGE(Table1[[#This Row],[Range1_Low]:[Range1_High]])</f>
        <v>5.0000000000000002E-5</v>
      </c>
      <c r="AH846">
        <v>1</v>
      </c>
    </row>
    <row r="847" spans="1:34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tr" cm="1">
        <f t="array" ref="U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7" t="str" cm="1">
        <f t="array" ref="V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  <c r="AF847">
        <f>AVERAGE(Table1[[#This Row],[Range2_Low]:[Range2_High]])</f>
        <v>2.5225</v>
      </c>
      <c r="AG847">
        <f>AVERAGE(Table1[[#This Row],[Range1_Low]:[Range1_High]])</f>
        <v>5.0000000000000002E-5</v>
      </c>
      <c r="AH847">
        <v>1</v>
      </c>
    </row>
    <row r="848" spans="1:34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tr" cm="1">
        <f t="array" ref="U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8" t="str" cm="1">
        <f t="array" ref="V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  <c r="AF848">
        <f>AVERAGE(Table1[[#This Row],[Range2_Low]:[Range2_High]])</f>
        <v>1.0500000000000001E-2</v>
      </c>
      <c r="AG848">
        <f>AVERAGE(Table1[[#This Row],[Range1_Low]:[Range1_High]])</f>
        <v>5.0000000000000002E-5</v>
      </c>
      <c r="AH848">
        <v>1</v>
      </c>
    </row>
    <row r="849" spans="1:34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tr" cm="1">
        <f t="array" ref="U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9" t="str" cm="1">
        <f t="array" ref="V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  <c r="AF849">
        <f>AVERAGE(Table1[[#This Row],[Range2_Low]:[Range2_High]])</f>
        <v>3.2500000000000001E-2</v>
      </c>
      <c r="AG849">
        <f>AVERAGE(Table1[[#This Row],[Range1_Low]:[Range1_High]])</f>
        <v>5.0000000000000002E-5</v>
      </c>
      <c r="AH849">
        <v>1</v>
      </c>
    </row>
    <row r="850" spans="1:34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tr" cm="1">
        <f t="array" ref="U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0" t="str" cm="1">
        <f t="array" ref="V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  <c r="AF850">
        <f>AVERAGE(Table1[[#This Row],[Range2_Low]:[Range2_High]])</f>
        <v>1.0500000000000001E-2</v>
      </c>
      <c r="AG850">
        <f>AVERAGE(Table1[[#This Row],[Range1_Low]:[Range1_High]])</f>
        <v>5.0000000000000002E-5</v>
      </c>
      <c r="AH850">
        <v>1</v>
      </c>
    </row>
    <row r="851" spans="1:34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tr" cm="1">
        <f t="array" ref="U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1" t="str" cm="1">
        <f t="array" ref="V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  <c r="AF851">
        <f>AVERAGE(Table1[[#This Row],[Range2_Low]:[Range2_High]])</f>
        <v>2.5225</v>
      </c>
      <c r="AG851">
        <f>AVERAGE(Table1[[#This Row],[Range1_Low]:[Range1_High]])</f>
        <v>5.0000000000000002E-5</v>
      </c>
      <c r="AH851">
        <v>1</v>
      </c>
    </row>
    <row r="852" spans="1:34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tr" cm="1">
        <f t="array" ref="U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2" t="str" cm="1">
        <f t="array" ref="V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  <c r="AF852">
        <f>AVERAGE(Table1[[#This Row],[Range2_Low]:[Range2_High]])</f>
        <v>3.2500000000000001E-2</v>
      </c>
      <c r="AG852">
        <f>AVERAGE(Table1[[#This Row],[Range1_Low]:[Range1_High]])</f>
        <v>5.0000000000000002E-5</v>
      </c>
      <c r="AH852">
        <v>1</v>
      </c>
    </row>
    <row r="853" spans="1:34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tr" cm="1">
        <f t="array" ref="U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3" t="str" cm="1">
        <f t="array" ref="V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  <c r="AF853">
        <f>AVERAGE(Table1[[#This Row],[Range2_Low]:[Range2_High]])</f>
        <v>3.2500000000000001E-2</v>
      </c>
      <c r="AG853">
        <f>AVERAGE(Table1[[#This Row],[Range1_Low]:[Range1_High]])</f>
        <v>5.0000000000000002E-5</v>
      </c>
      <c r="AH853">
        <v>1</v>
      </c>
    </row>
    <row r="854" spans="1:34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tr" cm="1">
        <f t="array" ref="U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4" t="str" cm="1">
        <f t="array" ref="V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  <c r="AF854">
        <f>AVERAGE(Table1[[#This Row],[Range2_Low]:[Range2_High]])</f>
        <v>1.0500000000000001E-2</v>
      </c>
      <c r="AG854">
        <f>AVERAGE(Table1[[#This Row],[Range1_Low]:[Range1_High]])</f>
        <v>5.0000000000000002E-5</v>
      </c>
      <c r="AH854">
        <v>1</v>
      </c>
    </row>
    <row r="855" spans="1:34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tr" cm="1">
        <f t="array" ref="U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5" t="str" cm="1">
        <f t="array" ref="V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  <c r="AF855">
        <f>AVERAGE(Table1[[#This Row],[Range2_Low]:[Range2_High]])</f>
        <v>2.5225</v>
      </c>
      <c r="AG855">
        <f>AVERAGE(Table1[[#This Row],[Range1_Low]:[Range1_High]])</f>
        <v>5.0000000000000002E-5</v>
      </c>
      <c r="AH855">
        <v>1</v>
      </c>
    </row>
    <row r="856" spans="1:34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tr" cm="1">
        <f t="array" ref="U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6" t="str" cm="1">
        <f t="array" ref="V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  <c r="AF856">
        <f>AVERAGE(Table1[[#This Row],[Range2_Low]:[Range2_High]])</f>
        <v>1.0500000000000001E-2</v>
      </c>
      <c r="AG856">
        <f>AVERAGE(Table1[[#This Row],[Range1_Low]:[Range1_High]])</f>
        <v>5.0000000000000002E-5</v>
      </c>
      <c r="AH856">
        <v>1</v>
      </c>
    </row>
    <row r="857" spans="1:34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tr" cm="1">
        <f t="array" ref="U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7" t="str" cm="1">
        <f t="array" ref="V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  <c r="AF857">
        <f>AVERAGE(Table1[[#This Row],[Range2_Low]:[Range2_High]])</f>
        <v>3.2500000000000001E-2</v>
      </c>
      <c r="AG857">
        <f>AVERAGE(Table1[[#This Row],[Range1_Low]:[Range1_High]])</f>
        <v>5.0000000000000002E-5</v>
      </c>
      <c r="AH857">
        <v>1</v>
      </c>
    </row>
    <row r="858" spans="1:34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tr" cm="1">
        <f t="array" ref="U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8" t="str" cm="1">
        <f t="array" ref="V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  <c r="AF858">
        <f>AVERAGE(Table1[[#This Row],[Range2_Low]:[Range2_High]])</f>
        <v>2.5225</v>
      </c>
      <c r="AG858">
        <f>AVERAGE(Table1[[#This Row],[Range1_Low]:[Range1_High]])</f>
        <v>5.0000000000000002E-5</v>
      </c>
      <c r="AH858">
        <v>1</v>
      </c>
    </row>
    <row r="859" spans="1:34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tr" cm="1">
        <f t="array" ref="U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59" t="str" cm="1">
        <f t="array" ref="V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  <c r="AF859">
        <f>AVERAGE(Table1[[#This Row],[Range2_Low]:[Range2_High]])</f>
        <v>1.0500000000000001E-2</v>
      </c>
      <c r="AG859">
        <f>AVERAGE(Table1[[#This Row],[Range1_Low]:[Range1_High]])</f>
        <v>5.5000000000000003E-4</v>
      </c>
      <c r="AH859">
        <v>1</v>
      </c>
    </row>
    <row r="860" spans="1:34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tr" cm="1">
        <f t="array" ref="U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0" t="str" cm="1">
        <f t="array" ref="V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  <c r="AF860">
        <f>AVERAGE(Table1[[#This Row],[Range2_Low]:[Range2_High]])</f>
        <v>75</v>
      </c>
      <c r="AG860">
        <f>AVERAGE(Table1[[#This Row],[Range1_Low]:[Range1_High]])</f>
        <v>5.5000000000000003E-4</v>
      </c>
      <c r="AH860">
        <v>1</v>
      </c>
    </row>
    <row r="861" spans="1:34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tr" cm="1">
        <f t="array" ref="U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61" t="str" cm="1">
        <f t="array" ref="V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  <c r="AF861">
        <f>AVERAGE(Table1[[#This Row],[Range2_Low]:[Range2_High]])</f>
        <v>12.5</v>
      </c>
      <c r="AG861">
        <f>AVERAGE(Table1[[#This Row],[Range1_Low]:[Range1_High]])</f>
        <v>5.5000000000000003E-4</v>
      </c>
      <c r="AH861">
        <v>1</v>
      </c>
    </row>
    <row r="862" spans="1:34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tr" cm="1">
        <f t="array" ref="U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2" t="str" cm="1">
        <f t="array" ref="V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  <c r="AF862">
        <f>AVERAGE(Table1[[#This Row],[Range2_Low]:[Range2_High]])</f>
        <v>2.5499999999999998</v>
      </c>
      <c r="AG862">
        <f>AVERAGE(Table1[[#This Row],[Range1_Low]:[Range1_High]])</f>
        <v>5.5000000000000003E-4</v>
      </c>
      <c r="AH862">
        <v>1</v>
      </c>
    </row>
    <row r="863" spans="1:34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tr" cm="1">
        <f t="array" ref="U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63" t="str" cm="1">
        <f t="array" ref="V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  <c r="AF863">
        <f>AVERAGE(Table1[[#This Row],[Range2_Low]:[Range2_High]])</f>
        <v>7.2500000000000009E-2</v>
      </c>
      <c r="AG863">
        <f>AVERAGE(Table1[[#This Row],[Range1_Low]:[Range1_High]])</f>
        <v>5.5000000000000003E-4</v>
      </c>
      <c r="AH863">
        <v>1</v>
      </c>
    </row>
    <row r="864" spans="1:34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tr" cm="1">
        <f t="array" ref="U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64" t="str" cm="1">
        <f t="array" ref="V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  <c r="AF864">
        <f>AVERAGE(Table1[[#This Row],[Range2_Low]:[Range2_High]])</f>
        <v>3.2500000000000001E-2</v>
      </c>
      <c r="AG864">
        <f>AVERAGE(Table1[[#This Row],[Range1_Low]:[Range1_High]])</f>
        <v>5.5000000000000003E-4</v>
      </c>
      <c r="AH864">
        <v>1</v>
      </c>
    </row>
    <row r="865" spans="1:34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tr" cm="1">
        <f t="array" ref="U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5" t="str" cm="1">
        <f t="array" ref="V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  <c r="AF865">
        <f>AVERAGE(Table1[[#This Row],[Range2_Low]:[Range2_High]])</f>
        <v>35</v>
      </c>
      <c r="AG865">
        <f>AVERAGE(Table1[[#This Row],[Range1_Low]:[Range1_High]])</f>
        <v>5.5000000000000003E-4</v>
      </c>
      <c r="AH865">
        <v>1</v>
      </c>
    </row>
    <row r="866" spans="1:34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tr" cm="1">
        <f t="array" ref="U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66" t="str" cm="1">
        <f t="array" ref="V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  <c r="AF866">
        <f>AVERAGE(Table1[[#This Row],[Range2_Low]:[Range2_High]])</f>
        <v>1.0500000000000001E-2</v>
      </c>
      <c r="AG866">
        <f>AVERAGE(Table1[[#This Row],[Range1_Low]:[Range1_High]])</f>
        <v>5.5000000000000003E-4</v>
      </c>
      <c r="AH866">
        <v>1</v>
      </c>
    </row>
    <row r="867" spans="1:34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tr" cm="1">
        <f t="array" ref="U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7" t="str" cm="1">
        <f t="array" ref="V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  <c r="AF867">
        <f>AVERAGE(Table1[[#This Row],[Range2_Low]:[Range2_High]])</f>
        <v>75</v>
      </c>
      <c r="AG867">
        <f>AVERAGE(Table1[[#This Row],[Range1_Low]:[Range1_High]])</f>
        <v>5.5000000000000003E-4</v>
      </c>
      <c r="AH867">
        <v>1</v>
      </c>
    </row>
    <row r="868" spans="1:34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tr" cm="1">
        <f t="array" ref="U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8" t="str" cm="1">
        <f t="array" ref="V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  <c r="AF868">
        <f>AVERAGE(Table1[[#This Row],[Range2_Low]:[Range2_High]])</f>
        <v>35</v>
      </c>
      <c r="AG868">
        <f>AVERAGE(Table1[[#This Row],[Range1_Low]:[Range1_High]])</f>
        <v>5.5000000000000003E-4</v>
      </c>
      <c r="AH868">
        <v>1</v>
      </c>
    </row>
    <row r="869" spans="1:34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tr" cm="1">
        <f t="array" ref="U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9" t="str" cm="1">
        <f t="array" ref="V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  <c r="AF869">
        <f>AVERAGE(Table1[[#This Row],[Range2_Low]:[Range2_High]])</f>
        <v>2.5499999999999998</v>
      </c>
      <c r="AG869">
        <f>AVERAGE(Table1[[#This Row],[Range1_Low]:[Range1_High]])</f>
        <v>5.5000000000000003E-4</v>
      </c>
      <c r="AH869">
        <v>1</v>
      </c>
    </row>
    <row r="870" spans="1:34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tr" cm="1">
        <f t="array" ref="U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0" t="str" cm="1">
        <f t="array" ref="V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  <c r="AF870">
        <f>AVERAGE(Table1[[#This Row],[Range2_Low]:[Range2_High]])</f>
        <v>7.2500000000000009E-2</v>
      </c>
      <c r="AG870">
        <f>AVERAGE(Table1[[#This Row],[Range1_Low]:[Range1_High]])</f>
        <v>5.5000000000000003E-4</v>
      </c>
      <c r="AH870">
        <v>1</v>
      </c>
    </row>
    <row r="871" spans="1:34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tr" cm="1">
        <f t="array" ref="U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1" t="str" cm="1">
        <f t="array" ref="V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  <c r="AF871">
        <f>AVERAGE(Table1[[#This Row],[Range2_Low]:[Range2_High]])</f>
        <v>12.5</v>
      </c>
      <c r="AG871">
        <f>AVERAGE(Table1[[#This Row],[Range1_Low]:[Range1_High]])</f>
        <v>5.5000000000000003E-4</v>
      </c>
      <c r="AH871">
        <v>1</v>
      </c>
    </row>
    <row r="872" spans="1:34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tr" cm="1">
        <f t="array" ref="U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2" t="str" cm="1">
        <f t="array" ref="V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  <c r="AF872">
        <f>AVERAGE(Table1[[#This Row],[Range2_Low]:[Range2_High]])</f>
        <v>3.2500000000000001E-2</v>
      </c>
      <c r="AG872">
        <f>AVERAGE(Table1[[#This Row],[Range1_Low]:[Range1_High]])</f>
        <v>5.5000000000000003E-4</v>
      </c>
      <c r="AH872">
        <v>1</v>
      </c>
    </row>
    <row r="873" spans="1:34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tr" cm="1">
        <f t="array" ref="U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3" t="str" cm="1">
        <f t="array" ref="V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  <c r="AF873">
        <f>AVERAGE(Table1[[#This Row],[Range2_Low]:[Range2_High]])</f>
        <v>12.5</v>
      </c>
      <c r="AG873">
        <f>AVERAGE(Table1[[#This Row],[Range1_Low]:[Range1_High]])</f>
        <v>5.5000000000000003E-4</v>
      </c>
      <c r="AH873">
        <v>1</v>
      </c>
    </row>
    <row r="874" spans="1:34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tr" cm="1">
        <f t="array" ref="U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4" t="str" cm="1">
        <f t="array" ref="V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  <c r="AF874">
        <f>AVERAGE(Table1[[#This Row],[Range2_Low]:[Range2_High]])</f>
        <v>3.2500000000000001E-2</v>
      </c>
      <c r="AG874">
        <f>AVERAGE(Table1[[#This Row],[Range1_Low]:[Range1_High]])</f>
        <v>5.5000000000000003E-4</v>
      </c>
      <c r="AH874">
        <v>1</v>
      </c>
    </row>
    <row r="875" spans="1:34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tr" cm="1">
        <f t="array" ref="U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75" t="str" cm="1">
        <f t="array" ref="V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  <c r="AF875">
        <f>AVERAGE(Table1[[#This Row],[Range2_Low]:[Range2_High]])</f>
        <v>35</v>
      </c>
      <c r="AG875">
        <f>AVERAGE(Table1[[#This Row],[Range1_Low]:[Range1_High]])</f>
        <v>5.5000000000000003E-4</v>
      </c>
      <c r="AH875">
        <v>1</v>
      </c>
    </row>
    <row r="876" spans="1:34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tr" cm="1">
        <f t="array" ref="U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76" t="str" cm="1">
        <f t="array" ref="V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  <c r="AF876">
        <f>AVERAGE(Table1[[#This Row],[Range2_Low]:[Range2_High]])</f>
        <v>1.0500000000000001E-2</v>
      </c>
      <c r="AG876">
        <f>AVERAGE(Table1[[#This Row],[Range1_Low]:[Range1_High]])</f>
        <v>5.5000000000000003E-4</v>
      </c>
      <c r="AH876">
        <v>1</v>
      </c>
    </row>
    <row r="877" spans="1:34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tr" cm="1">
        <f t="array" ref="U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77" t="str" cm="1">
        <f t="array" ref="V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  <c r="AF877">
        <f>AVERAGE(Table1[[#This Row],[Range2_Low]:[Range2_High]])</f>
        <v>75</v>
      </c>
      <c r="AG877">
        <f>AVERAGE(Table1[[#This Row],[Range1_Low]:[Range1_High]])</f>
        <v>5.5000000000000003E-4</v>
      </c>
      <c r="AH877">
        <v>1</v>
      </c>
    </row>
    <row r="878" spans="1:34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tr" cm="1">
        <f t="array" ref="U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8" t="str" cm="1">
        <f t="array" ref="V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  <c r="AF878">
        <f>AVERAGE(Table1[[#This Row],[Range2_Low]:[Range2_High]])</f>
        <v>7.2500000000000009E-2</v>
      </c>
      <c r="AG878">
        <f>AVERAGE(Table1[[#This Row],[Range1_Low]:[Range1_High]])</f>
        <v>5.5000000000000003E-4</v>
      </c>
      <c r="AH878">
        <v>1</v>
      </c>
    </row>
    <row r="879" spans="1:34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tr" cm="1">
        <f t="array" ref="U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79" t="str" cm="1">
        <f t="array" ref="V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  <c r="AF879">
        <f>AVERAGE(Table1[[#This Row],[Range2_Low]:[Range2_High]])</f>
        <v>2.5499999999999998</v>
      </c>
      <c r="AG879">
        <f>AVERAGE(Table1[[#This Row],[Range1_Low]:[Range1_High]])</f>
        <v>5.5000000000000003E-4</v>
      </c>
      <c r="AH879">
        <v>1</v>
      </c>
    </row>
    <row r="880" spans="1:34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tr" cm="1">
        <f t="array" ref="U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880" t="str" cm="1">
        <f t="array" ref="V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  <c r="AF880">
        <f>AVERAGE(Table1[[#This Row],[Range2_Low]:[Range2_High]])</f>
        <v>1.0500000000000001E-2</v>
      </c>
      <c r="AG880">
        <f>AVERAGE(Table1[[#This Row],[Range1_Low]:[Range1_High]])</f>
        <v>5.5000000000000003E-4</v>
      </c>
      <c r="AH880">
        <v>1</v>
      </c>
    </row>
    <row r="881" spans="1:34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tr" cm="1">
        <f t="array" ref="U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µA</v>
      </c>
      <c r="V881" t="str" cm="1">
        <f t="array" ref="V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  <c r="AF881">
        <f>AVERAGE(Table1[[#This Row],[Range2_Low]:[Range2_High]])</f>
        <v>35</v>
      </c>
      <c r="AG881">
        <f>AVERAGE(Table1[[#This Row],[Range1_Low]:[Range1_High]])</f>
        <v>5.5000000000000003E-4</v>
      </c>
      <c r="AH881">
        <v>1</v>
      </c>
    </row>
    <row r="882" spans="1:34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tr" cm="1">
        <f t="array" ref="U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V882" t="str" cm="1">
        <f t="array" ref="V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  <c r="AF882">
        <f>AVERAGE(Table1[[#This Row],[Range2_Low]:[Range2_High]])</f>
        <v>7.2500000000000009E-2</v>
      </c>
      <c r="AG882">
        <f>AVERAGE(Table1[[#This Row],[Range1_Low]:[Range1_High]])</f>
        <v>5.5000000000000003E-4</v>
      </c>
      <c r="AH882">
        <v>1</v>
      </c>
    </row>
    <row r="883" spans="1:34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tr" cm="1">
        <f t="array" ref="U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µA</v>
      </c>
      <c r="V883" t="str" cm="1">
        <f t="array" ref="V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  <c r="AF883">
        <f>AVERAGE(Table1[[#This Row],[Range2_Low]:[Range2_High]])</f>
        <v>2.5499999999999998</v>
      </c>
      <c r="AG883">
        <f>AVERAGE(Table1[[#This Row],[Range1_Low]:[Range1_High]])</f>
        <v>5.5000000000000003E-4</v>
      </c>
      <c r="AH883">
        <v>1</v>
      </c>
    </row>
    <row r="884" spans="1:34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tr" cm="1">
        <f t="array" ref="U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84" t="str" cm="1">
        <f t="array" ref="V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  <c r="AF884">
        <f>AVERAGE(Table1[[#This Row],[Range2_Low]:[Range2_High]])</f>
        <v>75</v>
      </c>
      <c r="AG884">
        <f>AVERAGE(Table1[[#This Row],[Range1_Low]:[Range1_High]])</f>
        <v>5.5000000000000003E-4</v>
      </c>
      <c r="AH884">
        <v>1</v>
      </c>
    </row>
    <row r="885" spans="1:34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tr" cm="1">
        <f t="array" ref="U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µA</v>
      </c>
      <c r="V885" t="str" cm="1">
        <f t="array" ref="V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µA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  <c r="AF885">
        <f>AVERAGE(Table1[[#This Row],[Range2_Low]:[Range2_High]])</f>
        <v>12.5</v>
      </c>
      <c r="AG885">
        <f>AVERAGE(Table1[[#This Row],[Range1_Low]:[Range1_High]])</f>
        <v>5.5000000000000003E-4</v>
      </c>
      <c r="AH885">
        <v>1</v>
      </c>
    </row>
    <row r="886" spans="1:34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tr" cm="1">
        <f t="array" ref="U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µA</v>
      </c>
      <c r="V886" t="str" cm="1">
        <f t="array" ref="V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  <c r="AF886">
        <f>AVERAGE(Table1[[#This Row],[Range2_Low]:[Range2_High]])</f>
        <v>3.2500000000000001E-2</v>
      </c>
      <c r="AG886">
        <f>AVERAGE(Table1[[#This Row],[Range1_Low]:[Range1_High]])</f>
        <v>5.5000000000000003E-4</v>
      </c>
      <c r="AH886">
        <v>1</v>
      </c>
    </row>
    <row r="887" spans="1:34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tr" cm="1">
        <f t="array" ref="U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7" t="str" cm="1">
        <f t="array" ref="V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  <c r="AF887">
        <f>AVERAGE(Table1[[#This Row],[Range2_Low]:[Range2_High]])</f>
        <v>2.5499999999999998</v>
      </c>
      <c r="AG887">
        <f>AVERAGE(Table1[[#This Row],[Range1_Low]:[Range1_High]])</f>
        <v>5.5000000000000003E-4</v>
      </c>
      <c r="AH887">
        <v>1</v>
      </c>
    </row>
    <row r="888" spans="1:34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tr" cm="1">
        <f t="array" ref="U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888" t="str" cm="1">
        <f t="array" ref="V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  <c r="AF888">
        <f>AVERAGE(Table1[[#This Row],[Range2_Low]:[Range2_High]])</f>
        <v>35</v>
      </c>
      <c r="AG888">
        <f>AVERAGE(Table1[[#This Row],[Range1_Low]:[Range1_High]])</f>
        <v>5.5000000000000003E-4</v>
      </c>
      <c r="AH888">
        <v>1</v>
      </c>
    </row>
    <row r="889" spans="1:34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tr" cm="1">
        <f t="array" ref="U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9" t="str" cm="1">
        <f t="array" ref="V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  <c r="AF889">
        <f>AVERAGE(Table1[[#This Row],[Range2_Low]:[Range2_High]])</f>
        <v>7.2500000000000009E-2</v>
      </c>
      <c r="AG889">
        <f>AVERAGE(Table1[[#This Row],[Range1_Low]:[Range1_High]])</f>
        <v>5.5000000000000003E-4</v>
      </c>
      <c r="AH889">
        <v>1</v>
      </c>
    </row>
    <row r="890" spans="1:34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tr" cm="1">
        <f t="array" ref="U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V890" s="106" t="str" cm="1">
        <f t="array" ref="V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  <c r="AF890">
        <f>AVERAGE(Table1[[#This Row],[Range2_Low]:[Range2_High]])</f>
        <v>3.2500000000000001E-2</v>
      </c>
      <c r="AG890">
        <f>AVERAGE(Table1[[#This Row],[Range1_Low]:[Range1_High]])</f>
        <v>5.5000000000000003E-4</v>
      </c>
      <c r="AH890">
        <v>1</v>
      </c>
    </row>
    <row r="891" spans="1:34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tr" cm="1">
        <f t="array" ref="U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891" s="106" t="str" cm="1">
        <f t="array" ref="V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  <c r="AF891">
        <f>AVERAGE(Table1[[#This Row],[Range2_Low]:[Range2_High]])</f>
        <v>1.0500000000000001E-2</v>
      </c>
      <c r="AG891">
        <f>AVERAGE(Table1[[#This Row],[Range1_Low]:[Range1_High]])</f>
        <v>5.5000000000000003E-4</v>
      </c>
      <c r="AH891">
        <v>1</v>
      </c>
    </row>
    <row r="892" spans="1:34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tr" cm="1">
        <f t="array" ref="U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µA</v>
      </c>
      <c r="V892" t="str" cm="1">
        <f t="array" ref="V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µA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  <c r="AF892">
        <f>AVERAGE(Table1[[#This Row],[Range2_Low]:[Range2_High]])</f>
        <v>75</v>
      </c>
      <c r="AG892">
        <f>AVERAGE(Table1[[#This Row],[Range1_Low]:[Range1_High]])</f>
        <v>5.5000000000000003E-4</v>
      </c>
      <c r="AH892">
        <v>1</v>
      </c>
    </row>
    <row r="893" spans="1:34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tr" cm="1">
        <f t="array" ref="U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93" t="str" cm="1">
        <f t="array" ref="V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  <c r="AF893">
        <f>AVERAGE(Table1[[#This Row],[Range2_Low]:[Range2_High]])</f>
        <v>12.5</v>
      </c>
      <c r="AG893">
        <f>AVERAGE(Table1[[#This Row],[Range1_Low]:[Range1_High]])</f>
        <v>5.5000000000000003E-4</v>
      </c>
      <c r="AH893">
        <v>1</v>
      </c>
    </row>
    <row r="894" spans="1:34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tr" cm="1">
        <f t="array" ref="U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894" t="str" cm="1">
        <f t="array" ref="V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  <c r="AF894">
        <f>AVERAGE(Table1[[#This Row],[Range2_Low]:[Range2_High]])</f>
        <v>1.0500000000000001E-2</v>
      </c>
      <c r="AG894">
        <f>AVERAGE(Table1[[#This Row],[Range1_Low]:[Range1_High]])</f>
        <v>5.4999999999999997E-3</v>
      </c>
      <c r="AH894">
        <v>1</v>
      </c>
    </row>
    <row r="895" spans="1:34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tr" cm="1">
        <f t="array" ref="U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895" s="106" t="str" cm="1">
        <f t="array" ref="V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  <c r="AF895">
        <f>AVERAGE(Table1[[#This Row],[Range2_Low]:[Range2_High]])</f>
        <v>2.5499999999999998</v>
      </c>
      <c r="AG895">
        <f>AVERAGE(Table1[[#This Row],[Range1_Low]:[Range1_High]])</f>
        <v>5.4999999999999997E-3</v>
      </c>
      <c r="AH895">
        <v>1</v>
      </c>
    </row>
    <row r="896" spans="1:34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tr" cm="1">
        <f t="array" ref="U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896" t="str" cm="1">
        <f t="array" ref="V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  <c r="AF896">
        <f>AVERAGE(Table1[[#This Row],[Range2_Low]:[Range2_High]])</f>
        <v>3.2500000000000001E-2</v>
      </c>
      <c r="AG896">
        <f>AVERAGE(Table1[[#This Row],[Range1_Low]:[Range1_High]])</f>
        <v>5.4999999999999997E-3</v>
      </c>
      <c r="AH896">
        <v>1</v>
      </c>
    </row>
    <row r="897" spans="1:34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tr" cm="1">
        <f t="array" ref="U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897" t="str" cm="1">
        <f t="array" ref="V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  <c r="AF897">
        <f>AVERAGE(Table1[[#This Row],[Range2_Low]:[Range2_High]])</f>
        <v>7.2500000000000009E-2</v>
      </c>
      <c r="AG897">
        <f>AVERAGE(Table1[[#This Row],[Range1_Low]:[Range1_High]])</f>
        <v>5.4999999999999997E-3</v>
      </c>
      <c r="AH897">
        <v>1</v>
      </c>
    </row>
    <row r="898" spans="1:34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tr" cm="1">
        <f t="array" ref="U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898" t="str" cm="1">
        <f t="array" ref="V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  <c r="AF898">
        <f>AVERAGE(Table1[[#This Row],[Range2_Low]:[Range2_High]])</f>
        <v>75</v>
      </c>
      <c r="AG898">
        <f>AVERAGE(Table1[[#This Row],[Range1_Low]:[Range1_High]])</f>
        <v>5.4999999999999997E-3</v>
      </c>
      <c r="AH898">
        <v>1</v>
      </c>
    </row>
    <row r="899" spans="1:34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tr" cm="1">
        <f t="array" ref="U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899" t="str" cm="1">
        <f t="array" ref="V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  <c r="AF899">
        <f>AVERAGE(Table1[[#This Row],[Range2_Low]:[Range2_High]])</f>
        <v>12.5</v>
      </c>
      <c r="AG899">
        <f>AVERAGE(Table1[[#This Row],[Range1_Low]:[Range1_High]])</f>
        <v>5.4999999999999997E-3</v>
      </c>
      <c r="AH899">
        <v>1</v>
      </c>
    </row>
    <row r="900" spans="1:34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tr" cm="1">
        <f t="array" ref="U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0" t="str" cm="1">
        <f t="array" ref="V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  <c r="AF900">
        <f>AVERAGE(Table1[[#This Row],[Range2_Low]:[Range2_High]])</f>
        <v>35</v>
      </c>
      <c r="AG900">
        <f>AVERAGE(Table1[[#This Row],[Range1_Low]:[Range1_High]])</f>
        <v>5.4999999999999997E-3</v>
      </c>
      <c r="AH900">
        <v>1</v>
      </c>
    </row>
    <row r="901" spans="1:34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tr" cm="1">
        <f t="array" ref="U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01" t="str" cm="1">
        <f t="array" ref="V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  <c r="AF901">
        <f>AVERAGE(Table1[[#This Row],[Range2_Low]:[Range2_High]])</f>
        <v>7.2500000000000009E-2</v>
      </c>
      <c r="AG901">
        <f>AVERAGE(Table1[[#This Row],[Range1_Low]:[Range1_High]])</f>
        <v>5.4999999999999997E-3</v>
      </c>
      <c r="AH901">
        <v>1</v>
      </c>
    </row>
    <row r="902" spans="1:34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tr" cm="1">
        <f t="array" ref="U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2" t="str" cm="1">
        <f t="array" ref="V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  <c r="AF902">
        <f>AVERAGE(Table1[[#This Row],[Range2_Low]:[Range2_High]])</f>
        <v>75</v>
      </c>
      <c r="AG902">
        <f>AVERAGE(Table1[[#This Row],[Range1_Low]:[Range1_High]])</f>
        <v>5.4999999999999997E-3</v>
      </c>
      <c r="AH902">
        <v>1</v>
      </c>
    </row>
    <row r="903" spans="1:34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tr" cm="1">
        <f t="array" ref="U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3" t="str" cm="1">
        <f t="array" ref="V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  <c r="AF903">
        <f>AVERAGE(Table1[[#This Row],[Range2_Low]:[Range2_High]])</f>
        <v>35</v>
      </c>
      <c r="AG903">
        <f>AVERAGE(Table1[[#This Row],[Range1_Low]:[Range1_High]])</f>
        <v>5.4999999999999997E-3</v>
      </c>
      <c r="AH903">
        <v>1</v>
      </c>
    </row>
    <row r="904" spans="1:34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tr" cm="1">
        <f t="array" ref="U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4" t="str" cm="1">
        <f t="array" ref="V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  <c r="AF904">
        <f>AVERAGE(Table1[[#This Row],[Range2_Low]:[Range2_High]])</f>
        <v>1.0500000000000001E-2</v>
      </c>
      <c r="AG904">
        <f>AVERAGE(Table1[[#This Row],[Range1_Low]:[Range1_High]])</f>
        <v>5.4999999999999997E-3</v>
      </c>
      <c r="AH904">
        <v>1</v>
      </c>
    </row>
    <row r="905" spans="1:34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tr" cm="1">
        <f t="array" ref="U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05" t="str" cm="1">
        <f t="array" ref="V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  <c r="AF905">
        <f>AVERAGE(Table1[[#This Row],[Range2_Low]:[Range2_High]])</f>
        <v>3.2500000000000001E-2</v>
      </c>
      <c r="AG905">
        <f>AVERAGE(Table1[[#This Row],[Range1_Low]:[Range1_High]])</f>
        <v>5.4999999999999997E-3</v>
      </c>
      <c r="AH905">
        <v>1</v>
      </c>
    </row>
    <row r="906" spans="1:34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tr" cm="1">
        <f t="array" ref="U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906" t="str" cm="1">
        <f t="array" ref="V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  <c r="AF906">
        <f>AVERAGE(Table1[[#This Row],[Range2_Low]:[Range2_High]])</f>
        <v>12.5</v>
      </c>
      <c r="AG906">
        <f>AVERAGE(Table1[[#This Row],[Range1_Low]:[Range1_High]])</f>
        <v>5.4999999999999997E-3</v>
      </c>
      <c r="AH906">
        <v>1</v>
      </c>
    </row>
    <row r="907" spans="1:34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tr" cm="1">
        <f t="array" ref="U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07" s="106" t="str" cm="1">
        <f t="array" ref="V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  <c r="AF907">
        <f>AVERAGE(Table1[[#This Row],[Range2_Low]:[Range2_High]])</f>
        <v>2.5499999999999998</v>
      </c>
      <c r="AG907">
        <f>AVERAGE(Table1[[#This Row],[Range1_Low]:[Range1_High]])</f>
        <v>5.4999999999999997E-3</v>
      </c>
      <c r="AH907">
        <v>1</v>
      </c>
    </row>
    <row r="908" spans="1:34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tr" cm="1">
        <f t="array" ref="U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8" t="str" cm="1">
        <f t="array" ref="V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  <c r="AF908">
        <f>AVERAGE(Table1[[#This Row],[Range2_Low]:[Range2_High]])</f>
        <v>1.0500000000000001E-2</v>
      </c>
      <c r="AG908">
        <f>AVERAGE(Table1[[#This Row],[Range1_Low]:[Range1_High]])</f>
        <v>5.4999999999999997E-3</v>
      </c>
      <c r="AH908">
        <v>1</v>
      </c>
    </row>
    <row r="909" spans="1:34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tr" cm="1">
        <f t="array" ref="U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9" t="str" cm="1">
        <f t="array" ref="V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  <c r="AF909">
        <f>AVERAGE(Table1[[#This Row],[Range2_Low]:[Range2_High]])</f>
        <v>75</v>
      </c>
      <c r="AG909">
        <f>AVERAGE(Table1[[#This Row],[Range1_Low]:[Range1_High]])</f>
        <v>5.4999999999999997E-3</v>
      </c>
      <c r="AH909">
        <v>1</v>
      </c>
    </row>
    <row r="910" spans="1:34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tr" cm="1">
        <f t="array" ref="U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10" s="106" t="str" cm="1">
        <f t="array" ref="V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  <c r="AF910">
        <f>AVERAGE(Table1[[#This Row],[Range2_Low]:[Range2_High]])</f>
        <v>2.5499999999999998</v>
      </c>
      <c r="AG910">
        <f>AVERAGE(Table1[[#This Row],[Range1_Low]:[Range1_High]])</f>
        <v>5.4999999999999997E-3</v>
      </c>
      <c r="AH910">
        <v>1</v>
      </c>
    </row>
    <row r="911" spans="1:34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tr" cm="1">
        <f t="array" ref="U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11" t="str" cm="1">
        <f t="array" ref="V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  <c r="AF911">
        <f>AVERAGE(Table1[[#This Row],[Range2_Low]:[Range2_High]])</f>
        <v>35</v>
      </c>
      <c r="AG911">
        <f>AVERAGE(Table1[[#This Row],[Range1_Low]:[Range1_High]])</f>
        <v>5.4999999999999997E-3</v>
      </c>
      <c r="AH911">
        <v>1</v>
      </c>
    </row>
    <row r="912" spans="1:34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tr" cm="1">
        <f t="array" ref="U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µA</v>
      </c>
      <c r="V912" t="str" cm="1">
        <f t="array" ref="V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  <c r="AF912">
        <f>AVERAGE(Table1[[#This Row],[Range2_Low]:[Range2_High]])</f>
        <v>12.5</v>
      </c>
      <c r="AG912">
        <f>AVERAGE(Table1[[#This Row],[Range1_Low]:[Range1_High]])</f>
        <v>5.4999999999999997E-3</v>
      </c>
      <c r="AH912">
        <v>1</v>
      </c>
    </row>
    <row r="913" spans="1:34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tr" cm="1">
        <f t="array" ref="U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13" t="str" cm="1">
        <f t="array" ref="V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  <c r="AF913">
        <f>AVERAGE(Table1[[#This Row],[Range2_Low]:[Range2_High]])</f>
        <v>7.2500000000000009E-2</v>
      </c>
      <c r="AG913">
        <f>AVERAGE(Table1[[#This Row],[Range1_Low]:[Range1_High]])</f>
        <v>5.4999999999999997E-3</v>
      </c>
      <c r="AH913">
        <v>1</v>
      </c>
    </row>
    <row r="914" spans="1:34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tr" cm="1">
        <f t="array" ref="U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14" t="str" cm="1">
        <f t="array" ref="V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  <c r="AF914">
        <f>AVERAGE(Table1[[#This Row],[Range2_Low]:[Range2_High]])</f>
        <v>3.2500000000000001E-2</v>
      </c>
      <c r="AG914">
        <f>AVERAGE(Table1[[#This Row],[Range1_Low]:[Range1_High]])</f>
        <v>5.4999999999999997E-3</v>
      </c>
      <c r="AH914">
        <v>1</v>
      </c>
    </row>
    <row r="915" spans="1:34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tr" cm="1">
        <f t="array" ref="U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15" t="str" cm="1">
        <f t="array" ref="V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  <c r="AF915">
        <f>AVERAGE(Table1[[#This Row],[Range2_Low]:[Range2_High]])</f>
        <v>75</v>
      </c>
      <c r="AG915">
        <f>AVERAGE(Table1[[#This Row],[Range1_Low]:[Range1_High]])</f>
        <v>5.4999999999999997E-3</v>
      </c>
      <c r="AH915">
        <v>1</v>
      </c>
    </row>
    <row r="916" spans="1:34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06" t="str" cm="1">
        <f t="array" ref="U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µA</v>
      </c>
      <c r="V916" t="str" cm="1">
        <f t="array" ref="V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  <c r="AF916">
        <f>AVERAGE(Table1[[#This Row],[Range2_Low]:[Range2_High]])</f>
        <v>3.2500000000000001E-2</v>
      </c>
      <c r="AG916">
        <f>AVERAGE(Table1[[#This Row],[Range1_Low]:[Range1_High]])</f>
        <v>5.4999999999999997E-3</v>
      </c>
      <c r="AH916">
        <v>1</v>
      </c>
    </row>
    <row r="917" spans="1:34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tr" cm="1">
        <f t="array" ref="U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µA</v>
      </c>
      <c r="V917" t="str" cm="1">
        <f t="array" ref="V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µA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  <c r="AF917">
        <f>AVERAGE(Table1[[#This Row],[Range2_Low]:[Range2_High]])</f>
        <v>12.5</v>
      </c>
      <c r="AG917">
        <f>AVERAGE(Table1[[#This Row],[Range1_Low]:[Range1_High]])</f>
        <v>5.4999999999999997E-3</v>
      </c>
      <c r="AH917">
        <v>1</v>
      </c>
    </row>
    <row r="918" spans="1:34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tr" cm="1">
        <f t="array" ref="U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V918" t="str" cm="1">
        <f t="array" ref="V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  <c r="AF918">
        <f>AVERAGE(Table1[[#This Row],[Range2_Low]:[Range2_High]])</f>
        <v>35</v>
      </c>
      <c r="AG918">
        <f>AVERAGE(Table1[[#This Row],[Range1_Low]:[Range1_High]])</f>
        <v>5.4999999999999997E-3</v>
      </c>
      <c r="AH918">
        <v>1</v>
      </c>
    </row>
    <row r="919" spans="1:34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06" t="str" cm="1">
        <f t="array" ref="U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919" t="str" cm="1">
        <f t="array" ref="V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  <c r="AF919">
        <f>AVERAGE(Table1[[#This Row],[Range2_Low]:[Range2_High]])</f>
        <v>7.2500000000000009E-2</v>
      </c>
      <c r="AG919">
        <f>AVERAGE(Table1[[#This Row],[Range1_Low]:[Range1_High]])</f>
        <v>5.4999999999999997E-3</v>
      </c>
      <c r="AH919">
        <v>1</v>
      </c>
    </row>
    <row r="920" spans="1:34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tr" cm="1">
        <f t="array" ref="U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920" t="str" cm="1">
        <f t="array" ref="V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  <c r="AF920">
        <f>AVERAGE(Table1[[#This Row],[Range2_Low]:[Range2_High]])</f>
        <v>2.5499999999999998</v>
      </c>
      <c r="AG920">
        <f>AVERAGE(Table1[[#This Row],[Range1_Low]:[Range1_High]])</f>
        <v>5.4999999999999997E-3</v>
      </c>
      <c r="AH920">
        <v>1</v>
      </c>
    </row>
    <row r="921" spans="1:34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tr" cm="1">
        <f t="array" ref="U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µA</v>
      </c>
      <c r="V921" t="str" cm="1">
        <f t="array" ref="V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  <c r="AF921">
        <f>AVERAGE(Table1[[#This Row],[Range2_Low]:[Range2_High]])</f>
        <v>1.0500000000000001E-2</v>
      </c>
      <c r="AG921">
        <f>AVERAGE(Table1[[#This Row],[Range1_Low]:[Range1_High]])</f>
        <v>5.4999999999999997E-3</v>
      </c>
      <c r="AH921">
        <v>1</v>
      </c>
    </row>
    <row r="922" spans="1:34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tr" cm="1">
        <f t="array" ref="U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922" t="str" cm="1">
        <f t="array" ref="V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  <c r="AF922">
        <f>AVERAGE(Table1[[#This Row],[Range2_Low]:[Range2_High]])</f>
        <v>3.2500000000000001E-2</v>
      </c>
      <c r="AG922">
        <f>AVERAGE(Table1[[#This Row],[Range1_Low]:[Range1_High]])</f>
        <v>5.4999999999999997E-3</v>
      </c>
      <c r="AH922">
        <v>1</v>
      </c>
    </row>
    <row r="923" spans="1:34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tr" cm="1">
        <f t="array" ref="U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V923" t="str" cm="1">
        <f t="array" ref="V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µA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  <c r="AF923">
        <f>AVERAGE(Table1[[#This Row],[Range2_Low]:[Range2_High]])</f>
        <v>35</v>
      </c>
      <c r="AG923">
        <f>AVERAGE(Table1[[#This Row],[Range1_Low]:[Range1_High]])</f>
        <v>5.4999999999999997E-3</v>
      </c>
      <c r="AH923">
        <v>1</v>
      </c>
    </row>
    <row r="924" spans="1:34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tr" cm="1">
        <f t="array" ref="U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4" t="str" cm="1">
        <f t="array" ref="V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  <c r="AF924">
        <f>AVERAGE(Table1[[#This Row],[Range2_Low]:[Range2_High]])</f>
        <v>12.5</v>
      </c>
      <c r="AG924">
        <f>AVERAGE(Table1[[#This Row],[Range1_Low]:[Range1_High]])</f>
        <v>5.4999999999999997E-3</v>
      </c>
      <c r="AH924">
        <v>1</v>
      </c>
    </row>
    <row r="925" spans="1:34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tr" cm="1">
        <f t="array" ref="U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5" t="str" cm="1">
        <f t="array" ref="V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  <c r="AF925">
        <f>AVERAGE(Table1[[#This Row],[Range2_Low]:[Range2_High]])</f>
        <v>2.5499999999999998</v>
      </c>
      <c r="AG925">
        <f>AVERAGE(Table1[[#This Row],[Range1_Low]:[Range1_High]])</f>
        <v>5.4999999999999997E-3</v>
      </c>
      <c r="AH925">
        <v>1</v>
      </c>
    </row>
    <row r="926" spans="1:34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tr" cm="1">
        <f t="array" ref="U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µA</v>
      </c>
      <c r="V926" t="str" cm="1">
        <f t="array" ref="V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µA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  <c r="AF926">
        <f>AVERAGE(Table1[[#This Row],[Range2_Low]:[Range2_High]])</f>
        <v>75</v>
      </c>
      <c r="AG926">
        <f>AVERAGE(Table1[[#This Row],[Range1_Low]:[Range1_High]])</f>
        <v>5.4999999999999997E-3</v>
      </c>
      <c r="AH926">
        <v>1</v>
      </c>
    </row>
    <row r="927" spans="1:34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tr" cm="1">
        <f t="array" ref="U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7" t="str" cm="1">
        <f t="array" ref="V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  <c r="AF927">
        <f>AVERAGE(Table1[[#This Row],[Range2_Low]:[Range2_High]])</f>
        <v>7.2500000000000009E-2</v>
      </c>
      <c r="AG927">
        <f>AVERAGE(Table1[[#This Row],[Range1_Low]:[Range1_High]])</f>
        <v>5.4999999999999997E-3</v>
      </c>
      <c r="AH927">
        <v>1</v>
      </c>
    </row>
    <row r="928" spans="1:34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tr" cm="1">
        <f t="array" ref="U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928" t="str" cm="1">
        <f t="array" ref="V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  <c r="AF928">
        <f>AVERAGE(Table1[[#This Row],[Range2_Low]:[Range2_High]])</f>
        <v>1.0500000000000001E-2</v>
      </c>
      <c r="AG928">
        <f>AVERAGE(Table1[[#This Row],[Range1_Low]:[Range1_High]])</f>
        <v>5.4999999999999997E-3</v>
      </c>
      <c r="AH928">
        <v>1</v>
      </c>
    </row>
    <row r="929" spans="1:34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tr" cm="1">
        <f t="array" ref="U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29" t="str" cm="1">
        <f t="array" ref="V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  <c r="AF929">
        <f>AVERAGE(Table1[[#This Row],[Range2_Low]:[Range2_High]])</f>
        <v>12.5</v>
      </c>
      <c r="AG929">
        <f>AVERAGE(Table1[[#This Row],[Range1_Low]:[Range1_High]])</f>
        <v>5.5E-2</v>
      </c>
      <c r="AH929">
        <v>1</v>
      </c>
    </row>
    <row r="930" spans="1:34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tr" cm="1">
        <f t="array" ref="U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30" t="str" cm="1">
        <f t="array" ref="V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  <c r="AF930">
        <f>AVERAGE(Table1[[#This Row],[Range2_Low]:[Range2_High]])</f>
        <v>7.2500000000000009E-2</v>
      </c>
      <c r="AG930">
        <f>AVERAGE(Table1[[#This Row],[Range1_Low]:[Range1_High]])</f>
        <v>5.5E-2</v>
      </c>
      <c r="AH930">
        <v>1</v>
      </c>
    </row>
    <row r="931" spans="1:34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tr" cm="1">
        <f t="array" ref="U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1" t="str" cm="1">
        <f t="array" ref="V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  <c r="AF931">
        <f>AVERAGE(Table1[[#This Row],[Range2_Low]:[Range2_High]])</f>
        <v>3.2500000000000001E-2</v>
      </c>
      <c r="AG931">
        <f>AVERAGE(Table1[[#This Row],[Range1_Low]:[Range1_High]])</f>
        <v>5.5E-2</v>
      </c>
      <c r="AH931">
        <v>1</v>
      </c>
    </row>
    <row r="932" spans="1:34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tr" cm="1">
        <f t="array" ref="U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2" t="str" cm="1">
        <f t="array" ref="V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  <c r="AF932">
        <f>AVERAGE(Table1[[#This Row],[Range2_Low]:[Range2_High]])</f>
        <v>35</v>
      </c>
      <c r="AG932">
        <f>AVERAGE(Table1[[#This Row],[Range1_Low]:[Range1_High]])</f>
        <v>5.5E-2</v>
      </c>
      <c r="AH932">
        <v>1</v>
      </c>
    </row>
    <row r="933" spans="1:34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tr" cm="1">
        <f t="array" ref="U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3" t="str" cm="1">
        <f t="array" ref="V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  <c r="AF933">
        <f>AVERAGE(Table1[[#This Row],[Range2_Low]:[Range2_High]])</f>
        <v>2.5499999999999998</v>
      </c>
      <c r="AG933">
        <f>AVERAGE(Table1[[#This Row],[Range1_Low]:[Range1_High]])</f>
        <v>5.5E-2</v>
      </c>
      <c r="AH933">
        <v>1</v>
      </c>
    </row>
    <row r="934" spans="1:34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tr" cm="1">
        <f t="array" ref="U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34" t="str" cm="1">
        <f t="array" ref="V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  <c r="AF934">
        <f>AVERAGE(Table1[[#This Row],[Range2_Low]:[Range2_High]])</f>
        <v>1.0500000000000001E-2</v>
      </c>
      <c r="AG934">
        <f>AVERAGE(Table1[[#This Row],[Range1_Low]:[Range1_High]])</f>
        <v>5.5E-2</v>
      </c>
      <c r="AH934">
        <v>1</v>
      </c>
    </row>
    <row r="935" spans="1:34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tr" cm="1">
        <f t="array" ref="U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5" t="str" cm="1">
        <f t="array" ref="V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  <c r="AF935">
        <f>AVERAGE(Table1[[#This Row],[Range2_Low]:[Range2_High]])</f>
        <v>75</v>
      </c>
      <c r="AG935">
        <f>AVERAGE(Table1[[#This Row],[Range1_Low]:[Range1_High]])</f>
        <v>5.5E-2</v>
      </c>
      <c r="AH935">
        <v>1</v>
      </c>
    </row>
    <row r="936" spans="1:34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tr" cm="1">
        <f t="array" ref="U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6" t="str" cm="1">
        <f t="array" ref="V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  <c r="AF936">
        <f>AVERAGE(Table1[[#This Row],[Range2_Low]:[Range2_High]])</f>
        <v>75</v>
      </c>
      <c r="AG936">
        <f>AVERAGE(Table1[[#This Row],[Range1_Low]:[Range1_High]])</f>
        <v>5.5E-2</v>
      </c>
      <c r="AH936">
        <v>1</v>
      </c>
    </row>
    <row r="937" spans="1:34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tr" cm="1">
        <f t="array" ref="U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7" t="str" cm="1">
        <f t="array" ref="V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  <c r="AF937">
        <f>AVERAGE(Table1[[#This Row],[Range2_Low]:[Range2_High]])</f>
        <v>35</v>
      </c>
      <c r="AG937">
        <f>AVERAGE(Table1[[#This Row],[Range1_Low]:[Range1_High]])</f>
        <v>5.5E-2</v>
      </c>
      <c r="AH937">
        <v>1</v>
      </c>
    </row>
    <row r="938" spans="1:34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tr" cm="1">
        <f t="array" ref="U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8" t="str" cm="1">
        <f t="array" ref="V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  <c r="AF938">
        <f>AVERAGE(Table1[[#This Row],[Range2_Low]:[Range2_High]])</f>
        <v>2.5499999999999998</v>
      </c>
      <c r="AG938">
        <f>AVERAGE(Table1[[#This Row],[Range1_Low]:[Range1_High]])</f>
        <v>5.5E-2</v>
      </c>
      <c r="AH938">
        <v>1</v>
      </c>
    </row>
    <row r="939" spans="1:34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tr" cm="1">
        <f t="array" ref="U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9" t="str" cm="1">
        <f t="array" ref="V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  <c r="AF939">
        <f>AVERAGE(Table1[[#This Row],[Range2_Low]:[Range2_High]])</f>
        <v>3.2500000000000001E-2</v>
      </c>
      <c r="AG939">
        <f>AVERAGE(Table1[[#This Row],[Range1_Low]:[Range1_High]])</f>
        <v>5.5E-2</v>
      </c>
      <c r="AH939">
        <v>1</v>
      </c>
    </row>
    <row r="940" spans="1:34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tr" cm="1">
        <f t="array" ref="U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0" t="str" cm="1">
        <f t="array" ref="V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  <c r="AF940">
        <f>AVERAGE(Table1[[#This Row],[Range2_Low]:[Range2_High]])</f>
        <v>7.2500000000000009E-2</v>
      </c>
      <c r="AG940">
        <f>AVERAGE(Table1[[#This Row],[Range1_Low]:[Range1_High]])</f>
        <v>5.5E-2</v>
      </c>
      <c r="AH940">
        <v>1</v>
      </c>
    </row>
    <row r="941" spans="1:34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tr" cm="1">
        <f t="array" ref="U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1" t="str" cm="1">
        <f t="array" ref="V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  <c r="AF941">
        <f>AVERAGE(Table1[[#This Row],[Range2_Low]:[Range2_High]])</f>
        <v>1.0500000000000001E-2</v>
      </c>
      <c r="AG941">
        <f>AVERAGE(Table1[[#This Row],[Range1_Low]:[Range1_High]])</f>
        <v>5.5E-2</v>
      </c>
      <c r="AH941">
        <v>1</v>
      </c>
    </row>
    <row r="942" spans="1:34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tr" cm="1">
        <f t="array" ref="U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42" t="str" cm="1">
        <f t="array" ref="V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  <c r="AF942">
        <f>AVERAGE(Table1[[#This Row],[Range2_Low]:[Range2_High]])</f>
        <v>12.5</v>
      </c>
      <c r="AG942">
        <f>AVERAGE(Table1[[#This Row],[Range1_Low]:[Range1_High]])</f>
        <v>5.5E-2</v>
      </c>
      <c r="AH942">
        <v>1</v>
      </c>
    </row>
    <row r="943" spans="1:34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tr" cm="1">
        <f t="array" ref="U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43" t="str" cm="1">
        <f t="array" ref="V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  <c r="AF943">
        <f>AVERAGE(Table1[[#This Row],[Range2_Low]:[Range2_High]])</f>
        <v>35</v>
      </c>
      <c r="AG943">
        <f>AVERAGE(Table1[[#This Row],[Range1_Low]:[Range1_High]])</f>
        <v>5.5E-2</v>
      </c>
      <c r="AH943">
        <v>1</v>
      </c>
    </row>
    <row r="944" spans="1:34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tr" cm="1">
        <f t="array" ref="U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44" t="str" cm="1">
        <f t="array" ref="V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  <c r="AF944">
        <f>AVERAGE(Table1[[#This Row],[Range2_Low]:[Range2_High]])</f>
        <v>75</v>
      </c>
      <c r="AG944">
        <f>AVERAGE(Table1[[#This Row],[Range1_Low]:[Range1_High]])</f>
        <v>5.5E-2</v>
      </c>
      <c r="AH944">
        <v>1</v>
      </c>
    </row>
    <row r="945" spans="1:34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tr" cm="1">
        <f t="array" ref="U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µA</v>
      </c>
      <c r="V945" t="str" cm="1">
        <f t="array" ref="V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  <c r="AF945">
        <f>AVERAGE(Table1[[#This Row],[Range2_Low]:[Range2_High]])</f>
        <v>12.5</v>
      </c>
      <c r="AG945">
        <f>AVERAGE(Table1[[#This Row],[Range1_Low]:[Range1_High]])</f>
        <v>5.5E-2</v>
      </c>
      <c r="AH945">
        <v>1</v>
      </c>
    </row>
    <row r="946" spans="1:34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tr" cm="1">
        <f t="array" ref="U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46" t="str" cm="1">
        <f t="array" ref="V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  <c r="AF946">
        <f>AVERAGE(Table1[[#This Row],[Range2_Low]:[Range2_High]])</f>
        <v>2.5499999999999998</v>
      </c>
      <c r="AG946">
        <f>AVERAGE(Table1[[#This Row],[Range1_Low]:[Range1_High]])</f>
        <v>5.5E-2</v>
      </c>
      <c r="AH946">
        <v>1</v>
      </c>
    </row>
    <row r="947" spans="1:34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tr" cm="1">
        <f t="array" ref="U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47" t="str" cm="1">
        <f t="array" ref="V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  <c r="AF947">
        <f>AVERAGE(Table1[[#This Row],[Range2_Low]:[Range2_High]])</f>
        <v>3.2500000000000001E-2</v>
      </c>
      <c r="AG947">
        <f>AVERAGE(Table1[[#This Row],[Range1_Low]:[Range1_High]])</f>
        <v>5.5E-2</v>
      </c>
      <c r="AH947">
        <v>1</v>
      </c>
    </row>
    <row r="948" spans="1:34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tr" cm="1">
        <f t="array" ref="U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8" t="str" cm="1">
        <f t="array" ref="V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  <c r="AF948">
        <f>AVERAGE(Table1[[#This Row],[Range2_Low]:[Range2_High]])</f>
        <v>1.0500000000000001E-2</v>
      </c>
      <c r="AG948">
        <f>AVERAGE(Table1[[#This Row],[Range1_Low]:[Range1_High]])</f>
        <v>5.5E-2</v>
      </c>
      <c r="AH948">
        <v>1</v>
      </c>
    </row>
    <row r="949" spans="1:34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tr" cm="1">
        <f t="array" ref="U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9" t="str" cm="1">
        <f t="array" ref="V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  <c r="AF949">
        <f>AVERAGE(Table1[[#This Row],[Range2_Low]:[Range2_High]])</f>
        <v>7.2500000000000009E-2</v>
      </c>
      <c r="AG949">
        <f>AVERAGE(Table1[[#This Row],[Range1_Low]:[Range1_High]])</f>
        <v>5.5E-2</v>
      </c>
      <c r="AH949">
        <v>1</v>
      </c>
    </row>
    <row r="950" spans="1:34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tr" cm="1">
        <f t="array" ref="U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V950" t="str" cm="1">
        <f t="array" ref="V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  <c r="AF950">
        <f>AVERAGE(Table1[[#This Row],[Range2_Low]:[Range2_High]])</f>
        <v>3.2500000000000001E-2</v>
      </c>
      <c r="AG950">
        <f>AVERAGE(Table1[[#This Row],[Range1_Low]:[Range1_High]])</f>
        <v>5.5E-2</v>
      </c>
      <c r="AH950">
        <v>1</v>
      </c>
    </row>
    <row r="951" spans="1:34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tr" cm="1">
        <f t="array" ref="U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µA</v>
      </c>
      <c r="V951" t="str" cm="1">
        <f t="array" ref="V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µA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  <c r="AF951">
        <f>AVERAGE(Table1[[#This Row],[Range2_Low]:[Range2_High]])</f>
        <v>75</v>
      </c>
      <c r="AG951">
        <f>AVERAGE(Table1[[#This Row],[Range1_Low]:[Range1_High]])</f>
        <v>5.5E-2</v>
      </c>
      <c r="AH951">
        <v>1</v>
      </c>
    </row>
    <row r="952" spans="1:34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tr" cm="1">
        <f t="array" ref="U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V952" t="str" cm="1">
        <f t="array" ref="V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  <c r="AF952">
        <f>AVERAGE(Table1[[#This Row],[Range2_Low]:[Range2_High]])</f>
        <v>12.5</v>
      </c>
      <c r="AG952">
        <f>AVERAGE(Table1[[#This Row],[Range1_Low]:[Range1_High]])</f>
        <v>5.5E-2</v>
      </c>
      <c r="AH952">
        <v>1</v>
      </c>
    </row>
    <row r="953" spans="1:34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tr" cm="1">
        <f t="array" ref="U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953" t="str" cm="1">
        <f t="array" ref="V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µA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  <c r="AF953">
        <f>AVERAGE(Table1[[#This Row],[Range2_Low]:[Range2_High]])</f>
        <v>2.5499999999999998</v>
      </c>
      <c r="AG953">
        <f>AVERAGE(Table1[[#This Row],[Range1_Low]:[Range1_High]])</f>
        <v>5.5E-2</v>
      </c>
      <c r="AH953">
        <v>1</v>
      </c>
    </row>
    <row r="954" spans="1:34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tr" cm="1">
        <f t="array" ref="U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µA</v>
      </c>
      <c r="V954" t="str" cm="1">
        <f t="array" ref="V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µA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  <c r="AF954">
        <f>AVERAGE(Table1[[#This Row],[Range2_Low]:[Range2_High]])</f>
        <v>35</v>
      </c>
      <c r="AG954">
        <f>AVERAGE(Table1[[#This Row],[Range1_Low]:[Range1_High]])</f>
        <v>5.5E-2</v>
      </c>
      <c r="AH954">
        <v>1</v>
      </c>
    </row>
    <row r="955" spans="1:34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tr" cm="1">
        <f t="array" ref="U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µA</v>
      </c>
      <c r="V955" t="str" cm="1">
        <f t="array" ref="V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  <c r="AF955">
        <f>AVERAGE(Table1[[#This Row],[Range2_Low]:[Range2_High]])</f>
        <v>7.2500000000000009E-2</v>
      </c>
      <c r="AG955">
        <f>AVERAGE(Table1[[#This Row],[Range1_Low]:[Range1_High]])</f>
        <v>5.5E-2</v>
      </c>
      <c r="AH955">
        <v>1</v>
      </c>
    </row>
    <row r="956" spans="1:34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tr" cm="1">
        <f t="array" ref="U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µA</v>
      </c>
      <c r="V956" t="str" cm="1">
        <f t="array" ref="V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µA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  <c r="AF956">
        <f>AVERAGE(Table1[[#This Row],[Range2_Low]:[Range2_High]])</f>
        <v>1.0500000000000001E-2</v>
      </c>
      <c r="AG956">
        <f>AVERAGE(Table1[[#This Row],[Range1_Low]:[Range1_High]])</f>
        <v>5.5E-2</v>
      </c>
      <c r="AH956">
        <v>1</v>
      </c>
    </row>
    <row r="957" spans="1:34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tr" cm="1">
        <f t="array" ref="U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V957" t="str" cm="1">
        <f t="array" ref="V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µA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  <c r="AF957">
        <f>AVERAGE(Table1[[#This Row],[Range2_Low]:[Range2_High]])</f>
        <v>35</v>
      </c>
      <c r="AG957">
        <f>AVERAGE(Table1[[#This Row],[Range1_Low]:[Range1_High]])</f>
        <v>5.5E-2</v>
      </c>
      <c r="AH957">
        <v>1</v>
      </c>
    </row>
    <row r="958" spans="1:34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tr" cm="1">
        <f t="array" ref="U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958" t="str" cm="1">
        <f t="array" ref="V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  <c r="AF958">
        <f>AVERAGE(Table1[[#This Row],[Range2_Low]:[Range2_High]])</f>
        <v>75</v>
      </c>
      <c r="AG958">
        <f>AVERAGE(Table1[[#This Row],[Range1_Low]:[Range1_High]])</f>
        <v>5.5E-2</v>
      </c>
      <c r="AH958">
        <v>1</v>
      </c>
    </row>
    <row r="959" spans="1:34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tr" cm="1">
        <f t="array" ref="U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V959" t="str" cm="1">
        <f t="array" ref="V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  <c r="AF959">
        <f>AVERAGE(Table1[[#This Row],[Range2_Low]:[Range2_High]])</f>
        <v>3.2500000000000001E-2</v>
      </c>
      <c r="AG959">
        <f>AVERAGE(Table1[[#This Row],[Range1_Low]:[Range1_High]])</f>
        <v>5.5E-2</v>
      </c>
      <c r="AH959">
        <v>1</v>
      </c>
    </row>
    <row r="960" spans="1:34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tr" cm="1">
        <f t="array" ref="U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0" t="str" cm="1">
        <f t="array" ref="V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  <c r="AF960">
        <f>AVERAGE(Table1[[#This Row],[Range2_Low]:[Range2_High]])</f>
        <v>12.5</v>
      </c>
      <c r="AG960">
        <f>AVERAGE(Table1[[#This Row],[Range1_Low]:[Range1_High]])</f>
        <v>5.5E-2</v>
      </c>
      <c r="AH960">
        <v>1</v>
      </c>
    </row>
    <row r="961" spans="1:34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tr" cm="1">
        <f t="array" ref="U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1" t="str" cm="1">
        <f t="array" ref="V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  <c r="AF961">
        <f>AVERAGE(Table1[[#This Row],[Range2_Low]:[Range2_High]])</f>
        <v>7.2500000000000009E-2</v>
      </c>
      <c r="AG961">
        <f>AVERAGE(Table1[[#This Row],[Range1_Low]:[Range1_High]])</f>
        <v>5.5E-2</v>
      </c>
      <c r="AH961">
        <v>1</v>
      </c>
    </row>
    <row r="962" spans="1:34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tr" cm="1">
        <f t="array" ref="U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2" t="str" cm="1">
        <f t="array" ref="V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  <c r="AF962">
        <f>AVERAGE(Table1[[#This Row],[Range2_Low]:[Range2_High]])</f>
        <v>2.5499999999999998</v>
      </c>
      <c r="AG962">
        <f>AVERAGE(Table1[[#This Row],[Range1_Low]:[Range1_High]])</f>
        <v>5.5E-2</v>
      </c>
      <c r="AH962">
        <v>1</v>
      </c>
    </row>
    <row r="963" spans="1:34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tr" cm="1">
        <f t="array" ref="U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V963" t="str" cm="1">
        <f t="array" ref="V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µA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  <c r="AF963">
        <f>AVERAGE(Table1[[#This Row],[Range2_Low]:[Range2_High]])</f>
        <v>1.0500000000000001E-2</v>
      </c>
      <c r="AG963">
        <f>AVERAGE(Table1[[#This Row],[Range1_Low]:[Range1_High]])</f>
        <v>5.5E-2</v>
      </c>
      <c r="AH963">
        <v>1</v>
      </c>
    </row>
    <row r="964" spans="1:34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06" t="str" cm="1">
        <f t="array" ref="U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64" t="str" cm="1">
        <f t="array" ref="V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  <c r="AF964">
        <f>AVERAGE(Table1[[#This Row],[Range2_Low]:[Range2_High]])</f>
        <v>3.2500000000000001E-2</v>
      </c>
      <c r="AG964">
        <f>AVERAGE(Table1[[#This Row],[Range1_Low]:[Range1_High]])</f>
        <v>0.55000000000000004</v>
      </c>
      <c r="AH964">
        <v>1</v>
      </c>
    </row>
    <row r="965" spans="1:34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tr" cm="1">
        <f t="array" ref="U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65" t="str" cm="1">
        <f t="array" ref="V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  <c r="AF965">
        <f>AVERAGE(Table1[[#This Row],[Range2_Low]:[Range2_High]])</f>
        <v>7.2500000000000009E-2</v>
      </c>
      <c r="AG965">
        <f>AVERAGE(Table1[[#This Row],[Range1_Low]:[Range1_High]])</f>
        <v>0.55000000000000004</v>
      </c>
      <c r="AH965">
        <v>1</v>
      </c>
    </row>
    <row r="966" spans="1:34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tr" cm="1">
        <f t="array" ref="U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66" t="str" cm="1">
        <f t="array" ref="V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  <c r="AF966">
        <f>AVERAGE(Table1[[#This Row],[Range2_Low]:[Range2_High]])</f>
        <v>12.5</v>
      </c>
      <c r="AG966">
        <f>AVERAGE(Table1[[#This Row],[Range1_Low]:[Range1_High]])</f>
        <v>0.55000000000000004</v>
      </c>
      <c r="AH966">
        <v>1</v>
      </c>
    </row>
    <row r="967" spans="1:34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tr" cm="1">
        <f t="array" ref="U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67" t="str" cm="1">
        <f t="array" ref="V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  <c r="AF967">
        <f>AVERAGE(Table1[[#This Row],[Range2_Low]:[Range2_High]])</f>
        <v>1.0500000000000001E-2</v>
      </c>
      <c r="AG967">
        <f>AVERAGE(Table1[[#This Row],[Range1_Low]:[Range1_High]])</f>
        <v>0.55000000000000004</v>
      </c>
      <c r="AH967">
        <v>1</v>
      </c>
    </row>
    <row r="968" spans="1:34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tr" cm="1">
        <f t="array" ref="U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68" t="str" cm="1">
        <f t="array" ref="V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  <c r="AF968">
        <f>AVERAGE(Table1[[#This Row],[Range2_Low]:[Range2_High]])</f>
        <v>2.5499999999999998</v>
      </c>
      <c r="AG968">
        <f>AVERAGE(Table1[[#This Row],[Range1_Low]:[Range1_High]])</f>
        <v>0.55000000000000004</v>
      </c>
      <c r="AH968">
        <v>1</v>
      </c>
    </row>
    <row r="969" spans="1:34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tr" cm="1">
        <f t="array" ref="U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69" t="str" cm="1">
        <f t="array" ref="V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  <c r="AF969">
        <f>AVERAGE(Table1[[#This Row],[Range2_Low]:[Range2_High]])</f>
        <v>35</v>
      </c>
      <c r="AG969">
        <f>AVERAGE(Table1[[#This Row],[Range1_Low]:[Range1_High]])</f>
        <v>0.55000000000000004</v>
      </c>
      <c r="AH969">
        <v>1</v>
      </c>
    </row>
    <row r="970" spans="1:34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tr" cm="1">
        <f t="array" ref="U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70" t="str" cm="1">
        <f t="array" ref="V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  <c r="AF970">
        <f>AVERAGE(Table1[[#This Row],[Range2_Low]:[Range2_High]])</f>
        <v>12.5</v>
      </c>
      <c r="AG970">
        <f>AVERAGE(Table1[[#This Row],[Range1_Low]:[Range1_High]])</f>
        <v>0.55000000000000004</v>
      </c>
      <c r="AH970">
        <v>1</v>
      </c>
    </row>
    <row r="971" spans="1:34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tr" cm="1">
        <f t="array" ref="U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1" t="str" cm="1">
        <f t="array" ref="V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  <c r="AF971">
        <f>AVERAGE(Table1[[#This Row],[Range2_Low]:[Range2_High]])</f>
        <v>1.0500000000000001E-2</v>
      </c>
      <c r="AG971">
        <f>AVERAGE(Table1[[#This Row],[Range1_Low]:[Range1_High]])</f>
        <v>0.55000000000000004</v>
      </c>
      <c r="AH971">
        <v>1</v>
      </c>
    </row>
    <row r="972" spans="1:34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tr" cm="1">
        <f t="array" ref="U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72" t="str" cm="1">
        <f t="array" ref="V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  <c r="AF972">
        <f>AVERAGE(Table1[[#This Row],[Range2_Low]:[Range2_High]])</f>
        <v>7.2500000000000009E-2</v>
      </c>
      <c r="AG972">
        <f>AVERAGE(Table1[[#This Row],[Range1_Low]:[Range1_High]])</f>
        <v>0.55000000000000004</v>
      </c>
      <c r="AH972">
        <v>1</v>
      </c>
    </row>
    <row r="973" spans="1:34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06" t="str" cm="1">
        <f t="array" ref="U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3" t="str" cm="1">
        <f t="array" ref="V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  <c r="AF973">
        <f>AVERAGE(Table1[[#This Row],[Range2_Low]:[Range2_High]])</f>
        <v>3.2500000000000001E-2</v>
      </c>
      <c r="AG973">
        <f>AVERAGE(Table1[[#This Row],[Range1_Low]:[Range1_High]])</f>
        <v>0.55000000000000004</v>
      </c>
      <c r="AH973">
        <v>1</v>
      </c>
    </row>
    <row r="974" spans="1:34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tr" cm="1">
        <f t="array" ref="U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4" t="str" cm="1">
        <f t="array" ref="V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  <c r="AF974">
        <f>AVERAGE(Table1[[#This Row],[Range2_Low]:[Range2_High]])</f>
        <v>2.5499999999999998</v>
      </c>
      <c r="AG974">
        <f>AVERAGE(Table1[[#This Row],[Range1_Low]:[Range1_High]])</f>
        <v>0.55000000000000004</v>
      </c>
      <c r="AH974">
        <v>1</v>
      </c>
    </row>
    <row r="975" spans="1:34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tr" cm="1">
        <f t="array" ref="U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5" t="str" cm="1">
        <f t="array" ref="V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  <c r="AF975">
        <f>AVERAGE(Table1[[#This Row],[Range2_Low]:[Range2_High]])</f>
        <v>35</v>
      </c>
      <c r="AG975">
        <f>AVERAGE(Table1[[#This Row],[Range1_Low]:[Range1_High]])</f>
        <v>0.55000000000000004</v>
      </c>
      <c r="AH975">
        <v>1</v>
      </c>
    </row>
    <row r="976" spans="1:34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tr" cm="1">
        <f t="array" ref="U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6" t="str" cm="1">
        <f t="array" ref="V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  <c r="AF976">
        <f>AVERAGE(Table1[[#This Row],[Range2_Low]:[Range2_High]])</f>
        <v>1.0500000000000001E-2</v>
      </c>
      <c r="AG976">
        <f>AVERAGE(Table1[[#This Row],[Range1_Low]:[Range1_High]])</f>
        <v>0.55000000000000004</v>
      </c>
      <c r="AH976">
        <v>1</v>
      </c>
    </row>
    <row r="977" spans="1:34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06" t="str" cm="1">
        <f t="array" ref="U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7" t="str" cm="1">
        <f t="array" ref="V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  <c r="AF977">
        <f>AVERAGE(Table1[[#This Row],[Range2_Low]:[Range2_High]])</f>
        <v>3.2500000000000001E-2</v>
      </c>
      <c r="AG977">
        <f>AVERAGE(Table1[[#This Row],[Range1_Low]:[Range1_High]])</f>
        <v>0.55000000000000004</v>
      </c>
      <c r="AH977">
        <v>1</v>
      </c>
    </row>
    <row r="978" spans="1:34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tr" cm="1">
        <f t="array" ref="U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8" t="str" cm="1">
        <f t="array" ref="V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  <c r="AF978">
        <f>AVERAGE(Table1[[#This Row],[Range2_Low]:[Range2_High]])</f>
        <v>35</v>
      </c>
      <c r="AG978">
        <f>AVERAGE(Table1[[#This Row],[Range1_Low]:[Range1_High]])</f>
        <v>0.55000000000000004</v>
      </c>
      <c r="AH978">
        <v>1</v>
      </c>
    </row>
    <row r="979" spans="1:34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tr" cm="1">
        <f t="array" ref="U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9" t="str" cm="1">
        <f t="array" ref="V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  <c r="AF979">
        <f>AVERAGE(Table1[[#This Row],[Range2_Low]:[Range2_High]])</f>
        <v>2.5499999999999998</v>
      </c>
      <c r="AG979">
        <f>AVERAGE(Table1[[#This Row],[Range1_Low]:[Range1_High]])</f>
        <v>0.55000000000000004</v>
      </c>
      <c r="AH979">
        <v>1</v>
      </c>
    </row>
    <row r="980" spans="1:34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tr" cm="1">
        <f t="array" ref="U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80" t="str" cm="1">
        <f t="array" ref="V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  <c r="AF980">
        <f>AVERAGE(Table1[[#This Row],[Range2_Low]:[Range2_High]])</f>
        <v>7.2500000000000009E-2</v>
      </c>
      <c r="AG980">
        <f>AVERAGE(Table1[[#This Row],[Range1_Low]:[Range1_High]])</f>
        <v>0.55000000000000004</v>
      </c>
      <c r="AH980">
        <v>1</v>
      </c>
    </row>
    <row r="981" spans="1:34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tr" cm="1">
        <f t="array" ref="U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81" t="str" cm="1">
        <f t="array" ref="V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  <c r="AF981">
        <f>AVERAGE(Table1[[#This Row],[Range2_Low]:[Range2_High]])</f>
        <v>12.5</v>
      </c>
      <c r="AG981">
        <f>AVERAGE(Table1[[#This Row],[Range1_Low]:[Range1_High]])</f>
        <v>0.55000000000000004</v>
      </c>
      <c r="AH981">
        <v>1</v>
      </c>
    </row>
    <row r="982" spans="1:34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tr" cm="1">
        <f t="array" ref="U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mA</v>
      </c>
      <c r="V982" t="str" cm="1">
        <f t="array" ref="V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  <c r="AF982">
        <f>AVERAGE(Table1[[#This Row],[Range2_Low]:[Range2_High]])</f>
        <v>7.2500000000000009E-2</v>
      </c>
      <c r="AG982">
        <f>AVERAGE(Table1[[#This Row],[Range1_Low]:[Range1_High]])</f>
        <v>0.55000000000000004</v>
      </c>
      <c r="AH982">
        <v>1</v>
      </c>
    </row>
    <row r="983" spans="1:34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tr" cm="1">
        <f t="array" ref="U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mA</v>
      </c>
      <c r="V983" t="str" cm="1">
        <f t="array" ref="V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  <c r="AF983">
        <f>AVERAGE(Table1[[#This Row],[Range2_Low]:[Range2_High]])</f>
        <v>2.5499999999999998</v>
      </c>
      <c r="AG983">
        <f>AVERAGE(Table1[[#This Row],[Range1_Low]:[Range1_High]])</f>
        <v>0.55000000000000004</v>
      </c>
      <c r="AH983">
        <v>1</v>
      </c>
    </row>
    <row r="984" spans="1:34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tr" cm="1">
        <f t="array" ref="U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V984" t="str" cm="1">
        <f t="array" ref="V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mA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  <c r="AF984">
        <f>AVERAGE(Table1[[#This Row],[Range2_Low]:[Range2_High]])</f>
        <v>1.0500000000000001E-2</v>
      </c>
      <c r="AG984">
        <f>AVERAGE(Table1[[#This Row],[Range1_Low]:[Range1_High]])</f>
        <v>0.55000000000000004</v>
      </c>
      <c r="AH984">
        <v>1</v>
      </c>
    </row>
    <row r="985" spans="1:34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tr" cm="1">
        <f t="array" ref="U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985" t="str" cm="1">
        <f t="array" ref="V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  <c r="AF985">
        <f>AVERAGE(Table1[[#This Row],[Range2_Low]:[Range2_High]])</f>
        <v>3.2500000000000001E-2</v>
      </c>
      <c r="AG985">
        <f>AVERAGE(Table1[[#This Row],[Range1_Low]:[Range1_High]])</f>
        <v>0.55000000000000004</v>
      </c>
      <c r="AH985">
        <v>1</v>
      </c>
    </row>
    <row r="986" spans="1:34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tr" cm="1">
        <f t="array" ref="U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86" t="str" cm="1">
        <f t="array" ref="V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  <c r="AF986">
        <f>AVERAGE(Table1[[#This Row],[Range2_Low]:[Range2_High]])</f>
        <v>35</v>
      </c>
      <c r="AG986">
        <f>AVERAGE(Table1[[#This Row],[Range1_Low]:[Range1_High]])</f>
        <v>0.55000000000000004</v>
      </c>
      <c r="AH986">
        <v>1</v>
      </c>
    </row>
    <row r="987" spans="1:34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tr" cm="1">
        <f t="array" ref="U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987" t="str" cm="1">
        <f t="array" ref="V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mA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  <c r="AF987">
        <f>AVERAGE(Table1[[#This Row],[Range2_Low]:[Range2_High]])</f>
        <v>12.5</v>
      </c>
      <c r="AG987">
        <f>AVERAGE(Table1[[#This Row],[Range1_Low]:[Range1_High]])</f>
        <v>0.55000000000000004</v>
      </c>
      <c r="AH987">
        <v>1</v>
      </c>
    </row>
    <row r="988" spans="1:34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tr" cm="1">
        <f t="array" ref="U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V988" s="106" t="str" cm="1">
        <f t="array" ref="V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  <c r="AF988">
        <f>AVERAGE(Table1[[#This Row],[Range2_Low]:[Range2_High]])</f>
        <v>35</v>
      </c>
      <c r="AG988">
        <f>AVERAGE(Table1[[#This Row],[Range1_Low]:[Range1_High]])</f>
        <v>0.55000000000000004</v>
      </c>
      <c r="AH988">
        <v>1</v>
      </c>
    </row>
    <row r="989" spans="1:34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tr" cm="1">
        <f t="array" ref="U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mA</v>
      </c>
      <c r="V989" t="str" cm="1">
        <f t="array" ref="V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  <c r="AF989">
        <f>AVERAGE(Table1[[#This Row],[Range2_Low]:[Range2_High]])</f>
        <v>12.5</v>
      </c>
      <c r="AG989">
        <f>AVERAGE(Table1[[#This Row],[Range1_Low]:[Range1_High]])</f>
        <v>0.55000000000000004</v>
      </c>
      <c r="AH989">
        <v>1</v>
      </c>
    </row>
    <row r="990" spans="1:34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tr" cm="1">
        <f t="array" ref="U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990" s="106" t="str" cm="1">
        <f t="array" ref="V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  <c r="AF990">
        <f>AVERAGE(Table1[[#This Row],[Range2_Low]:[Range2_High]])</f>
        <v>3.2500000000000001E-2</v>
      </c>
      <c r="AG990">
        <f>AVERAGE(Table1[[#This Row],[Range1_Low]:[Range1_High]])</f>
        <v>0.55000000000000004</v>
      </c>
      <c r="AH990">
        <v>1</v>
      </c>
    </row>
    <row r="991" spans="1:34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tr" cm="1">
        <f t="array" ref="U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1" t="str" cm="1">
        <f t="array" ref="V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  <c r="AF991">
        <f>AVERAGE(Table1[[#This Row],[Range2_Low]:[Range2_High]])</f>
        <v>7.2500000000000009E-2</v>
      </c>
      <c r="AG991">
        <f>AVERAGE(Table1[[#This Row],[Range1_Low]:[Range1_High]])</f>
        <v>0.55000000000000004</v>
      </c>
      <c r="AH991">
        <v>1</v>
      </c>
    </row>
    <row r="992" spans="1:34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tr" cm="1">
        <f t="array" ref="U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2" t="str" cm="1">
        <f t="array" ref="V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  <c r="AF992">
        <f>AVERAGE(Table1[[#This Row],[Range2_Low]:[Range2_High]])</f>
        <v>2.5499999999999998</v>
      </c>
      <c r="AG992">
        <f>AVERAGE(Table1[[#This Row],[Range1_Low]:[Range1_High]])</f>
        <v>0.55000000000000004</v>
      </c>
      <c r="AH992">
        <v>1</v>
      </c>
    </row>
    <row r="993" spans="1:34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tr" cm="1">
        <f t="array" ref="U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mA</v>
      </c>
      <c r="V993" s="106" t="str" cm="1">
        <f t="array" ref="V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  <c r="AF993">
        <f>AVERAGE(Table1[[#This Row],[Range2_Low]:[Range2_High]])</f>
        <v>1.0500000000000001E-2</v>
      </c>
      <c r="AG993">
        <f>AVERAGE(Table1[[#This Row],[Range1_Low]:[Range1_High]])</f>
        <v>0.55000000000000004</v>
      </c>
      <c r="AH993">
        <v>1</v>
      </c>
    </row>
    <row r="994" spans="1:34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06" t="str" cm="1">
        <f t="array" ref="U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4" t="str" cm="1">
        <f t="array" ref="V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  <c r="AF994">
        <f>AVERAGE(Table1[[#This Row],[Range2_Low]:[Range2_High]])</f>
        <v>2.5500000000000002E-2</v>
      </c>
      <c r="AG994">
        <f>AVERAGE(Table1[[#This Row],[Range1_Low]:[Range1_High]])</f>
        <v>5.5</v>
      </c>
      <c r="AH994">
        <v>1</v>
      </c>
    </row>
    <row r="995" spans="1:34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06" t="str" cm="1">
        <f t="array" ref="U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5" s="106" t="str" cm="1">
        <f t="array" ref="V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  <c r="AF995">
        <f>AVERAGE(Table1[[#This Row],[Range2_Low]:[Range2_High]])</f>
        <v>3</v>
      </c>
      <c r="AG995">
        <f>AVERAGE(Table1[[#This Row],[Range1_Low]:[Range1_High]])</f>
        <v>5.5</v>
      </c>
      <c r="AH995">
        <v>1</v>
      </c>
    </row>
    <row r="996" spans="1:34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tr" cm="1">
        <f t="array" ref="U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6" t="str" cm="1">
        <f t="array" ref="V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  <c r="AF996">
        <f>AVERAGE(Table1[[#This Row],[Range2_Low]:[Range2_High]])</f>
        <v>0.52500000000000002</v>
      </c>
      <c r="AG996">
        <f>AVERAGE(Table1[[#This Row],[Range1_Low]:[Range1_High]])</f>
        <v>5.5</v>
      </c>
      <c r="AH996">
        <v>1</v>
      </c>
    </row>
    <row r="997" spans="1:34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06" t="str" cm="1">
        <f t="array" ref="U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7" s="106" t="str" cm="1">
        <f t="array" ref="V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  <c r="AF997">
        <f>AVERAGE(Table1[[#This Row],[Range2_Low]:[Range2_High]])</f>
        <v>3</v>
      </c>
      <c r="AG997">
        <f>AVERAGE(Table1[[#This Row],[Range1_Low]:[Range1_High]])</f>
        <v>5.5</v>
      </c>
      <c r="AH997">
        <v>1</v>
      </c>
    </row>
    <row r="998" spans="1:34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tr" cm="1">
        <f t="array" ref="U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8" t="str" cm="1">
        <f t="array" ref="V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  <c r="AF998">
        <f>AVERAGE(Table1[[#This Row],[Range2_Low]:[Range2_High]])</f>
        <v>0.52500000000000002</v>
      </c>
      <c r="AG998">
        <f>AVERAGE(Table1[[#This Row],[Range1_Low]:[Range1_High]])</f>
        <v>5.5</v>
      </c>
      <c r="AH998">
        <v>1</v>
      </c>
    </row>
    <row r="999" spans="1:34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06" t="str" cm="1">
        <f t="array" ref="U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9" t="str" cm="1">
        <f t="array" ref="V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  <c r="AF999">
        <f>AVERAGE(Table1[[#This Row],[Range2_Low]:[Range2_High]])</f>
        <v>2.5500000000000002E-2</v>
      </c>
      <c r="AG999">
        <f>AVERAGE(Table1[[#This Row],[Range1_Low]:[Range1_High]])</f>
        <v>5.5</v>
      </c>
      <c r="AH999">
        <v>1</v>
      </c>
    </row>
    <row r="1000" spans="1:34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tr" cm="1">
        <f t="array" ref="U1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1000" t="str" cm="1">
        <f t="array" ref="V1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  <c r="AF1000">
        <f>AVERAGE(Table1[[#This Row],[Range2_Low]:[Range2_High]])</f>
        <v>0.52500000000000002</v>
      </c>
      <c r="AG1000">
        <f>AVERAGE(Table1[[#This Row],[Range1_Low]:[Range1_High]])</f>
        <v>5.5</v>
      </c>
      <c r="AH1000">
        <v>1</v>
      </c>
    </row>
    <row r="1001" spans="1:34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tr" cm="1">
        <f t="array" ref="U1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mA</v>
      </c>
      <c r="V1001" s="106" t="str" cm="1">
        <f t="array" ref="V1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  <c r="AF1001">
        <f>AVERAGE(Table1[[#This Row],[Range2_Low]:[Range2_High]])</f>
        <v>3</v>
      </c>
      <c r="AG1001">
        <f>AVERAGE(Table1[[#This Row],[Range1_Low]:[Range1_High]])</f>
        <v>5.5</v>
      </c>
      <c r="AH1001">
        <v>1</v>
      </c>
    </row>
    <row r="1002" spans="1:34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tr" cm="1">
        <f t="array" ref="U1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1002" t="str" cm="1">
        <f t="array" ref="V1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  <c r="AF1002">
        <f>AVERAGE(Table1[[#This Row],[Range2_Low]:[Range2_High]])</f>
        <v>2.5500000000000002E-2</v>
      </c>
      <c r="AG1002">
        <f>AVERAGE(Table1[[#This Row],[Range1_Low]:[Range1_High]])</f>
        <v>5.5</v>
      </c>
      <c r="AH1002">
        <v>1</v>
      </c>
    </row>
    <row r="1003" spans="1:34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tr" cm="1">
        <f t="array" ref="U1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3" s="106" t="str" cm="1">
        <f t="array" ref="V1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  <c r="AF1003">
        <f>AVERAGE(Table1[[#This Row],[Range2_Low]:[Range2_High]])</f>
        <v>0.52500000000000002</v>
      </c>
      <c r="AG1003">
        <f>AVERAGE(Table1[[#This Row],[Range1_Low]:[Range1_High]])</f>
        <v>5.5</v>
      </c>
      <c r="AH1003">
        <v>1</v>
      </c>
    </row>
    <row r="1004" spans="1:34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tr" cm="1">
        <f t="array" ref="U1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mA</v>
      </c>
      <c r="V1004" t="str" cm="1">
        <f t="array" ref="V1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mA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  <c r="AF1004">
        <f>AVERAGE(Table1[[#This Row],[Range2_Low]:[Range2_High]])</f>
        <v>3</v>
      </c>
      <c r="AG1004">
        <f>AVERAGE(Table1[[#This Row],[Range1_Low]:[Range1_High]])</f>
        <v>5.5</v>
      </c>
      <c r="AH1004">
        <v>1</v>
      </c>
    </row>
    <row r="1005" spans="1:34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tr" cm="1">
        <f t="array" ref="U1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5" t="str" cm="1">
        <f t="array" ref="V1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  <c r="AF1005">
        <f>AVERAGE(Table1[[#This Row],[Range2_Low]:[Range2_High]])</f>
        <v>2.5500000000000002E-2</v>
      </c>
      <c r="AG1005">
        <f>AVERAGE(Table1[[#This Row],[Range1_Low]:[Range1_High]])</f>
        <v>5.5</v>
      </c>
      <c r="AH1005">
        <v>1</v>
      </c>
    </row>
    <row r="1006" spans="1:34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tr" cm="1">
        <f t="array" ref="U1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6" t="str" cm="1">
        <f t="array" ref="V1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  <c r="AF1006">
        <f>AVERAGE(Table1[[#This Row],[Range2_Low]:[Range2_High]])</f>
        <v>0.52500000000000002</v>
      </c>
      <c r="AG1006">
        <f>AVERAGE(Table1[[#This Row],[Range1_Low]:[Range1_High]])</f>
        <v>5.5</v>
      </c>
      <c r="AH1006">
        <v>1</v>
      </c>
    </row>
    <row r="1007" spans="1:34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tr" cm="1">
        <f t="array" ref="U1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7" t="str" cm="1">
        <f t="array" ref="V1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  <c r="AF1007">
        <f>AVERAGE(Table1[[#This Row],[Range2_Low]:[Range2_High]])</f>
        <v>3</v>
      </c>
      <c r="AG1007">
        <f>AVERAGE(Table1[[#This Row],[Range1_Low]:[Range1_High]])</f>
        <v>5.5</v>
      </c>
      <c r="AH1007">
        <v>1</v>
      </c>
    </row>
    <row r="1008" spans="1:34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tr" cm="1">
        <f t="array" ref="U1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8" t="str" cm="1">
        <f t="array" ref="V1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  <c r="AF1008">
        <f>AVERAGE(Table1[[#This Row],[Range2_Low]:[Range2_High]])</f>
        <v>2.5500000000000002E-2</v>
      </c>
      <c r="AG1008">
        <f>AVERAGE(Table1[[#This Row],[Range1_Low]:[Range1_High]])</f>
        <v>5.5</v>
      </c>
      <c r="AH1008">
        <v>1</v>
      </c>
    </row>
    <row r="1009" spans="1:34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tr" cm="1">
        <f t="array" ref="U1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09" t="str" cm="1">
        <f t="array" ref="V1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  <c r="AF1009">
        <f>AVERAGE(Table1[[#This Row],[Range2_Low]:[Range2_High]])</f>
        <v>2.5500000000000002E-2</v>
      </c>
      <c r="AG1009">
        <f>AVERAGE(Table1[[#This Row],[Range1_Low]:[Range1_High]])</f>
        <v>15</v>
      </c>
      <c r="AH1009">
        <v>1</v>
      </c>
    </row>
    <row r="1010" spans="1:34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tr" cm="1">
        <f t="array" ref="U1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0" t="str" cm="1">
        <f t="array" ref="V1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  <c r="AF1010">
        <f>AVERAGE(Table1[[#This Row],[Range2_Low]:[Range2_High]])</f>
        <v>0.52500000000000002</v>
      </c>
      <c r="AG1010">
        <f>AVERAGE(Table1[[#This Row],[Range1_Low]:[Range1_High]])</f>
        <v>15</v>
      </c>
      <c r="AH1010">
        <v>1</v>
      </c>
    </row>
    <row r="1011" spans="1:34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06" t="str" cm="1">
        <f t="array" ref="U1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1" t="str" cm="1">
        <f t="array" ref="V1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  <c r="AF1011">
        <f>AVERAGE(Table1[[#This Row],[Range2_Low]:[Range2_High]])</f>
        <v>3</v>
      </c>
      <c r="AG1011">
        <f>AVERAGE(Table1[[#This Row],[Range1_Low]:[Range1_High]])</f>
        <v>15</v>
      </c>
      <c r="AH1011">
        <v>1</v>
      </c>
    </row>
    <row r="1012" spans="1:34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tr" cm="1">
        <f t="array" ref="U1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2" t="str" cm="1">
        <f t="array" ref="V1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  <c r="AF1012">
        <f>AVERAGE(Table1[[#This Row],[Range2_Low]:[Range2_High]])</f>
        <v>2.5500000000000002E-2</v>
      </c>
      <c r="AG1012">
        <f>AVERAGE(Table1[[#This Row],[Range1_Low]:[Range1_High]])</f>
        <v>15</v>
      </c>
      <c r="AH1012">
        <v>1</v>
      </c>
    </row>
    <row r="1013" spans="1:34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06" t="str" cm="1">
        <f t="array" ref="U1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3" t="str" cm="1">
        <f t="array" ref="V1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  <c r="AF1013">
        <f>AVERAGE(Table1[[#This Row],[Range2_Low]:[Range2_High]])</f>
        <v>3</v>
      </c>
      <c r="AG1013">
        <f>AVERAGE(Table1[[#This Row],[Range1_Low]:[Range1_High]])</f>
        <v>15</v>
      </c>
      <c r="AH1013">
        <v>1</v>
      </c>
    </row>
    <row r="1014" spans="1:34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tr" cm="1">
        <f t="array" ref="U1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4" t="str" cm="1">
        <f t="array" ref="V1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  <c r="AF1014">
        <f>AVERAGE(Table1[[#This Row],[Range2_Low]:[Range2_High]])</f>
        <v>0.52500000000000002</v>
      </c>
      <c r="AG1014">
        <f>AVERAGE(Table1[[#This Row],[Range1_Low]:[Range1_High]])</f>
        <v>15</v>
      </c>
      <c r="AH1014">
        <v>1</v>
      </c>
    </row>
    <row r="1015" spans="1:34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tr" cm="1">
        <f t="array" ref="U1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5" t="str" cm="1">
        <f t="array" ref="V1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  <c r="AF1015">
        <f>AVERAGE(Table1[[#This Row],[Range2_Low]:[Range2_High]])</f>
        <v>2.5500000000000002E-2</v>
      </c>
      <c r="AG1015">
        <f>AVERAGE(Table1[[#This Row],[Range1_Low]:[Range1_High]])</f>
        <v>15</v>
      </c>
      <c r="AH1015">
        <v>1</v>
      </c>
    </row>
    <row r="1016" spans="1:34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06" t="str" cm="1">
        <f t="array" ref="U1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6" t="str" cm="1">
        <f t="array" ref="V1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  <c r="AF1016">
        <f>AVERAGE(Table1[[#This Row],[Range2_Low]:[Range2_High]])</f>
        <v>3</v>
      </c>
      <c r="AG1016">
        <f>AVERAGE(Table1[[#This Row],[Range1_Low]:[Range1_High]])</f>
        <v>15</v>
      </c>
      <c r="AH1016">
        <v>1</v>
      </c>
    </row>
    <row r="1017" spans="1:34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tr" cm="1">
        <f t="array" ref="U1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7" t="str" cm="1">
        <f t="array" ref="V1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  <c r="AF1017">
        <f>AVERAGE(Table1[[#This Row],[Range2_Low]:[Range2_High]])</f>
        <v>0.52500000000000002</v>
      </c>
      <c r="AG1017">
        <f>AVERAGE(Table1[[#This Row],[Range1_Low]:[Range1_High]])</f>
        <v>15</v>
      </c>
      <c r="AH1017">
        <v>1</v>
      </c>
    </row>
    <row r="1018" spans="1:34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06" t="str" cm="1">
        <f t="array" ref="U1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8" t="str" cm="1">
        <f t="array" ref="V1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  <c r="AF1018">
        <f>AVERAGE(Table1[[#This Row],[Range2_Low]:[Range2_High]])</f>
        <v>3</v>
      </c>
      <c r="AG1018">
        <f>AVERAGE(Table1[[#This Row],[Range1_Low]:[Range1_High]])</f>
        <v>15</v>
      </c>
      <c r="AH1018">
        <v>1</v>
      </c>
    </row>
    <row r="1019" spans="1:34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tr" cm="1">
        <f t="array" ref="U1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mA</v>
      </c>
      <c r="V1019" t="str" cm="1">
        <f t="array" ref="V1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  <c r="AF1019">
        <f>AVERAGE(Table1[[#This Row],[Range2_Low]:[Range2_High]])</f>
        <v>2.5500000000000002E-2</v>
      </c>
      <c r="AG1019">
        <f>AVERAGE(Table1[[#This Row],[Range1_Low]:[Range1_High]])</f>
        <v>15</v>
      </c>
      <c r="AH1019">
        <v>1</v>
      </c>
    </row>
    <row r="1020" spans="1:34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tr" cm="1">
        <f t="array" ref="U1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mA</v>
      </c>
      <c r="V1020" s="106" t="str" cm="1">
        <f t="array" ref="V1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mA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  <c r="AF1020">
        <f>AVERAGE(Table1[[#This Row],[Range2_Low]:[Range2_High]])</f>
        <v>0.52500000000000002</v>
      </c>
      <c r="AG1020">
        <f>AVERAGE(Table1[[#This Row],[Range1_Low]:[Range1_High]])</f>
        <v>15</v>
      </c>
      <c r="AH1020">
        <v>1</v>
      </c>
    </row>
    <row r="1021" spans="1:34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tr" cm="1">
        <f t="array" ref="U1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021" t="str" cm="1">
        <f t="array" ref="V1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  <c r="AF1021">
        <f>AVERAGE(Table1[[#This Row],[Range2_Low]:[Range2_High]])</f>
        <v>3</v>
      </c>
      <c r="AG1021">
        <f>AVERAGE(Table1[[#This Row],[Range1_Low]:[Range1_High]])</f>
        <v>15</v>
      </c>
      <c r="AH1021">
        <v>1</v>
      </c>
    </row>
    <row r="1022" spans="1:34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tr" cm="1">
        <f t="array" ref="U1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2" t="str" cm="1">
        <f t="array" ref="V1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  <c r="AF1022">
        <f>AVERAGE(Table1[[#This Row],[Range2_Low]:[Range2_High]])</f>
        <v>2.5500000000000002E-2</v>
      </c>
      <c r="AG1022">
        <f>AVERAGE(Table1[[#This Row],[Range1_Low]:[Range1_High]])</f>
        <v>15</v>
      </c>
      <c r="AH1022">
        <v>1</v>
      </c>
    </row>
    <row r="1023" spans="1:34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tr" cm="1">
        <f t="array" ref="U1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3" t="str" cm="1">
        <f t="array" ref="V1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  <c r="AF1023">
        <f>AVERAGE(Table1[[#This Row],[Range2_Low]:[Range2_High]])</f>
        <v>0.52500000000000002</v>
      </c>
      <c r="AG1023">
        <f>AVERAGE(Table1[[#This Row],[Range1_Low]:[Range1_High]])</f>
        <v>15</v>
      </c>
      <c r="AH1023">
        <v>1</v>
      </c>
    </row>
    <row r="1024" spans="1:34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tr" cm="1">
        <f t="array" ref="U1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4" t="str" cm="1">
        <f t="array" ref="V1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  <c r="AF1024">
        <f>AVERAGE(Table1[[#This Row],[Range2_Low]:[Range2_High]])</f>
        <v>0</v>
      </c>
      <c r="AG1024">
        <f>AVERAGE(Table1[[#This Row],[Range1_Low]:[Range1_High]])</f>
        <v>5.5004999999999997</v>
      </c>
      <c r="AH1024">
        <v>1</v>
      </c>
    </row>
    <row r="1025" spans="1:34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tr" cm="1">
        <f t="array" ref="U1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5" t="str" cm="1">
        <f t="array" ref="V1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mΩ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  <c r="AF1025">
        <f>AVERAGE(Table1[[#This Row],[Range2_Low]:[Range2_High]])</f>
        <v>0</v>
      </c>
      <c r="AG1025">
        <f>AVERAGE(Table1[[#This Row],[Range1_Low]:[Range1_High]])</f>
        <v>5.5004999999999997</v>
      </c>
      <c r="AH1025">
        <v>1</v>
      </c>
    </row>
    <row r="1026" spans="1:34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tr" cm="1">
        <f t="array" ref="U1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V1026" t="str" cm="1">
        <f t="array" ref="V1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  <c r="AF1026">
        <f>AVERAGE(Table1[[#This Row],[Range2_Low]:[Range2_High]])</f>
        <v>0</v>
      </c>
      <c r="AG1026">
        <f>AVERAGE(Table1[[#This Row],[Range1_Low]:[Range1_High]])</f>
        <v>5.5004999999999997</v>
      </c>
      <c r="AH1026">
        <v>1</v>
      </c>
    </row>
    <row r="1027" spans="1:34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tr" cm="1">
        <f t="array" ref="U1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27" t="str" cm="1">
        <f t="array" ref="V1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  <c r="AF1027">
        <f>AVERAGE(Table1[[#This Row],[Range2_Low]:[Range2_High]])</f>
        <v>0</v>
      </c>
      <c r="AG1027">
        <f>AVERAGE(Table1[[#This Row],[Range1_Low]:[Range1_High]])</f>
        <v>5.5004999999999997</v>
      </c>
      <c r="AH1027">
        <v>1</v>
      </c>
    </row>
    <row r="1028" spans="1:34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tr" cm="1">
        <f t="array" ref="U1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28" t="str" cm="1">
        <f t="array" ref="V1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  <c r="AF1028">
        <f>AVERAGE(Table1[[#This Row],[Range2_Low]:[Range2_High]])</f>
        <v>0</v>
      </c>
      <c r="AG1028">
        <f>AVERAGE(Table1[[#This Row],[Range1_Low]:[Range1_High]])</f>
        <v>5.5004999999999997</v>
      </c>
      <c r="AH1028">
        <v>1</v>
      </c>
    </row>
    <row r="1029" spans="1:34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tr" cm="1">
        <f t="array" ref="U1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29" t="str" cm="1">
        <f t="array" ref="V1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  <c r="AF1029">
        <f>AVERAGE(Table1[[#This Row],[Range2_Low]:[Range2_High]])</f>
        <v>0</v>
      </c>
      <c r="AG1029">
        <f>AVERAGE(Table1[[#This Row],[Range1_Low]:[Range1_High]])</f>
        <v>5.5004999999999997</v>
      </c>
      <c r="AH1029">
        <v>1</v>
      </c>
    </row>
    <row r="1030" spans="1:34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tr" cm="1">
        <f t="array" ref="U1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30" t="str" cm="1">
        <f t="array" ref="V1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  <c r="AF1030">
        <f>AVERAGE(Table1[[#This Row],[Range2_Low]:[Range2_High]])</f>
        <v>0</v>
      </c>
      <c r="AG1030">
        <f>AVERAGE(Table1[[#This Row],[Range1_Low]:[Range1_High]])</f>
        <v>5.5004999999999997</v>
      </c>
      <c r="AH1030">
        <v>1</v>
      </c>
    </row>
    <row r="1031" spans="1:34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tr" cm="1">
        <f t="array" ref="U1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V1031" t="str" cm="1">
        <f t="array" ref="V1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  <c r="AF1031">
        <f>AVERAGE(Table1[[#This Row],[Range2_Low]:[Range2_High]])</f>
        <v>0</v>
      </c>
      <c r="AG1031">
        <f>AVERAGE(Table1[[#This Row],[Range1_Low]:[Range1_High]])</f>
        <v>5.5004999999999997</v>
      </c>
      <c r="AH1031">
        <v>1</v>
      </c>
    </row>
    <row r="1032" spans="1:34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tr" cm="1">
        <f t="array" ref="U1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V1032" t="str" cm="1">
        <f t="array" ref="V1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  <c r="AF1032">
        <f>AVERAGE(Table1[[#This Row],[Range2_Low]:[Range2_High]])</f>
        <v>0</v>
      </c>
      <c r="AG1032">
        <f>AVERAGE(Table1[[#This Row],[Range1_Low]:[Range1_High]])</f>
        <v>5.5004999999999997</v>
      </c>
      <c r="AH1032">
        <v>1</v>
      </c>
    </row>
    <row r="1033" spans="1:34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tr" cm="1">
        <f t="array" ref="U1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V1033" t="str" cm="1">
        <f t="array" ref="V1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  <c r="AF1033">
        <f>AVERAGE(Table1[[#This Row],[Range2_Low]:[Range2_High]])</f>
        <v>0</v>
      </c>
      <c r="AG1033">
        <f>AVERAGE(Table1[[#This Row],[Range1_Low]:[Range1_High]])</f>
        <v>5.5004999999999997</v>
      </c>
      <c r="AH1033">
        <v>1</v>
      </c>
    </row>
    <row r="1034" spans="1:34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tr" cm="1">
        <f t="array" ref="U1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V1034" t="str" cm="1">
        <f t="array" ref="V1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  <c r="AF1034">
        <f>AVERAGE(Table1[[#This Row],[Range2_Low]:[Range2_High]])</f>
        <v>0</v>
      </c>
      <c r="AG1034">
        <f>AVERAGE(Table1[[#This Row],[Range1_Low]:[Range1_High]])</f>
        <v>5.5004999999999997</v>
      </c>
      <c r="AH1034">
        <v>1</v>
      </c>
    </row>
    <row r="1035" spans="1:34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tr" cm="1">
        <f t="array" ref="U1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5" t="str" cm="1">
        <f t="array" ref="V1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  <c r="AF1035">
        <f>AVERAGE(Table1[[#This Row],[Range2_Low]:[Range2_High]])</f>
        <v>0</v>
      </c>
      <c r="AG1035">
        <f>AVERAGE(Table1[[#This Row],[Range1_Low]:[Range1_High]])</f>
        <v>22.000499999999999</v>
      </c>
      <c r="AH1035">
        <v>1</v>
      </c>
    </row>
    <row r="1036" spans="1:34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tr" cm="1">
        <f t="array" ref="U1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6" t="str" cm="1">
        <f t="array" ref="V1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  <c r="AF1036">
        <f>AVERAGE(Table1[[#This Row],[Range2_Low]:[Range2_High]])</f>
        <v>0</v>
      </c>
      <c r="AG1036">
        <f>AVERAGE(Table1[[#This Row],[Range1_Low]:[Range1_High]])</f>
        <v>22.000499999999999</v>
      </c>
      <c r="AH1036">
        <v>1</v>
      </c>
    </row>
    <row r="1037" spans="1:34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tr" cm="1">
        <f t="array" ref="U1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mΩ</v>
      </c>
      <c r="V1037" t="str" cm="1">
        <f t="array" ref="V1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mΩ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  <c r="AF1037">
        <f>AVERAGE(Table1[[#This Row],[Range2_Low]:[Range2_High]])</f>
        <v>0</v>
      </c>
      <c r="AG1037">
        <f>AVERAGE(Table1[[#This Row],[Range1_Low]:[Range1_High]])</f>
        <v>22.000499999999999</v>
      </c>
      <c r="AH1037">
        <v>1</v>
      </c>
    </row>
    <row r="1038" spans="1:34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tr" cm="1">
        <f t="array" ref="U1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38" t="str" cm="1">
        <f t="array" ref="V1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  <c r="AF1038">
        <f>AVERAGE(Table1[[#This Row],[Range2_Low]:[Range2_High]])</f>
        <v>0</v>
      </c>
      <c r="AG1038">
        <f>AVERAGE(Table1[[#This Row],[Range1_Low]:[Range1_High]])</f>
        <v>22.000499999999999</v>
      </c>
      <c r="AH1038">
        <v>1</v>
      </c>
    </row>
    <row r="1039" spans="1:34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tr" cm="1">
        <f t="array" ref="U1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39" t="str" cm="1">
        <f t="array" ref="V1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mΩ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  <c r="AF1039">
        <f>AVERAGE(Table1[[#This Row],[Range2_Low]:[Range2_High]])</f>
        <v>0</v>
      </c>
      <c r="AG1039">
        <f>AVERAGE(Table1[[#This Row],[Range1_Low]:[Range1_High]])</f>
        <v>71.504999999999995</v>
      </c>
      <c r="AH1039">
        <v>1</v>
      </c>
    </row>
    <row r="1040" spans="1:34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tr" cm="1">
        <f t="array" ref="U1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40" t="str" cm="1">
        <f t="array" ref="V1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mΩ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  <c r="AF1040">
        <f>AVERAGE(Table1[[#This Row],[Range2_Low]:[Range2_High]])</f>
        <v>0</v>
      </c>
      <c r="AG1040">
        <f>AVERAGE(Table1[[#This Row],[Range1_Low]:[Range1_High]])</f>
        <v>71.504999999999995</v>
      </c>
      <c r="AH1040">
        <v>1</v>
      </c>
    </row>
    <row r="1041" spans="1:34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tr" cm="1">
        <f t="array" ref="U1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mΩ</v>
      </c>
      <c r="V1041" t="str" cm="1">
        <f t="array" ref="V1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  <c r="AF1041">
        <f>AVERAGE(Table1[[#This Row],[Range2_Low]:[Range2_High]])</f>
        <v>0</v>
      </c>
      <c r="AG1041">
        <f>AVERAGE(Table1[[#This Row],[Range1_Low]:[Range1_High]])</f>
        <v>71.504999999999995</v>
      </c>
      <c r="AH1041">
        <v>1</v>
      </c>
    </row>
    <row r="1042" spans="1:34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tr" cm="1">
        <f t="array" ref="U1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2" t="str" cm="1">
        <f t="array" ref="V1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  <c r="AF1042">
        <f>AVERAGE(Table1[[#This Row],[Range2_Low]:[Range2_High]])</f>
        <v>0</v>
      </c>
      <c r="AG1042">
        <f>AVERAGE(Table1[[#This Row],[Range1_Low]:[Range1_High]])</f>
        <v>71.504999999999995</v>
      </c>
      <c r="AH1042">
        <v>1</v>
      </c>
    </row>
    <row r="1043" spans="1:34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tr" cm="1">
        <f t="array" ref="U1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mΩ</v>
      </c>
      <c r="V1043" t="str" cm="1">
        <f t="array" ref="V1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  <c r="AF1043">
        <f>AVERAGE(Table1[[#This Row],[Range2_Low]:[Range2_High]])</f>
        <v>0</v>
      </c>
      <c r="AG1043">
        <f>AVERAGE(Table1[[#This Row],[Range1_Low]:[Range1_High]])</f>
        <v>220.005</v>
      </c>
      <c r="AH1043">
        <v>1</v>
      </c>
    </row>
    <row r="1044" spans="1:34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tr" cm="1">
        <f t="array" ref="U1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mΩ</v>
      </c>
      <c r="V1044" t="str" cm="1">
        <f t="array" ref="V1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  <c r="AF1044">
        <f>AVERAGE(Table1[[#This Row],[Range2_Low]:[Range2_High]])</f>
        <v>0</v>
      </c>
      <c r="AG1044">
        <f>AVERAGE(Table1[[#This Row],[Range1_Low]:[Range1_High]])</f>
        <v>220.005</v>
      </c>
      <c r="AH1044">
        <v>1</v>
      </c>
    </row>
    <row r="1045" spans="1:34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tr" cm="1">
        <f t="array" ref="U1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mΩ</v>
      </c>
      <c r="V1045" t="str" cm="1">
        <f t="array" ref="V1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  <c r="AF1045">
        <f>AVERAGE(Table1[[#This Row],[Range2_Low]:[Range2_High]])</f>
        <v>0</v>
      </c>
      <c r="AG1045">
        <f>AVERAGE(Table1[[#This Row],[Range1_Low]:[Range1_High]])</f>
        <v>220.005</v>
      </c>
      <c r="AH1045">
        <v>1</v>
      </c>
    </row>
    <row r="1046" spans="1:34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tr" cm="1">
        <f t="array" ref="U1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6" t="str" cm="1">
        <f t="array" ref="V1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  <c r="AF1046">
        <f>AVERAGE(Table1[[#This Row],[Range2_Low]:[Range2_High]])</f>
        <v>0</v>
      </c>
      <c r="AG1046">
        <f>AVERAGE(Table1[[#This Row],[Range1_Low]:[Range1_High]])</f>
        <v>220.005</v>
      </c>
      <c r="AH1046">
        <v>1</v>
      </c>
    </row>
    <row r="1047" spans="1:34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tr" cm="1">
        <f t="array" ref="U1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mΩ</v>
      </c>
      <c r="V1047" t="str" cm="1">
        <f t="array" ref="V1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  <c r="AF1047">
        <f>AVERAGE(Table1[[#This Row],[Range2_Low]:[Range2_High]])</f>
        <v>0</v>
      </c>
      <c r="AG1047">
        <f>AVERAGE(Table1[[#This Row],[Range1_Low]:[Range1_High]])</f>
        <v>715.005</v>
      </c>
      <c r="AH1047">
        <v>1</v>
      </c>
    </row>
    <row r="1048" spans="1:34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tr" cm="1">
        <f t="array" ref="U1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V1048" t="str" cm="1">
        <f t="array" ref="V1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mΩ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  <c r="AF1048">
        <f>AVERAGE(Table1[[#This Row],[Range2_Low]:[Range2_High]])</f>
        <v>0</v>
      </c>
      <c r="AG1048">
        <f>AVERAGE(Table1[[#This Row],[Range1_Low]:[Range1_High]])</f>
        <v>715.005</v>
      </c>
      <c r="AH1048">
        <v>1</v>
      </c>
    </row>
    <row r="1049" spans="1:34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tr" cm="1">
        <f t="array" ref="U1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V1049" t="str" cm="1">
        <f t="array" ref="V1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  <c r="AF1049">
        <f>AVERAGE(Table1[[#This Row],[Range2_Low]:[Range2_High]])</f>
        <v>0</v>
      </c>
      <c r="AG1049">
        <f>AVERAGE(Table1[[#This Row],[Range1_Low]:[Range1_High]])</f>
        <v>715.005</v>
      </c>
      <c r="AH1049">
        <v>1</v>
      </c>
    </row>
    <row r="1050" spans="1:34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tr" cm="1">
        <f t="array" ref="U1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0" t="str" cm="1">
        <f t="array" ref="V1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  <c r="AF1050">
        <f>AVERAGE(Table1[[#This Row],[Range2_Low]:[Range2_High]])</f>
        <v>0</v>
      </c>
      <c r="AG1050">
        <f>AVERAGE(Table1[[#This Row],[Range1_Low]:[Range1_High]])</f>
        <v>715.005</v>
      </c>
      <c r="AH1050">
        <v>1</v>
      </c>
    </row>
    <row r="1051" spans="1:34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tr" cm="1">
        <f t="array" ref="U1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Ω</v>
      </c>
      <c r="V1051" t="str" cm="1">
        <f t="array" ref="V1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Ω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  <c r="AF1051">
        <f>AVERAGE(Table1[[#This Row],[Range2_Low]:[Range2_High]])</f>
        <v>0</v>
      </c>
      <c r="AG1051">
        <f>AVERAGE(Table1[[#This Row],[Range1_Low]:[Range1_High]])</f>
        <v>2200.0500000000002</v>
      </c>
      <c r="AH1051">
        <v>1</v>
      </c>
    </row>
    <row r="1052" spans="1:34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tr" cm="1">
        <f t="array" ref="U1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Ω</v>
      </c>
      <c r="V1052" t="str" cm="1">
        <f t="array" ref="V1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Ω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  <c r="AF1052">
        <f>AVERAGE(Table1[[#This Row],[Range2_Low]:[Range2_High]])</f>
        <v>0</v>
      </c>
      <c r="AG1052">
        <f>AVERAGE(Table1[[#This Row],[Range1_Low]:[Range1_High]])</f>
        <v>2200.0500000000002</v>
      </c>
      <c r="AH1052">
        <v>1</v>
      </c>
    </row>
    <row r="1053" spans="1:34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tr" cm="1">
        <f t="array" ref="U1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Ω</v>
      </c>
      <c r="V1053" t="str" cm="1">
        <f t="array" ref="V1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Ω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  <c r="AF1053">
        <f>AVERAGE(Table1[[#This Row],[Range2_Low]:[Range2_High]])</f>
        <v>0</v>
      </c>
      <c r="AG1053">
        <f>AVERAGE(Table1[[#This Row],[Range1_Low]:[Range1_High]])</f>
        <v>2200.0500000000002</v>
      </c>
      <c r="AH1053">
        <v>1</v>
      </c>
    </row>
    <row r="1054" spans="1:34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tr" cm="1">
        <f t="array" ref="U1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V1054" t="str" cm="1">
        <f t="array" ref="V1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  <c r="AF1054">
        <f>AVERAGE(Table1[[#This Row],[Range2_Low]:[Range2_High]])</f>
        <v>0</v>
      </c>
      <c r="AG1054">
        <f>AVERAGE(Table1[[#This Row],[Range1_Low]:[Range1_High]])</f>
        <v>2200.0500000000002</v>
      </c>
      <c r="AH1054">
        <v>1</v>
      </c>
    </row>
    <row r="1055" spans="1:34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tr" cm="1">
        <f t="array" ref="U1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Ω</v>
      </c>
      <c r="V1055" t="str" cm="1">
        <f t="array" ref="V1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Ω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  <c r="AF1055">
        <f>AVERAGE(Table1[[#This Row],[Range2_Low]:[Range2_High]])</f>
        <v>0</v>
      </c>
      <c r="AG1055">
        <f>AVERAGE(Table1[[#This Row],[Range1_Low]:[Range1_High]])</f>
        <v>7150.5</v>
      </c>
      <c r="AH1055">
        <v>1</v>
      </c>
    </row>
    <row r="1056" spans="1:34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tr" cm="1">
        <f t="array" ref="U1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Ω</v>
      </c>
      <c r="V1056" t="str" cm="1">
        <f t="array" ref="V1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Ω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  <c r="AF1056">
        <f>AVERAGE(Table1[[#This Row],[Range2_Low]:[Range2_High]])</f>
        <v>0</v>
      </c>
      <c r="AG1056">
        <f>AVERAGE(Table1[[#This Row],[Range1_Low]:[Range1_High]])</f>
        <v>7150.5</v>
      </c>
      <c r="AH1056">
        <v>1</v>
      </c>
    </row>
    <row r="1057" spans="1:34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tr" cm="1">
        <f t="array" ref="U1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V1057" t="str" cm="1">
        <f t="array" ref="V1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  <c r="AF1057">
        <f>AVERAGE(Table1[[#This Row],[Range2_Low]:[Range2_High]])</f>
        <v>0</v>
      </c>
      <c r="AG1057">
        <f>AVERAGE(Table1[[#This Row],[Range1_Low]:[Range1_High]])</f>
        <v>7150.5</v>
      </c>
      <c r="AH1057">
        <v>1</v>
      </c>
    </row>
    <row r="1058" spans="1:34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tr" cm="1">
        <f t="array" ref="U1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58" t="str" cm="1">
        <f t="array" ref="V1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  <c r="AF1058">
        <f>AVERAGE(Table1[[#This Row],[Range2_Low]:[Range2_High]])</f>
        <v>0</v>
      </c>
      <c r="AG1058">
        <f>AVERAGE(Table1[[#This Row],[Range1_Low]:[Range1_High]])</f>
        <v>7150.5</v>
      </c>
      <c r="AH1058">
        <v>1</v>
      </c>
    </row>
    <row r="1059" spans="1:34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tr" cm="1">
        <f t="array" ref="U1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59" t="str" cm="1">
        <f t="array" ref="V1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Ω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  <c r="AF1059">
        <f>AVERAGE(Table1[[#This Row],[Range2_Low]:[Range2_High]])</f>
        <v>0</v>
      </c>
      <c r="AG1059">
        <f>AVERAGE(Table1[[#This Row],[Range1_Low]:[Range1_High]])</f>
        <v>22000.5</v>
      </c>
      <c r="AH1059">
        <v>1</v>
      </c>
    </row>
    <row r="1060" spans="1:34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tr" cm="1">
        <f t="array" ref="U1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60" t="str" cm="1">
        <f t="array" ref="V1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Ω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  <c r="AF1060">
        <f>AVERAGE(Table1[[#This Row],[Range2_Low]:[Range2_High]])</f>
        <v>0</v>
      </c>
      <c r="AG1060">
        <f>AVERAGE(Table1[[#This Row],[Range1_Low]:[Range1_High]])</f>
        <v>22000.5</v>
      </c>
      <c r="AH1060">
        <v>1</v>
      </c>
    </row>
    <row r="1061" spans="1:34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tr" cm="1">
        <f t="array" ref="U1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Ω</v>
      </c>
      <c r="V1061" t="str" cm="1">
        <f t="array" ref="V1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Ω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  <c r="AF1061">
        <f>AVERAGE(Table1[[#This Row],[Range2_Low]:[Range2_High]])</f>
        <v>0</v>
      </c>
      <c r="AG1061">
        <f>AVERAGE(Table1[[#This Row],[Range1_Low]:[Range1_High]])</f>
        <v>22000.5</v>
      </c>
      <c r="AH1061">
        <v>1</v>
      </c>
    </row>
    <row r="1062" spans="1:34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tr" cm="1">
        <f t="array" ref="U1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62" t="str" cm="1">
        <f t="array" ref="V1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  <c r="AF1062">
        <f>AVERAGE(Table1[[#This Row],[Range2_Low]:[Range2_High]])</f>
        <v>0</v>
      </c>
      <c r="AG1062">
        <f>AVERAGE(Table1[[#This Row],[Range1_Low]:[Range1_High]])</f>
        <v>22000.5</v>
      </c>
      <c r="AH1062">
        <v>1</v>
      </c>
    </row>
    <row r="1063" spans="1:34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tr" cm="1">
        <f t="array" ref="U1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Ω</v>
      </c>
      <c r="V1063" t="str" cm="1">
        <f t="array" ref="V1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  <c r="AF1063">
        <f>AVERAGE(Table1[[#This Row],[Range2_Low]:[Range2_High]])</f>
        <v>0</v>
      </c>
      <c r="AG1063">
        <f>AVERAGE(Table1[[#This Row],[Range1_Low]:[Range1_High]])</f>
        <v>71505</v>
      </c>
      <c r="AH1063">
        <v>1</v>
      </c>
    </row>
    <row r="1064" spans="1:34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tr" cm="1">
        <f t="array" ref="U1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Ω</v>
      </c>
      <c r="V1064" t="str" cm="1">
        <f t="array" ref="V1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Ω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  <c r="AF1064">
        <f>AVERAGE(Table1[[#This Row],[Range2_Low]:[Range2_High]])</f>
        <v>0</v>
      </c>
      <c r="AG1064">
        <f>AVERAGE(Table1[[#This Row],[Range1_Low]:[Range1_High]])</f>
        <v>71505</v>
      </c>
      <c r="AH1064">
        <v>1</v>
      </c>
    </row>
    <row r="1065" spans="1:34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tr" cm="1">
        <f t="array" ref="U1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065" t="str" cm="1">
        <f t="array" ref="V1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  <c r="AF1065">
        <f>AVERAGE(Table1[[#This Row],[Range2_Low]:[Range2_High]])</f>
        <v>0</v>
      </c>
      <c r="AG1065">
        <f>AVERAGE(Table1[[#This Row],[Range1_Low]:[Range1_High]])</f>
        <v>71505</v>
      </c>
      <c r="AH1065">
        <v>1</v>
      </c>
    </row>
    <row r="1066" spans="1:34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tr" cm="1">
        <f t="array" ref="U1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66" t="str" cm="1">
        <f t="array" ref="V1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  <c r="AF1066">
        <f>AVERAGE(Table1[[#This Row],[Range2_Low]:[Range2_High]])</f>
        <v>0</v>
      </c>
      <c r="AG1066">
        <f>AVERAGE(Table1[[#This Row],[Range1_Low]:[Range1_High]])</f>
        <v>71505</v>
      </c>
      <c r="AH1066">
        <v>1</v>
      </c>
    </row>
    <row r="1067" spans="1:34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tr" cm="1">
        <f t="array" ref="U1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7" t="str" cm="1">
        <f t="array" ref="V1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  <c r="AF1067">
        <f>AVERAGE(Table1[[#This Row],[Range2_Low]:[Range2_High]])</f>
        <v>0</v>
      </c>
      <c r="AG1067">
        <f>AVERAGE(Table1[[#This Row],[Range1_Low]:[Range1_High]])</f>
        <v>220005</v>
      </c>
      <c r="AH1067">
        <v>1</v>
      </c>
    </row>
    <row r="1068" spans="1:34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tr" cm="1">
        <f t="array" ref="U1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8" t="str" cm="1">
        <f t="array" ref="V1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  <c r="AF1068">
        <f>AVERAGE(Table1[[#This Row],[Range2_Low]:[Range2_High]])</f>
        <v>0</v>
      </c>
      <c r="AG1068">
        <f>AVERAGE(Table1[[#This Row],[Range1_Low]:[Range1_High]])</f>
        <v>220005</v>
      </c>
      <c r="AH1068">
        <v>1</v>
      </c>
    </row>
    <row r="1069" spans="1:34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tr" cm="1">
        <f t="array" ref="U1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Ω</v>
      </c>
      <c r="V1069" t="str" cm="1">
        <f t="array" ref="V1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Ω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  <c r="AF1069">
        <f>AVERAGE(Table1[[#This Row],[Range2_Low]:[Range2_High]])</f>
        <v>0</v>
      </c>
      <c r="AG1069">
        <f>AVERAGE(Table1[[#This Row],[Range1_Low]:[Range1_High]])</f>
        <v>220005</v>
      </c>
      <c r="AH1069">
        <v>1</v>
      </c>
    </row>
    <row r="1070" spans="1:34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tr" cm="1">
        <f t="array" ref="U1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70" t="str" cm="1">
        <f t="array" ref="V1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  <c r="AF1070">
        <f>AVERAGE(Table1[[#This Row],[Range2_Low]:[Range2_High]])</f>
        <v>0</v>
      </c>
      <c r="AG1070">
        <f>AVERAGE(Table1[[#This Row],[Range1_Low]:[Range1_High]])</f>
        <v>220005</v>
      </c>
      <c r="AH1070">
        <v>1</v>
      </c>
    </row>
    <row r="1071" spans="1:34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tr" cm="1">
        <f t="array" ref="U1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Ω</v>
      </c>
      <c r="V1071" t="str" cm="1">
        <f t="array" ref="V1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Ω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  <c r="AF1071">
        <f>AVERAGE(Table1[[#This Row],[Range2_Low]:[Range2_High]])</f>
        <v>0</v>
      </c>
      <c r="AG1071">
        <f>AVERAGE(Table1[[#This Row],[Range1_Low]:[Range1_High]])</f>
        <v>715005</v>
      </c>
      <c r="AH1071">
        <v>1</v>
      </c>
    </row>
    <row r="1072" spans="1:34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tr" cm="1">
        <f t="array" ref="U1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Ω</v>
      </c>
      <c r="V1072" t="str" cm="1">
        <f t="array" ref="V1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Ω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  <c r="AF1072">
        <f>AVERAGE(Table1[[#This Row],[Range2_Low]:[Range2_High]])</f>
        <v>0</v>
      </c>
      <c r="AG1072">
        <f>AVERAGE(Table1[[#This Row],[Range1_Low]:[Range1_High]])</f>
        <v>715005</v>
      </c>
      <c r="AH1072">
        <v>1</v>
      </c>
    </row>
    <row r="1073" spans="1:34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tr" cm="1">
        <f t="array" ref="U1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1073" t="str" cm="1">
        <f t="array" ref="V1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Ω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  <c r="AF1073">
        <f>AVERAGE(Table1[[#This Row],[Range2_Low]:[Range2_High]])</f>
        <v>0</v>
      </c>
      <c r="AG1073">
        <f>AVERAGE(Table1[[#This Row],[Range1_Low]:[Range1_High]])</f>
        <v>715005</v>
      </c>
      <c r="AH1073">
        <v>1</v>
      </c>
    </row>
    <row r="1074" spans="1:34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tr" cm="1">
        <f t="array" ref="U1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074" t="str" cm="1">
        <f t="array" ref="V1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  <c r="AF1074">
        <f>AVERAGE(Table1[[#This Row],[Range2_Low]:[Range2_High]])</f>
        <v>0</v>
      </c>
      <c r="AG1074">
        <f>AVERAGE(Table1[[#This Row],[Range1_Low]:[Range1_High]])</f>
        <v>715005</v>
      </c>
      <c r="AH1074">
        <v>1</v>
      </c>
    </row>
    <row r="1075" spans="1:34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tr" cm="1">
        <f t="array" ref="U1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5" t="str" cm="1">
        <f t="array" ref="V1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kΩ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  <c r="AF1075">
        <f>AVERAGE(Table1[[#This Row],[Range2_Low]:[Range2_High]])</f>
        <v>0</v>
      </c>
      <c r="AG1075">
        <f>AVERAGE(Table1[[#This Row],[Range1_Low]:[Range1_High]])</f>
        <v>2200500</v>
      </c>
      <c r="AH1075">
        <v>1</v>
      </c>
    </row>
    <row r="1076" spans="1:34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tr" cm="1">
        <f t="array" ref="U1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6" t="str" cm="1">
        <f t="array" ref="V1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kΩ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  <c r="AF1076">
        <f>AVERAGE(Table1[[#This Row],[Range2_Low]:[Range2_High]])</f>
        <v>0</v>
      </c>
      <c r="AG1076">
        <f>AVERAGE(Table1[[#This Row],[Range1_Low]:[Range1_High]])</f>
        <v>2200500</v>
      </c>
      <c r="AH1076">
        <v>1</v>
      </c>
    </row>
    <row r="1077" spans="1:34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tr" cm="1">
        <f t="array" ref="U1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kΩ</v>
      </c>
      <c r="V1077" t="str" cm="1">
        <f t="array" ref="V1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kΩ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  <c r="AF1077">
        <f>AVERAGE(Table1[[#This Row],[Range2_Low]:[Range2_High]])</f>
        <v>0</v>
      </c>
      <c r="AG1077">
        <f>AVERAGE(Table1[[#This Row],[Range1_Low]:[Range1_High]])</f>
        <v>2200500</v>
      </c>
      <c r="AH1077">
        <v>1</v>
      </c>
    </row>
    <row r="1078" spans="1:34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tr" cm="1">
        <f t="array" ref="U1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V1078" t="str" cm="1">
        <f t="array" ref="V1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  <c r="AF1078">
        <f>AVERAGE(Table1[[#This Row],[Range2_Low]:[Range2_High]])</f>
        <v>0</v>
      </c>
      <c r="AG1078">
        <f>AVERAGE(Table1[[#This Row],[Range1_Low]:[Range1_High]])</f>
        <v>2200500</v>
      </c>
      <c r="AH1078">
        <v>1</v>
      </c>
    </row>
    <row r="1079" spans="1:34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tr" cm="1">
        <f t="array" ref="U1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79" t="str" cm="1">
        <f t="array" ref="V1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  <c r="AF1079">
        <f>AVERAGE(Table1[[#This Row],[Range2_Low]:[Range2_High]])</f>
        <v>0</v>
      </c>
      <c r="AG1079">
        <f>AVERAGE(Table1[[#This Row],[Range1_Low]:[Range1_High]])</f>
        <v>7150500</v>
      </c>
      <c r="AH1079">
        <v>1</v>
      </c>
    </row>
    <row r="1080" spans="1:34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tr" cm="1">
        <f t="array" ref="U1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80" t="str" cm="1">
        <f t="array" ref="V1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  <c r="AF1080">
        <f>AVERAGE(Table1[[#This Row],[Range2_Low]:[Range2_High]])</f>
        <v>0</v>
      </c>
      <c r="AG1080">
        <f>AVERAGE(Table1[[#This Row],[Range1_Low]:[Range1_High]])</f>
        <v>7150500</v>
      </c>
      <c r="AH1080">
        <v>1</v>
      </c>
    </row>
    <row r="1081" spans="1:34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tr" cm="1">
        <f t="array" ref="U1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kΩ</v>
      </c>
      <c r="V1081" t="str" cm="1">
        <f t="array" ref="V1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kΩ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  <c r="AF1081">
        <f>AVERAGE(Table1[[#This Row],[Range2_Low]:[Range2_High]])</f>
        <v>0</v>
      </c>
      <c r="AG1081">
        <f>AVERAGE(Table1[[#This Row],[Range1_Low]:[Range1_High]])</f>
        <v>7150500</v>
      </c>
      <c r="AH1081">
        <v>1</v>
      </c>
    </row>
    <row r="1082" spans="1:34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tr" cm="1">
        <f t="array" ref="U1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V1082" t="str" cm="1">
        <f t="array" ref="V1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  <c r="AF1082">
        <f>AVERAGE(Table1[[#This Row],[Range2_Low]:[Range2_High]])</f>
        <v>0</v>
      </c>
      <c r="AG1082">
        <f>AVERAGE(Table1[[#This Row],[Range1_Low]:[Range1_High]])</f>
        <v>7150500</v>
      </c>
      <c r="AH1082">
        <v>1</v>
      </c>
    </row>
    <row r="1083" spans="1:34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tr" cm="1">
        <f t="array" ref="U1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3" t="str" cm="1">
        <f t="array" ref="V1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  <c r="AF1083">
        <f>AVERAGE(Table1[[#This Row],[Range2_Low]:[Range2_High]])</f>
        <v>0</v>
      </c>
      <c r="AG1083">
        <f>AVERAGE(Table1[[#This Row],[Range1_Low]:[Range1_High]])</f>
        <v>22000500</v>
      </c>
      <c r="AH1083">
        <v>1</v>
      </c>
    </row>
    <row r="1084" spans="1:34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tr" cm="1">
        <f t="array" ref="U1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4" t="str" cm="1">
        <f t="array" ref="V1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kΩ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  <c r="AF1084">
        <f>AVERAGE(Table1[[#This Row],[Range2_Low]:[Range2_High]])</f>
        <v>0</v>
      </c>
      <c r="AG1084">
        <f>AVERAGE(Table1[[#This Row],[Range1_Low]:[Range1_High]])</f>
        <v>22000500</v>
      </c>
      <c r="AH1084">
        <v>1</v>
      </c>
    </row>
    <row r="1085" spans="1:34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tr" cm="1">
        <f t="array" ref="U1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kΩ</v>
      </c>
      <c r="V1085" t="str" cm="1">
        <f t="array" ref="V1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  <c r="AF1085">
        <f>AVERAGE(Table1[[#This Row],[Range2_Low]:[Range2_High]])</f>
        <v>0</v>
      </c>
      <c r="AG1085">
        <f>AVERAGE(Table1[[#This Row],[Range1_Low]:[Range1_High]])</f>
        <v>22000500</v>
      </c>
      <c r="AH1085">
        <v>1</v>
      </c>
    </row>
    <row r="1086" spans="1:34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tr" cm="1">
        <f t="array" ref="U1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kΩ</v>
      </c>
      <c r="V1086" t="str" cm="1">
        <f t="array" ref="V1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kΩ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  <c r="AF1086">
        <f>AVERAGE(Table1[[#This Row],[Range2_Low]:[Range2_High]])</f>
        <v>0</v>
      </c>
      <c r="AG1086">
        <f>AVERAGE(Table1[[#This Row],[Range1_Low]:[Range1_High]])</f>
        <v>22000500</v>
      </c>
      <c r="AH1086">
        <v>1</v>
      </c>
    </row>
    <row r="1087" spans="1:34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tr" cm="1">
        <f t="array" ref="U1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7" t="str" cm="1">
        <f t="array" ref="V1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  <c r="AF1087">
        <f>AVERAGE(Table1[[#This Row],[Range2_Low]:[Range2_High]])</f>
        <v>0</v>
      </c>
      <c r="AG1087">
        <f>AVERAGE(Table1[[#This Row],[Range1_Low]:[Range1_High]])</f>
        <v>71505000</v>
      </c>
      <c r="AH1087">
        <v>1</v>
      </c>
    </row>
    <row r="1088" spans="1:34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tr" cm="1">
        <f t="array" ref="U1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kΩ</v>
      </c>
      <c r="V1088" t="str" cm="1">
        <f t="array" ref="V1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  <c r="AF1088">
        <f>AVERAGE(Table1[[#This Row],[Range2_Low]:[Range2_High]])</f>
        <v>0</v>
      </c>
      <c r="AG1088">
        <f>AVERAGE(Table1[[#This Row],[Range1_Low]:[Range1_High]])</f>
        <v>71505000</v>
      </c>
      <c r="AH1088">
        <v>1</v>
      </c>
    </row>
    <row r="1089" spans="1:34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tr" cm="1">
        <f t="array" ref="U1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9" t="str" cm="1">
        <f t="array" ref="V1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  <c r="AF1089">
        <f>AVERAGE(Table1[[#This Row],[Range2_Low]:[Range2_High]])</f>
        <v>0</v>
      </c>
      <c r="AG1089">
        <f>AVERAGE(Table1[[#This Row],[Range1_Low]:[Range1_High]])</f>
        <v>71505000</v>
      </c>
      <c r="AH1089">
        <v>1</v>
      </c>
    </row>
    <row r="1090" spans="1:34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tr" cm="1">
        <f t="array" ref="U1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kΩ</v>
      </c>
      <c r="V1090" t="str" cm="1">
        <f t="array" ref="V1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780 kΩ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  <c r="AF1090">
        <f>AVERAGE(Table1[[#This Row],[Range2_Low]:[Range2_High]])</f>
        <v>0</v>
      </c>
      <c r="AG1090">
        <f>AVERAGE(Table1[[#This Row],[Range1_Low]:[Range1_High]])</f>
        <v>71505000</v>
      </c>
      <c r="AH1090">
        <v>1</v>
      </c>
    </row>
    <row r="1091" spans="1:34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tr" cm="1">
        <f t="array" ref="U1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1" t="str" cm="1">
        <f t="array" ref="V1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  <c r="AF1091">
        <f>AVERAGE(Table1[[#This Row],[Range2_Low]:[Range2_High]])</f>
        <v>0</v>
      </c>
      <c r="AG1091">
        <f>AVERAGE(Table1[[#This Row],[Range1_Low]:[Range1_High]])</f>
        <v>220005000</v>
      </c>
      <c r="AH1091">
        <v>1</v>
      </c>
    </row>
    <row r="1092" spans="1:34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tr" cm="1">
        <f t="array" ref="U1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2" t="str" cm="1">
        <f t="array" ref="V1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  <c r="AF1092">
        <f>AVERAGE(Table1[[#This Row],[Range2_Low]:[Range2_High]])</f>
        <v>0</v>
      </c>
      <c r="AG1092">
        <f>AVERAGE(Table1[[#This Row],[Range1_Low]:[Range1_High]])</f>
        <v>220005000</v>
      </c>
      <c r="AH1092">
        <v>1</v>
      </c>
    </row>
    <row r="1093" spans="1:34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tr" cm="1">
        <f t="array" ref="U1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3" t="str" cm="1">
        <f t="array" ref="V1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  <c r="AF1093">
        <f>AVERAGE(Table1[[#This Row],[Range2_Low]:[Range2_High]])</f>
        <v>0</v>
      </c>
      <c r="AG1093">
        <f>AVERAGE(Table1[[#This Row],[Range1_Low]:[Range1_High]])</f>
        <v>220005000</v>
      </c>
      <c r="AH1093">
        <v>1</v>
      </c>
    </row>
    <row r="1094" spans="1:34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tr" cm="1">
        <f t="array" ref="U1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kΩ</v>
      </c>
      <c r="V1094" t="str" cm="1">
        <f t="array" ref="V1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  <c r="AF1094">
        <f>AVERAGE(Table1[[#This Row],[Range2_Low]:[Range2_High]])</f>
        <v>0</v>
      </c>
      <c r="AG1094">
        <f>AVERAGE(Table1[[#This Row],[Range1_Low]:[Range1_High]])</f>
        <v>220005000</v>
      </c>
      <c r="AH1094">
        <v>1</v>
      </c>
    </row>
    <row r="1095" spans="1:34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tr" cm="1">
        <f t="array" ref="U1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5" t="str" cm="1">
        <f t="array" ref="V1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  <c r="AF1095">
        <f>AVERAGE(Table1[[#This Row],[Range2_Low]:[Range2_High]])</f>
        <v>0</v>
      </c>
      <c r="AG1095">
        <f>AVERAGE(Table1[[#This Row],[Range1_Low]:[Range1_High]])</f>
        <v>715005000</v>
      </c>
      <c r="AH1095">
        <v>1</v>
      </c>
    </row>
    <row r="1096" spans="1:34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tr" cm="1">
        <f t="array" ref="U1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6" t="str" cm="1">
        <f t="array" ref="V1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  <c r="AF1096">
        <f>AVERAGE(Table1[[#This Row],[Range2_Low]:[Range2_High]])</f>
        <v>0</v>
      </c>
      <c r="AG1096">
        <f>AVERAGE(Table1[[#This Row],[Range1_Low]:[Range1_High]])</f>
        <v>715005000</v>
      </c>
      <c r="AH1096">
        <v>1</v>
      </c>
    </row>
    <row r="1097" spans="1:34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tr" cm="1">
        <f t="array" ref="U1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7" t="str" cm="1">
        <f t="array" ref="V1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  <c r="AF1097">
        <f>AVERAGE(Table1[[#This Row],[Range2_Low]:[Range2_High]])</f>
        <v>0</v>
      </c>
      <c r="AG1097">
        <f>AVERAGE(Table1[[#This Row],[Range1_Low]:[Range1_High]])</f>
        <v>715005000</v>
      </c>
      <c r="AH1097">
        <v>1</v>
      </c>
    </row>
    <row r="1098" spans="1:34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tr" cm="1">
        <f t="array" ref="U1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kΩ</v>
      </c>
      <c r="V1098" t="str" cm="1">
        <f t="array" ref="V1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kΩ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  <c r="AF1098">
        <f>AVERAGE(Table1[[#This Row],[Range2_Low]:[Range2_High]])</f>
        <v>0</v>
      </c>
      <c r="AG1098">
        <f>AVERAGE(Table1[[#This Row],[Range1_Low]:[Range1_High]])</f>
        <v>715005000</v>
      </c>
      <c r="AH1098">
        <v>1</v>
      </c>
    </row>
    <row r="1099" spans="1:34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tr" cm="1">
        <f t="array" ref="U1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099" t="str" cm="1">
        <f t="array" ref="V1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  <c r="AF1099">
        <f>AVERAGE(Table1[[#This Row],[Range2_Low]:[Range2_High]])</f>
        <v>0</v>
      </c>
      <c r="AG1099">
        <f>AVERAGE(Table1[[#This Row],[Range1_Low]:[Range1_High]])</f>
        <v>1100500000</v>
      </c>
      <c r="AH1099">
        <v>1</v>
      </c>
    </row>
    <row r="1100" spans="1:34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tr" cm="1">
        <f t="array" ref="U1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0" t="str" cm="1">
        <f t="array" ref="V1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  <c r="AF1100">
        <f>AVERAGE(Table1[[#This Row],[Range2_Low]:[Range2_High]])</f>
        <v>0</v>
      </c>
      <c r="AG1100">
        <f>AVERAGE(Table1[[#This Row],[Range1_Low]:[Range1_High]])</f>
        <v>1100500000</v>
      </c>
      <c r="AH1100">
        <v>1</v>
      </c>
    </row>
    <row r="1101" spans="1:34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tr" cm="1">
        <f t="array" ref="U1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1" t="str" cm="1">
        <f t="array" ref="V1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  <c r="AF1101">
        <f>AVERAGE(Table1[[#This Row],[Range2_Low]:[Range2_High]])</f>
        <v>0</v>
      </c>
      <c r="AG1101">
        <f>AVERAGE(Table1[[#This Row],[Range1_Low]:[Range1_High]])</f>
        <v>1100500000</v>
      </c>
      <c r="AH1101">
        <v>1</v>
      </c>
    </row>
    <row r="1102" spans="1:34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tr" cm="1">
        <f t="array" ref="U1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2" t="str" cm="1">
        <f t="array" ref="V1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  <c r="AF1102">
        <f>AVERAGE(Table1[[#This Row],[Range2_Low]:[Range2_High]])</f>
        <v>0</v>
      </c>
      <c r="AG1102">
        <f>AVERAGE(Table1[[#This Row],[Range1_Low]:[Range1_High]])</f>
        <v>1100500000</v>
      </c>
      <c r="AH1102">
        <v>1</v>
      </c>
    </row>
    <row r="1103" spans="1:34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tr" cm="1">
        <f t="array" ref="U1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0.0065 Hz</v>
      </c>
      <c r="V1103" t="str" cm="1">
        <f t="array" ref="V1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Hz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  <c r="AF1103">
        <f>AVERAGE(Table1[[#This Row],[Range2_Low]:[Range2_High]])</f>
        <v>0</v>
      </c>
      <c r="AG1103">
        <f>AVERAGE(Table1[[#This Row],[Range1_Low]:[Range1_High]])</f>
        <v>60.000500000000002</v>
      </c>
      <c r="AH1103">
        <v>1</v>
      </c>
    </row>
    <row r="1104" spans="1:34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tr" cm="1">
        <f t="array" ref="U1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0.0067 Hz</v>
      </c>
      <c r="V1104" t="str" cm="1">
        <f t="array" ref="V1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0.0073 Hz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  <c r="AF1104">
        <f>AVERAGE(Table1[[#This Row],[Range2_Low]:[Range2_High]])</f>
        <v>0</v>
      </c>
      <c r="AG1104">
        <f>AVERAGE(Table1[[#This Row],[Range1_Low]:[Range1_High]])</f>
        <v>60.000500000000002</v>
      </c>
      <c r="AH1104">
        <v>1</v>
      </c>
    </row>
    <row r="1105" spans="1:34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89">
        <v>3.3129000000000001E-6</v>
      </c>
      <c r="P1105">
        <v>5.7745999999999999E-2</v>
      </c>
      <c r="Q1105">
        <v>1.4481E-6</v>
      </c>
      <c r="U1105" t="str" cm="1">
        <f t="array" ref="U1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105" t="str" cm="1">
        <f t="array" ref="V1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  <c r="AF1105">
        <f>AVERAGE(Table1[[#This Row],[Range2_Low]:[Range2_High]])</f>
        <v>0</v>
      </c>
      <c r="AG1105">
        <f>AVERAGE(Table1[[#This Row],[Range1_Low]:[Range1_High]])</f>
        <v>60.000500000000002</v>
      </c>
      <c r="AH1105">
        <v>1</v>
      </c>
    </row>
    <row r="1106" spans="1:34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tr" cm="1">
        <f t="array" ref="U1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06" t="str" cm="1">
        <f t="array" ref="V1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  <c r="AF1106">
        <f>AVERAGE(Table1[[#This Row],[Range2_Low]:[Range2_High]])</f>
        <v>0</v>
      </c>
      <c r="AG1106">
        <f>AVERAGE(Table1[[#This Row],[Range1_Low]:[Range1_High]])</f>
        <v>60.000500000000002</v>
      </c>
      <c r="AH1106">
        <v>1</v>
      </c>
    </row>
    <row r="1107" spans="1:34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tr" cm="1">
        <f t="array" ref="U1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07" t="str" cm="1">
        <f t="array" ref="V1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  <c r="AF1107">
        <f>AVERAGE(Table1[[#This Row],[Range2_Low]:[Range2_High]])</f>
        <v>0</v>
      </c>
      <c r="AG1107">
        <f>AVERAGE(Table1[[#This Row],[Range1_Low]:[Range1_High]])</f>
        <v>60.000500000000002</v>
      </c>
      <c r="AH1107">
        <v>1</v>
      </c>
    </row>
    <row r="1108" spans="1:34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tr" cm="1">
        <f t="array" ref="U1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08" t="str" cm="1">
        <f t="array" ref="V1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  <c r="AF1108">
        <f>AVERAGE(Table1[[#This Row],[Range2_Low]:[Range2_High]])</f>
        <v>0</v>
      </c>
      <c r="AG1108">
        <f>AVERAGE(Table1[[#This Row],[Range1_Low]:[Range1_High]])</f>
        <v>60.000500000000002</v>
      </c>
      <c r="AH1108">
        <v>1</v>
      </c>
    </row>
    <row r="1109" spans="1:34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tr" cm="1">
        <f t="array" ref="U1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09" t="str" cm="1">
        <f t="array" ref="V1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  <c r="AF1109">
        <f>AVERAGE(Table1[[#This Row],[Range2_Low]:[Range2_High]])</f>
        <v>0</v>
      </c>
      <c r="AG1109">
        <f>AVERAGE(Table1[[#This Row],[Range1_Low]:[Range1_High]])</f>
        <v>60.000500000000002</v>
      </c>
      <c r="AH1109">
        <v>1</v>
      </c>
    </row>
    <row r="1110" spans="1:34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tr" cm="1">
        <f t="array" ref="U1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0" t="str" cm="1">
        <f t="array" ref="V1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0.066 Hz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  <c r="AF1110">
        <f>AVERAGE(Table1[[#This Row],[Range2_Low]:[Range2_High]])</f>
        <v>0</v>
      </c>
      <c r="AG1110">
        <f>AVERAGE(Table1[[#This Row],[Range1_Low]:[Range1_High]])</f>
        <v>660.005</v>
      </c>
      <c r="AH1110">
        <v>1</v>
      </c>
    </row>
    <row r="1111" spans="1:34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tr" cm="1">
        <f t="array" ref="U1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1" t="str" cm="1">
        <f t="array" ref="V1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Hz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  <c r="AF1111">
        <f>AVERAGE(Table1[[#This Row],[Range2_Low]:[Range2_High]])</f>
        <v>0</v>
      </c>
      <c r="AG1111">
        <f>AVERAGE(Table1[[#This Row],[Range1_Low]:[Range1_High]])</f>
        <v>660.005</v>
      </c>
      <c r="AH1111">
        <v>1</v>
      </c>
    </row>
    <row r="1112" spans="1:34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tr" cm="1">
        <f t="array" ref="U1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12" t="str" cm="1">
        <f t="array" ref="V1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  <c r="AF1112">
        <f>AVERAGE(Table1[[#This Row],[Range2_Low]:[Range2_High]])</f>
        <v>0</v>
      </c>
      <c r="AG1112">
        <f>AVERAGE(Table1[[#This Row],[Range1_Low]:[Range1_High]])</f>
        <v>660.005</v>
      </c>
      <c r="AH1112">
        <v>1</v>
      </c>
    </row>
    <row r="1113" spans="1:34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tr" cm="1">
        <f t="array" ref="U1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3" t="str" cm="1">
        <f t="array" ref="V1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  <c r="AF1113">
        <f>AVERAGE(Table1[[#This Row],[Range2_Low]:[Range2_High]])</f>
        <v>0</v>
      </c>
      <c r="AG1113">
        <f>AVERAGE(Table1[[#This Row],[Range1_Low]:[Range1_High]])</f>
        <v>660.005</v>
      </c>
      <c r="AH1113">
        <v>1</v>
      </c>
    </row>
    <row r="1114" spans="1:34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tr" cm="1">
        <f t="array" ref="U1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Hz</v>
      </c>
      <c r="V1114" t="str" cm="1">
        <f t="array" ref="V1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Hz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  <c r="AF1114">
        <f>AVERAGE(Table1[[#This Row],[Range2_Low]:[Range2_High]])</f>
        <v>0</v>
      </c>
      <c r="AG1114">
        <f>AVERAGE(Table1[[#This Row],[Range1_Low]:[Range1_High]])</f>
        <v>6600.5</v>
      </c>
      <c r="AH1114">
        <v>1</v>
      </c>
    </row>
    <row r="1115" spans="1:34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tr" cm="1">
        <f t="array" ref="U1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5" t="str" cm="1">
        <f t="array" ref="V1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  <c r="AF1115">
        <f>AVERAGE(Table1[[#This Row],[Range2_Low]:[Range2_High]])</f>
        <v>0</v>
      </c>
      <c r="AG1115">
        <f>AVERAGE(Table1[[#This Row],[Range1_Low]:[Range1_High]])</f>
        <v>6600.5</v>
      </c>
      <c r="AH1115">
        <v>1</v>
      </c>
    </row>
    <row r="1116" spans="1:34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tr" cm="1">
        <f t="array" ref="U1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16" t="str" cm="1">
        <f t="array" ref="V1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  <c r="AF1116">
        <f>AVERAGE(Table1[[#This Row],[Range2_Low]:[Range2_High]])</f>
        <v>0</v>
      </c>
      <c r="AG1116">
        <f>AVERAGE(Table1[[#This Row],[Range1_Low]:[Range1_High]])</f>
        <v>6600.5</v>
      </c>
      <c r="AH1116">
        <v>1</v>
      </c>
    </row>
    <row r="1117" spans="1:34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tr" cm="1">
        <f t="array" ref="U1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7" t="str" cm="1">
        <f t="array" ref="V1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  <c r="AF1117">
        <f>AVERAGE(Table1[[#This Row],[Range2_Low]:[Range2_High]])</f>
        <v>0</v>
      </c>
      <c r="AG1117">
        <f>AVERAGE(Table1[[#This Row],[Range1_Low]:[Range1_High]])</f>
        <v>66005</v>
      </c>
      <c r="AH1117">
        <v>1</v>
      </c>
    </row>
    <row r="1118" spans="1:34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tr" cm="1">
        <f t="array" ref="U1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8" t="str" cm="1">
        <f t="array" ref="V1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  <c r="AF1118">
        <f>AVERAGE(Table1[[#This Row],[Range2_Low]:[Range2_High]])</f>
        <v>0</v>
      </c>
      <c r="AG1118">
        <f>AVERAGE(Table1[[#This Row],[Range1_Low]:[Range1_High]])</f>
        <v>66005</v>
      </c>
      <c r="AH1118">
        <v>1</v>
      </c>
    </row>
    <row r="1119" spans="1:34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tr" cm="1">
        <f t="array" ref="U1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Hz</v>
      </c>
      <c r="V1119" t="str" cm="1">
        <f t="array" ref="V1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Hz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  <c r="AF1119">
        <f>AVERAGE(Table1[[#This Row],[Range2_Low]:[Range2_High]])</f>
        <v>0</v>
      </c>
      <c r="AG1119">
        <f>AVERAGE(Table1[[#This Row],[Range1_Low]:[Range1_High]])</f>
        <v>66005</v>
      </c>
      <c r="AH1119">
        <v>1</v>
      </c>
    </row>
    <row r="1120" spans="1:34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tr" cm="1">
        <f t="array" ref="U1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0" t="str" cm="1">
        <f t="array" ref="V1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  <c r="AF1120">
        <f>AVERAGE(Table1[[#This Row],[Range2_Low]:[Range2_High]])</f>
        <v>0</v>
      </c>
      <c r="AG1120">
        <f>AVERAGE(Table1[[#This Row],[Range1_Low]:[Range1_High]])</f>
        <v>66005</v>
      </c>
      <c r="AH1120">
        <v>1</v>
      </c>
    </row>
    <row r="1121" spans="1:34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tr" cm="1">
        <f t="array" ref="U1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Hz</v>
      </c>
      <c r="V1121" t="str" cm="1">
        <f t="array" ref="V1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Hz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  <c r="AF1121">
        <f>AVERAGE(Table1[[#This Row],[Range2_Low]:[Range2_High]])</f>
        <v>0</v>
      </c>
      <c r="AG1121">
        <f>AVERAGE(Table1[[#This Row],[Range1_Low]:[Range1_High]])</f>
        <v>660005</v>
      </c>
      <c r="AH1121">
        <v>1</v>
      </c>
    </row>
    <row r="1122" spans="1:34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tr" cm="1">
        <f t="array" ref="U1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Hz</v>
      </c>
      <c r="V1122" t="str" cm="1">
        <f t="array" ref="V1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Hz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  <c r="AF1122">
        <f>AVERAGE(Table1[[#This Row],[Range2_Low]:[Range2_High]])</f>
        <v>0</v>
      </c>
      <c r="AG1122">
        <f>AVERAGE(Table1[[#This Row],[Range1_Low]:[Range1_High]])</f>
        <v>660005</v>
      </c>
      <c r="AH1122">
        <v>1</v>
      </c>
    </row>
    <row r="1123" spans="1:34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tr" cm="1">
        <f t="array" ref="U1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3" t="str" cm="1">
        <f t="array" ref="V1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  <c r="AF1123">
        <f>AVERAGE(Table1[[#This Row],[Range2_Low]:[Range2_High]])</f>
        <v>0</v>
      </c>
      <c r="AG1123">
        <f>AVERAGE(Table1[[#This Row],[Range1_Low]:[Range1_High]])</f>
        <v>660005</v>
      </c>
      <c r="AH1123">
        <v>1</v>
      </c>
    </row>
    <row r="1124" spans="1:34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tr" cm="1">
        <f t="array" ref="U1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1124" t="str" cm="1">
        <f t="array" ref="V1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  <c r="AF1124">
        <f>AVERAGE(Table1[[#This Row],[Range2_Low]:[Range2_High]])</f>
        <v>0</v>
      </c>
      <c r="AG1124">
        <f>AVERAGE(Table1[[#This Row],[Range1_Low]:[Range1_High]])</f>
        <v>660005</v>
      </c>
      <c r="AH1124">
        <v>1</v>
      </c>
    </row>
    <row r="1125" spans="1:34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tr" cm="1">
        <f t="array" ref="U1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kHz</v>
      </c>
      <c r="V1125" t="str" cm="1">
        <f t="array" ref="V1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kHz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  <c r="AF1125">
        <f>AVERAGE(Table1[[#This Row],[Range2_Low]:[Range2_High]])</f>
        <v>0</v>
      </c>
      <c r="AG1125">
        <f>AVERAGE(Table1[[#This Row],[Range1_Low]:[Range1_High]])</f>
        <v>1600000</v>
      </c>
      <c r="AH1125">
        <v>1</v>
      </c>
    </row>
    <row r="1126" spans="1:34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tr" cm="1">
        <f t="array" ref="U1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kHz</v>
      </c>
      <c r="V1126" t="str" cm="1">
        <f t="array" ref="V1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kHz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  <c r="AF1126">
        <f>AVERAGE(Table1[[#This Row],[Range2_Low]:[Range2_High]])</f>
        <v>0</v>
      </c>
      <c r="AG1126">
        <f>AVERAGE(Table1[[#This Row],[Range1_Low]:[Range1_High]])</f>
        <v>1600000</v>
      </c>
      <c r="AH1126">
        <v>1</v>
      </c>
    </row>
    <row r="1127" spans="1:34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tr" cm="1">
        <f t="array" ref="U1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kHz</v>
      </c>
      <c r="V1127" t="str" cm="1">
        <f t="array" ref="V1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kHz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  <c r="AF1127">
        <f>AVERAGE(Table1[[#This Row],[Range2_Low]:[Range2_High]])</f>
        <v>0</v>
      </c>
      <c r="AG1127">
        <f>AVERAGE(Table1[[#This Row],[Range1_Low]:[Range1_High]])</f>
        <v>1600000</v>
      </c>
      <c r="AH1127">
        <v>1</v>
      </c>
    </row>
    <row r="1128" spans="1:34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tr" cm="1">
        <f t="array" ref="U1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kHz</v>
      </c>
      <c r="V1128" t="str" cm="1">
        <f t="array" ref="V1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kHz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  <c r="AF1128">
        <f>AVERAGE(Table1[[#This Row],[Range2_Low]:[Range2_High]])</f>
        <v>0</v>
      </c>
      <c r="AG1128">
        <f>AVERAGE(Table1[[#This Row],[Range1_Low]:[Range1_High]])</f>
        <v>1600000</v>
      </c>
      <c r="AH1128">
        <v>1</v>
      </c>
    </row>
    <row r="1129" spans="1:34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tr" cm="1">
        <f t="array" ref="U1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V1129" t="str" cm="1">
        <f t="array" ref="V1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  <c r="AF1129">
        <f>AVERAGE(Table1[[#This Row],[Range2_Low]:[Range2_High]])</f>
        <v>0</v>
      </c>
      <c r="AG1129">
        <f>AVERAGE(Table1[[#This Row],[Range1_Low]:[Range1_High]])</f>
        <v>2000500</v>
      </c>
      <c r="AH1129">
        <v>1</v>
      </c>
    </row>
    <row r="1130" spans="1:34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tr" cm="1">
        <f t="array" ref="U1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V1130" t="str" cm="1">
        <f t="array" ref="V1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  <c r="AF1130">
        <f>AVERAGE(Table1[[#This Row],[Range2_Low]:[Range2_High]])</f>
        <v>0</v>
      </c>
      <c r="AG1130">
        <f>AVERAGE(Table1[[#This Row],[Range1_Low]:[Range1_High]])</f>
        <v>2000500</v>
      </c>
      <c r="AH1130">
        <v>1</v>
      </c>
    </row>
    <row r="1131" spans="1:34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tr" cm="1">
        <f t="array" ref="U1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V1131" t="str" cm="1">
        <f t="array" ref="V1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  <c r="AF1131">
        <f>AVERAGE(Table1[[#This Row],[Range2_Low]:[Range2_High]])</f>
        <v>0</v>
      </c>
      <c r="AG1131">
        <f>AVERAGE(Table1[[#This Row],[Range1_Low]:[Range1_High]])</f>
        <v>2000500</v>
      </c>
      <c r="AH1131">
        <v>1</v>
      </c>
    </row>
    <row r="1132" spans="1:34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tr" cm="1">
        <f t="array" ref="U1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V1132" t="str" cm="1">
        <f t="array" ref="V1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  <c r="AF1132">
        <f>AVERAGE(Table1[[#This Row],[Range2_Low]:[Range2_High]])</f>
        <v>0</v>
      </c>
      <c r="AG1132">
        <f>AVERAGE(Table1[[#This Row],[Range1_Low]:[Range1_High]])</f>
        <v>2000500</v>
      </c>
      <c r="AH1132">
        <v>1</v>
      </c>
    </row>
    <row r="1133" spans="1:34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167</v>
      </c>
      <c r="U1133" t="str" cm="1">
        <f t="array" ref="U1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V1133" t="str" cm="1">
        <f t="array" ref="V1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  <c r="AF1133">
        <f>AVERAGE(Table1[[#This Row],[Range2_Low]:[Range2_High]])</f>
        <v>0</v>
      </c>
      <c r="AG1133">
        <f>AVERAGE(Table1[[#This Row],[Range1_Low]:[Range1_High]])</f>
        <v>-327.95</v>
      </c>
      <c r="AH1133">
        <v>1</v>
      </c>
    </row>
    <row r="1134" spans="1:34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167</v>
      </c>
      <c r="U1134" t="str" cm="1">
        <f t="array" ref="U1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134" t="str" cm="1">
        <f t="array" ref="V1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  <c r="AF1134">
        <f>AVERAGE(Table1[[#This Row],[Range2_Low]:[Range2_High]])</f>
        <v>0</v>
      </c>
      <c r="AG1134">
        <f>AVERAGE(Table1[[#This Row],[Range1_Low]:[Range1_High]])</f>
        <v>-327.95</v>
      </c>
      <c r="AH1134">
        <v>1</v>
      </c>
    </row>
    <row r="1135" spans="1:34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167</v>
      </c>
      <c r="U1135" t="str" cm="1">
        <f t="array" ref="U1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35" t="str" cm="1">
        <f t="array" ref="V1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  <c r="AF1135">
        <f>AVERAGE(Table1[[#This Row],[Range2_Low]:[Range2_High]])</f>
        <v>0</v>
      </c>
      <c r="AG1135">
        <f>AVERAGE(Table1[[#This Row],[Range1_Low]:[Range1_High]])</f>
        <v>-102.95</v>
      </c>
      <c r="AH1135">
        <v>1</v>
      </c>
    </row>
    <row r="1136" spans="1:34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167</v>
      </c>
      <c r="U1136" t="str" cm="1">
        <f t="array" ref="U1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136" t="str" cm="1">
        <f t="array" ref="V1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  <c r="AF1136">
        <f>AVERAGE(Table1[[#This Row],[Range2_Low]:[Range2_High]])</f>
        <v>0</v>
      </c>
      <c r="AG1136">
        <f>AVERAGE(Table1[[#This Row],[Range1_Low]:[Range1_High]])</f>
        <v>-102.95</v>
      </c>
      <c r="AH1136">
        <v>1</v>
      </c>
    </row>
    <row r="1137" spans="1:34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167</v>
      </c>
      <c r="U1137" t="str" cm="1">
        <f t="array" ref="U1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V1137" t="str" cm="1">
        <f t="array" ref="V1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  <c r="AF1137">
        <f>AVERAGE(Table1[[#This Row],[Range2_Low]:[Range2_High]])</f>
        <v>0</v>
      </c>
      <c r="AG1137">
        <f>AVERAGE(Table1[[#This Row],[Range1_Low]:[Range1_High]])</f>
        <v>140.05000000000001</v>
      </c>
      <c r="AH1137">
        <v>1</v>
      </c>
    </row>
    <row r="1138" spans="1:34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167</v>
      </c>
      <c r="U1138" t="str" cm="1">
        <f t="array" ref="U1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38" t="str" cm="1">
        <f t="array" ref="V1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  <c r="AF1138">
        <f>AVERAGE(Table1[[#This Row],[Range2_Low]:[Range2_High]])</f>
        <v>0</v>
      </c>
      <c r="AG1138">
        <f>AVERAGE(Table1[[#This Row],[Range1_Low]:[Range1_High]])</f>
        <v>140.05000000000001</v>
      </c>
      <c r="AH1138">
        <v>1</v>
      </c>
    </row>
    <row r="1139" spans="1:34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167</v>
      </c>
      <c r="U1139" t="str" cm="1">
        <f t="array" ref="U1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39" t="str" cm="1">
        <f t="array" ref="V1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  <c r="AF1139">
        <f>AVERAGE(Table1[[#This Row],[Range2_Low]:[Range2_High]])</f>
        <v>0</v>
      </c>
      <c r="AG1139">
        <f>AVERAGE(Table1[[#This Row],[Range1_Low]:[Range1_High]])</f>
        <v>500</v>
      </c>
      <c r="AH1139">
        <v>1</v>
      </c>
    </row>
    <row r="1140" spans="1:34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167</v>
      </c>
      <c r="U1140" t="str" cm="1">
        <f t="array" ref="U1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0" t="str" cm="1">
        <f t="array" ref="V1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  <c r="AF1140">
        <f>AVERAGE(Table1[[#This Row],[Range2_Low]:[Range2_High]])</f>
        <v>0</v>
      </c>
      <c r="AG1140">
        <f>AVERAGE(Table1[[#This Row],[Range1_Low]:[Range1_High]])</f>
        <v>500</v>
      </c>
      <c r="AH1140">
        <v>1</v>
      </c>
    </row>
    <row r="1141" spans="1:34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167</v>
      </c>
      <c r="U1141" t="str" cm="1">
        <f t="array" ref="U1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41" t="str" cm="1">
        <f t="array" ref="V1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  <c r="AF1141">
        <f>AVERAGE(Table1[[#This Row],[Range2_Low]:[Range2_High]])</f>
        <v>0</v>
      </c>
      <c r="AG1141">
        <f>AVERAGE(Table1[[#This Row],[Range1_Low]:[Range1_High]])</f>
        <v>752.05</v>
      </c>
      <c r="AH1141">
        <v>1</v>
      </c>
    </row>
    <row r="1142" spans="1:34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167</v>
      </c>
      <c r="U1142" t="str" cm="1">
        <f t="array" ref="U1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2" t="str" cm="1">
        <f t="array" ref="V1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  <c r="AF1142">
        <f>AVERAGE(Table1[[#This Row],[Range2_Low]:[Range2_High]])</f>
        <v>0</v>
      </c>
      <c r="AG1142">
        <f>AVERAGE(Table1[[#This Row],[Range1_Low]:[Range1_High]])</f>
        <v>752.05</v>
      </c>
      <c r="AH1142">
        <v>1</v>
      </c>
    </row>
    <row r="1143" spans="1:34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166</v>
      </c>
      <c r="U1143" t="str" cm="1">
        <f t="array" ref="U1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3" t="str" cm="1">
        <f t="array" ref="V1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  <c r="AF1143">
        <f>AVERAGE(Table1[[#This Row],[Range2_Low]:[Range2_High]])</f>
        <v>0</v>
      </c>
      <c r="AG1143">
        <f>AVERAGE(Table1[[#This Row],[Range1_Low]:[Range1_High]])</f>
        <v>257.05</v>
      </c>
      <c r="AH1143">
        <v>1</v>
      </c>
    </row>
    <row r="1144" spans="1:34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166</v>
      </c>
      <c r="U1144" t="str" cm="1">
        <f t="array" ref="U1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44" t="str" cm="1">
        <f t="array" ref="V1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  <c r="AF1144">
        <f>AVERAGE(Table1[[#This Row],[Range2_Low]:[Range2_High]])</f>
        <v>0</v>
      </c>
      <c r="AG1144">
        <f>AVERAGE(Table1[[#This Row],[Range1_Low]:[Range1_High]])</f>
        <v>257.05</v>
      </c>
      <c r="AH1144">
        <v>1</v>
      </c>
    </row>
    <row r="1145" spans="1:34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166</v>
      </c>
      <c r="U1145" t="str" cm="1">
        <f t="array" ref="U1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145" t="str" cm="1">
        <f t="array" ref="V1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  <c r="AF1145">
        <f>AVERAGE(Table1[[#This Row],[Range2_Low]:[Range2_High]])</f>
        <v>0</v>
      </c>
      <c r="AG1145">
        <f>AVERAGE(Table1[[#This Row],[Range1_Low]:[Range1_High]])</f>
        <v>1157.05</v>
      </c>
      <c r="AH1145">
        <v>1</v>
      </c>
    </row>
    <row r="1146" spans="1:34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166</v>
      </c>
      <c r="U1146" t="str" cm="1">
        <f t="array" ref="U1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V1146" t="str" cm="1">
        <f t="array" ref="V1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  <c r="AF1146">
        <f>AVERAGE(Table1[[#This Row],[Range2_Low]:[Range2_High]])</f>
        <v>0</v>
      </c>
      <c r="AG1146">
        <f>AVERAGE(Table1[[#This Row],[Range1_Low]:[Range1_High]])</f>
        <v>1157.05</v>
      </c>
      <c r="AH1146">
        <v>1</v>
      </c>
    </row>
    <row r="1147" spans="1:34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166</v>
      </c>
      <c r="U1147" t="str" cm="1">
        <f t="array" ref="U1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47" t="str" cm="1">
        <f t="array" ref="V1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  <c r="AF1147">
        <f>AVERAGE(Table1[[#This Row],[Range2_Low]:[Range2_High]])</f>
        <v>0</v>
      </c>
      <c r="AG1147">
        <f>AVERAGE(Table1[[#This Row],[Range1_Low]:[Range1_High]])</f>
        <v>2192.0500000000002</v>
      </c>
      <c r="AH1147">
        <v>1</v>
      </c>
    </row>
    <row r="1148" spans="1:34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166</v>
      </c>
      <c r="U1148" t="str" cm="1">
        <f t="array" ref="U1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8" t="str" cm="1">
        <f t="array" ref="V1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  <c r="AF1148">
        <f>AVERAGE(Table1[[#This Row],[Range2_Low]:[Range2_High]])</f>
        <v>0</v>
      </c>
      <c r="AG1148">
        <f>AVERAGE(Table1[[#This Row],[Range1_Low]:[Range1_High]])</f>
        <v>2192.0500000000002</v>
      </c>
      <c r="AH1148">
        <v>1</v>
      </c>
    </row>
    <row r="1149" spans="1:34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166</v>
      </c>
      <c r="U1149" t="str" cm="1">
        <f t="array" ref="U1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49" t="str" cm="1">
        <f t="array" ref="V1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  <c r="AF1149">
        <f>AVERAGE(Table1[[#This Row],[Range2_Low]:[Range2_High]])</f>
        <v>0</v>
      </c>
      <c r="AG1149">
        <f>AVERAGE(Table1[[#This Row],[Range1_Low]:[Range1_High]])</f>
        <v>2882.5</v>
      </c>
      <c r="AH1149">
        <v>1</v>
      </c>
    </row>
    <row r="1150" spans="1:34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166</v>
      </c>
      <c r="U1150" t="str" cm="1">
        <f t="array" ref="U1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0" t="str" cm="1">
        <f t="array" ref="V1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  <c r="AF1150">
        <f>AVERAGE(Table1[[#This Row],[Range2_Low]:[Range2_High]])</f>
        <v>0</v>
      </c>
      <c r="AG1150">
        <f>AVERAGE(Table1[[#This Row],[Range1_Low]:[Range1_High]])</f>
        <v>2882.5</v>
      </c>
      <c r="AH1150">
        <v>1</v>
      </c>
    </row>
    <row r="1151" spans="1:34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166</v>
      </c>
      <c r="U1151" t="str" cm="1">
        <f t="array" ref="U1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1" t="str" cm="1">
        <f t="array" ref="V1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  <c r="AF1151">
        <f>AVERAGE(Table1[[#This Row],[Range2_Low]:[Range2_High]])</f>
        <v>0</v>
      </c>
      <c r="AG1151">
        <f>AVERAGE(Table1[[#This Row],[Range1_Low]:[Range1_High]])</f>
        <v>3213.05</v>
      </c>
      <c r="AH1151">
        <v>1</v>
      </c>
    </row>
    <row r="1152" spans="1:34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166</v>
      </c>
      <c r="U1152" t="str" cm="1">
        <f t="array" ref="U1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2" t="str" cm="1">
        <f t="array" ref="V1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  <c r="AF1152">
        <f>AVERAGE(Table1[[#This Row],[Range2_Low]:[Range2_High]])</f>
        <v>0</v>
      </c>
      <c r="AG1152">
        <f>AVERAGE(Table1[[#This Row],[Range1_Low]:[Range1_High]])</f>
        <v>3213.05</v>
      </c>
      <c r="AH1152">
        <v>1</v>
      </c>
    </row>
    <row r="1153" spans="1:34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165</v>
      </c>
      <c r="U1153" t="str" cm="1">
        <f t="array" ref="U1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53" t="str" cm="1">
        <f t="array" ref="V1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  <c r="AF1153">
        <f>AVERAGE(Table1[[#This Row],[Range2_Low]:[Range2_High]])</f>
        <v>0</v>
      </c>
      <c r="AG1153">
        <f>AVERAGE(Table1[[#This Row],[Range1_Low]:[Range1_High]])</f>
        <v>257.05</v>
      </c>
      <c r="AH1153">
        <v>1</v>
      </c>
    </row>
    <row r="1154" spans="1:34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165</v>
      </c>
      <c r="U1154" t="str" cm="1">
        <f t="array" ref="U1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V1154" t="str" cm="1">
        <f t="array" ref="V1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  <c r="AF1154">
        <f>AVERAGE(Table1[[#This Row],[Range2_Low]:[Range2_High]])</f>
        <v>0</v>
      </c>
      <c r="AG1154">
        <f>AVERAGE(Table1[[#This Row],[Range1_Low]:[Range1_High]])</f>
        <v>257.05</v>
      </c>
      <c r="AH1154">
        <v>1</v>
      </c>
    </row>
    <row r="1155" spans="1:34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165</v>
      </c>
      <c r="U1155" t="str" cm="1">
        <f t="array" ref="U1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55" t="str" cm="1">
        <f t="array" ref="V1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  <c r="AF1155">
        <f>AVERAGE(Table1[[#This Row],[Range2_Low]:[Range2_High]])</f>
        <v>0</v>
      </c>
      <c r="AG1155">
        <f>AVERAGE(Table1[[#This Row],[Range1_Low]:[Range1_High]])</f>
        <v>617.04999999999995</v>
      </c>
      <c r="AH1155">
        <v>1</v>
      </c>
    </row>
    <row r="1156" spans="1:34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165</v>
      </c>
      <c r="U1156" t="str" cm="1">
        <f t="array" ref="U1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V1156" t="str" cm="1">
        <f t="array" ref="V1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  <c r="AF1156">
        <f>AVERAGE(Table1[[#This Row],[Range2_Low]:[Range2_High]])</f>
        <v>0</v>
      </c>
      <c r="AG1156">
        <f>AVERAGE(Table1[[#This Row],[Range1_Low]:[Range1_High]])</f>
        <v>617.04999999999995</v>
      </c>
      <c r="AH1156">
        <v>1</v>
      </c>
    </row>
    <row r="1157" spans="1:34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165</v>
      </c>
      <c r="U1157" t="str" cm="1">
        <f t="array" ref="U1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157" t="str" cm="1">
        <f t="array" ref="V1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  <c r="AF1157">
        <f>AVERAGE(Table1[[#This Row],[Range2_Low]:[Range2_High]])</f>
        <v>0</v>
      </c>
      <c r="AG1157">
        <f>AVERAGE(Table1[[#This Row],[Range1_Low]:[Range1_High]])</f>
        <v>1292.05</v>
      </c>
      <c r="AH1157">
        <v>1</v>
      </c>
    </row>
    <row r="1158" spans="1:34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165</v>
      </c>
      <c r="U1158" t="str" cm="1">
        <f t="array" ref="U1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158" t="str" cm="1">
        <f t="array" ref="V1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  <c r="AF1158">
        <f>AVERAGE(Table1[[#This Row],[Range2_Low]:[Range2_High]])</f>
        <v>0</v>
      </c>
      <c r="AG1158">
        <f>AVERAGE(Table1[[#This Row],[Range1_Low]:[Range1_High]])</f>
        <v>1292.05</v>
      </c>
      <c r="AH1158">
        <v>1</v>
      </c>
    </row>
    <row r="1159" spans="1:34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165</v>
      </c>
      <c r="U1159" t="str" cm="1">
        <f t="array" ref="U1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9" t="str" cm="1">
        <f t="array" ref="V1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  <c r="AF1159">
        <f>AVERAGE(Table1[[#This Row],[Range2_Low]:[Range2_High]])</f>
        <v>0</v>
      </c>
      <c r="AG1159">
        <f>AVERAGE(Table1[[#This Row],[Range1_Low]:[Range1_High]])</f>
        <v>2522.5</v>
      </c>
      <c r="AH1159">
        <v>1</v>
      </c>
    </row>
    <row r="1160" spans="1:34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165</v>
      </c>
      <c r="U1160" t="str" cm="1">
        <f t="array" ref="U1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0" t="str" cm="1">
        <f t="array" ref="V1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  <c r="AF1160">
        <f>AVERAGE(Table1[[#This Row],[Range2_Low]:[Range2_High]])</f>
        <v>0</v>
      </c>
      <c r="AG1160">
        <f>AVERAGE(Table1[[#This Row],[Range1_Low]:[Range1_High]])</f>
        <v>2522.5</v>
      </c>
      <c r="AH1160">
        <v>1</v>
      </c>
    </row>
    <row r="1161" spans="1:34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165</v>
      </c>
      <c r="U1161" t="str" cm="1">
        <f t="array" ref="U1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61" t="str" cm="1">
        <f t="array" ref="V1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  <c r="AF1161">
        <f>AVERAGE(Table1[[#This Row],[Range2_Low]:[Range2_High]])</f>
        <v>0</v>
      </c>
      <c r="AG1161">
        <f>AVERAGE(Table1[[#This Row],[Range1_Low]:[Range1_High]])</f>
        <v>3213.05</v>
      </c>
      <c r="AH1161">
        <v>1</v>
      </c>
    </row>
    <row r="1162" spans="1:34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165</v>
      </c>
      <c r="U1162" t="str" cm="1">
        <f t="array" ref="U1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2" t="str" cm="1">
        <f t="array" ref="V1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  <c r="AF1162">
        <f>AVERAGE(Table1[[#This Row],[Range2_Low]:[Range2_High]])</f>
        <v>0</v>
      </c>
      <c r="AG1162">
        <f>AVERAGE(Table1[[#This Row],[Range1_Low]:[Range1_High]])</f>
        <v>3213.05</v>
      </c>
      <c r="AH1162">
        <v>1</v>
      </c>
    </row>
    <row r="1163" spans="1:34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169</v>
      </c>
      <c r="U1163" t="str" cm="1">
        <f t="array" ref="U1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163" t="str" cm="1">
        <f t="array" ref="V1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  <c r="AF1163">
        <f>AVERAGE(Table1[[#This Row],[Range2_Low]:[Range2_High]])</f>
        <v>0</v>
      </c>
      <c r="AG1163">
        <f>AVERAGE(Table1[[#This Row],[Range1_Low]:[Range1_High]])</f>
        <v>-147.94999999999999</v>
      </c>
      <c r="AH1163">
        <v>1</v>
      </c>
    </row>
    <row r="1164" spans="1:34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169</v>
      </c>
      <c r="U1164" t="str" cm="1">
        <f t="array" ref="U1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4" t="str" cm="1">
        <f t="array" ref="V1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  <c r="AF1164">
        <f>AVERAGE(Table1[[#This Row],[Range2_Low]:[Range2_High]])</f>
        <v>0</v>
      </c>
      <c r="AG1164">
        <f>AVERAGE(Table1[[#This Row],[Range1_Low]:[Range1_High]])</f>
        <v>-147.94999999999999</v>
      </c>
      <c r="AH1164">
        <v>1</v>
      </c>
    </row>
    <row r="1165" spans="1:34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169</v>
      </c>
      <c r="U1165" t="str" cm="1">
        <f t="array" ref="U1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5" t="str" cm="1">
        <f t="array" ref="V1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  <c r="AF1165">
        <f>AVERAGE(Table1[[#This Row],[Range2_Low]:[Range2_High]])</f>
        <v>0</v>
      </c>
      <c r="AG1165">
        <f>AVERAGE(Table1[[#This Row],[Range1_Low]:[Range1_High]])</f>
        <v>122.05</v>
      </c>
      <c r="AH1165">
        <v>1</v>
      </c>
    </row>
    <row r="1166" spans="1:34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169</v>
      </c>
      <c r="U1166" t="str" cm="1">
        <f t="array" ref="U1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6" t="str" cm="1">
        <f t="array" ref="V1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  <c r="AF1166">
        <f>AVERAGE(Table1[[#This Row],[Range2_Low]:[Range2_High]])</f>
        <v>0</v>
      </c>
      <c r="AG1166">
        <f>AVERAGE(Table1[[#This Row],[Range1_Low]:[Range1_High]])</f>
        <v>356.05</v>
      </c>
      <c r="AH1166">
        <v>1</v>
      </c>
    </row>
    <row r="1167" spans="1:34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169</v>
      </c>
      <c r="U1167" t="str" cm="1">
        <f t="array" ref="U1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7" t="str" cm="1">
        <f t="array" ref="V1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  <c r="AF1167">
        <f>AVERAGE(Table1[[#This Row],[Range2_Low]:[Range2_High]])</f>
        <v>0</v>
      </c>
      <c r="AG1167">
        <f>AVERAGE(Table1[[#This Row],[Range1_Low]:[Range1_High]])</f>
        <v>356.05</v>
      </c>
      <c r="AH1167">
        <v>1</v>
      </c>
    </row>
    <row r="1168" spans="1:34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169</v>
      </c>
      <c r="U1168" t="str" cm="1">
        <f t="array" ref="U1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168" t="str" cm="1">
        <f t="array" ref="V1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  <c r="AF1168">
        <f>AVERAGE(Table1[[#This Row],[Range2_Low]:[Range2_High]])</f>
        <v>0</v>
      </c>
      <c r="AG1168">
        <f>AVERAGE(Table1[[#This Row],[Range1_Low]:[Range1_High]])</f>
        <v>536.04999999999995</v>
      </c>
      <c r="AH1168">
        <v>1</v>
      </c>
    </row>
    <row r="1169" spans="1:34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169</v>
      </c>
      <c r="U1169" t="str" cm="1">
        <f t="array" ref="U1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69" t="str" cm="1">
        <f t="array" ref="V1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  <c r="AF1169">
        <f>AVERAGE(Table1[[#This Row],[Range2_Low]:[Range2_High]])</f>
        <v>0</v>
      </c>
      <c r="AG1169">
        <f>AVERAGE(Table1[[#This Row],[Range1_Low]:[Range1_High]])</f>
        <v>536.04999999999995</v>
      </c>
      <c r="AH1169">
        <v>1</v>
      </c>
    </row>
    <row r="1170" spans="1:34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169</v>
      </c>
      <c r="U1170" t="str" cm="1">
        <f t="array" ref="U1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70" t="str" cm="1">
        <f t="array" ref="V1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  <c r="AF1170">
        <f>AVERAGE(Table1[[#This Row],[Range2_Low]:[Range2_High]])</f>
        <v>0</v>
      </c>
      <c r="AG1170">
        <f>AVERAGE(Table1[[#This Row],[Range1_Low]:[Range1_High]])</f>
        <v>662.05</v>
      </c>
      <c r="AH1170">
        <v>1</v>
      </c>
    </row>
    <row r="1171" spans="1:34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169</v>
      </c>
      <c r="U1171" t="str" cm="1">
        <f t="array" ref="U1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71" t="str" cm="1">
        <f t="array" ref="V1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  <c r="AF1171">
        <f>AVERAGE(Table1[[#This Row],[Range2_Low]:[Range2_High]])</f>
        <v>0</v>
      </c>
      <c r="AG1171">
        <f>AVERAGE(Table1[[#This Row],[Range1_Low]:[Range1_High]])</f>
        <v>662.05</v>
      </c>
      <c r="AH1171">
        <v>1</v>
      </c>
    </row>
    <row r="1172" spans="1:34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169</v>
      </c>
      <c r="U1172" t="str" cm="1">
        <f t="array" ref="U1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172" t="str" cm="1">
        <f t="array" ref="V1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  <c r="AF1172">
        <f>AVERAGE(Table1[[#This Row],[Range2_Low]:[Range2_High]])</f>
        <v>0</v>
      </c>
      <c r="AG1172">
        <f>AVERAGE(Table1[[#This Row],[Range1_Low]:[Range1_High]])</f>
        <v>932.05</v>
      </c>
      <c r="AH1172">
        <v>1</v>
      </c>
    </row>
    <row r="1173" spans="1:34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169</v>
      </c>
      <c r="U1173" t="str" cm="1">
        <f t="array" ref="U1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1173" t="str" cm="1">
        <f t="array" ref="V1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  <c r="AF1173">
        <f>AVERAGE(Table1[[#This Row],[Range2_Low]:[Range2_High]])</f>
        <v>0</v>
      </c>
      <c r="AG1173">
        <f>AVERAGE(Table1[[#This Row],[Range1_Low]:[Range1_High]])</f>
        <v>932.05</v>
      </c>
      <c r="AH1173">
        <v>1</v>
      </c>
    </row>
    <row r="1174" spans="1:34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169</v>
      </c>
      <c r="U1174" t="str" cm="1">
        <f t="array" ref="U1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4" t="str" cm="1">
        <f t="array" ref="V1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  <c r="AF1174">
        <f>AVERAGE(Table1[[#This Row],[Range2_Low]:[Range2_High]])</f>
        <v>0</v>
      </c>
      <c r="AG1174">
        <f>AVERAGE(Table1[[#This Row],[Range1_Low]:[Range1_High]])</f>
        <v>1139</v>
      </c>
      <c r="AH1174">
        <v>1</v>
      </c>
    </row>
    <row r="1175" spans="1:34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169</v>
      </c>
      <c r="U1175" t="str" cm="1">
        <f t="array" ref="U1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5" t="str" cm="1">
        <f t="array" ref="V1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  <c r="AF1175">
        <f>AVERAGE(Table1[[#This Row],[Range2_Low]:[Range2_High]])</f>
        <v>0</v>
      </c>
      <c r="AG1175">
        <f>AVERAGE(Table1[[#This Row],[Range1_Low]:[Range1_High]])</f>
        <v>1139</v>
      </c>
      <c r="AH1175">
        <v>1</v>
      </c>
    </row>
    <row r="1176" spans="1:34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169</v>
      </c>
      <c r="U1176" t="str" cm="1">
        <f t="array" ref="U1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6" t="str" cm="1">
        <f t="array" ref="V1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  <c r="AF1176">
        <f>AVERAGE(Table1[[#This Row],[Range2_Low]:[Range2_High]])</f>
        <v>0</v>
      </c>
      <c r="AG1176">
        <f>AVERAGE(Table1[[#This Row],[Range1_Low]:[Range1_High]])</f>
        <v>1166.05</v>
      </c>
      <c r="AH1176">
        <v>1</v>
      </c>
    </row>
    <row r="1177" spans="1:34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169</v>
      </c>
      <c r="U1177" t="str" cm="1">
        <f t="array" ref="U1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7" t="str" cm="1">
        <f t="array" ref="V1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  <c r="AF1177">
        <f>AVERAGE(Table1[[#This Row],[Range2_Low]:[Range2_High]])</f>
        <v>0</v>
      </c>
      <c r="AG1177">
        <f>AVERAGE(Table1[[#This Row],[Range1_Low]:[Range1_High]])</f>
        <v>1166.05</v>
      </c>
      <c r="AH1177">
        <v>1</v>
      </c>
    </row>
    <row r="1178" spans="1:34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168</v>
      </c>
      <c r="U1178" t="str" cm="1">
        <f t="array" ref="U1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178" t="str" cm="1">
        <f t="array" ref="V1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  <c r="AF1178">
        <f>AVERAGE(Table1[[#This Row],[Range2_Low]:[Range2_High]])</f>
        <v>0</v>
      </c>
      <c r="AG1178">
        <f>AVERAGE(Table1[[#This Row],[Range1_Low]:[Range1_High]])</f>
        <v>-147.94999999999999</v>
      </c>
      <c r="AH1178">
        <v>1</v>
      </c>
    </row>
    <row r="1179" spans="1:34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168</v>
      </c>
      <c r="U1179" t="str" cm="1">
        <f t="array" ref="U1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79" t="str" cm="1">
        <f t="array" ref="V1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  <c r="AF1179">
        <f>AVERAGE(Table1[[#This Row],[Range2_Low]:[Range2_High]])</f>
        <v>0</v>
      </c>
      <c r="AG1179">
        <f>AVERAGE(Table1[[#This Row],[Range1_Low]:[Range1_High]])</f>
        <v>-147.94999999999999</v>
      </c>
      <c r="AH1179">
        <v>1</v>
      </c>
    </row>
    <row r="1180" spans="1:34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168</v>
      </c>
      <c r="U1180" t="str" cm="1">
        <f t="array" ref="U1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0" t="str" cm="1">
        <f t="array" ref="V1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  <c r="AF1180">
        <f>AVERAGE(Table1[[#This Row],[Range2_Low]:[Range2_High]])</f>
        <v>0</v>
      </c>
      <c r="AG1180">
        <f>AVERAGE(Table1[[#This Row],[Range1_Low]:[Range1_High]])</f>
        <v>122.05</v>
      </c>
      <c r="AH1180">
        <v>1</v>
      </c>
    </row>
    <row r="1181" spans="1:34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168</v>
      </c>
      <c r="U1181" t="str" cm="1">
        <f t="array" ref="U1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1" t="str" cm="1">
        <f t="array" ref="V1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  <c r="AF1181">
        <f>AVERAGE(Table1[[#This Row],[Range2_Low]:[Range2_High]])</f>
        <v>0</v>
      </c>
      <c r="AG1181">
        <f>AVERAGE(Table1[[#This Row],[Range1_Low]:[Range1_High]])</f>
        <v>122.05</v>
      </c>
      <c r="AH1181">
        <v>1</v>
      </c>
    </row>
    <row r="1182" spans="1:34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168</v>
      </c>
      <c r="U1182" t="str" cm="1">
        <f t="array" ref="U1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2" t="str" cm="1">
        <f t="array" ref="V1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  <c r="AF1182">
        <f>AVERAGE(Table1[[#This Row],[Range2_Low]:[Range2_High]])</f>
        <v>0</v>
      </c>
      <c r="AG1182">
        <f>AVERAGE(Table1[[#This Row],[Range1_Low]:[Range1_High]])</f>
        <v>392.05</v>
      </c>
      <c r="AH1182">
        <v>1</v>
      </c>
    </row>
    <row r="1183" spans="1:34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168</v>
      </c>
      <c r="U1183" t="str" cm="1">
        <f t="array" ref="U1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3" t="str" cm="1">
        <f t="array" ref="V1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  <c r="AF1183">
        <f>AVERAGE(Table1[[#This Row],[Range2_Low]:[Range2_High]])</f>
        <v>0</v>
      </c>
      <c r="AG1183">
        <f>AVERAGE(Table1[[#This Row],[Range1_Low]:[Range1_High]])</f>
        <v>392.05</v>
      </c>
      <c r="AH1183">
        <v>1</v>
      </c>
    </row>
    <row r="1184" spans="1:34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168</v>
      </c>
      <c r="U1184" t="str" cm="1">
        <f t="array" ref="U1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84" t="str" cm="1">
        <f t="array" ref="V1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  <c r="AF1184">
        <f>AVERAGE(Table1[[#This Row],[Range2_Low]:[Range2_High]])</f>
        <v>0</v>
      </c>
      <c r="AG1184">
        <f>AVERAGE(Table1[[#This Row],[Range1_Low]:[Range1_High]])</f>
        <v>662.05</v>
      </c>
      <c r="AH1184">
        <v>1</v>
      </c>
    </row>
    <row r="1185" spans="1:34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168</v>
      </c>
      <c r="U1185" t="str" cm="1">
        <f t="array" ref="U1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185" t="str" cm="1">
        <f t="array" ref="V1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  <c r="AF1185">
        <f>AVERAGE(Table1[[#This Row],[Range2_Low]:[Range2_High]])</f>
        <v>0</v>
      </c>
      <c r="AG1185">
        <f>AVERAGE(Table1[[#This Row],[Range1_Low]:[Range1_High]])</f>
        <v>662.05</v>
      </c>
      <c r="AH1185">
        <v>1</v>
      </c>
    </row>
    <row r="1186" spans="1:34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168</v>
      </c>
      <c r="U1186" t="str" cm="1">
        <f t="array" ref="U1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V1186" t="str" cm="1">
        <f t="array" ref="V1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  <c r="AF1186">
        <f>AVERAGE(Table1[[#This Row],[Range2_Low]:[Range2_High]])</f>
        <v>0</v>
      </c>
      <c r="AG1186">
        <f>AVERAGE(Table1[[#This Row],[Range1_Low]:[Range1_High]])</f>
        <v>959.05</v>
      </c>
      <c r="AH1186">
        <v>1</v>
      </c>
    </row>
    <row r="1187" spans="1:34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168</v>
      </c>
      <c r="U1187" t="str" cm="1">
        <f t="array" ref="U1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187" t="str" cm="1">
        <f t="array" ref="V1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  <c r="AF1187">
        <f>AVERAGE(Table1[[#This Row],[Range2_Low]:[Range2_High]])</f>
        <v>0</v>
      </c>
      <c r="AG1187">
        <f>AVERAGE(Table1[[#This Row],[Range1_Low]:[Range1_High]])</f>
        <v>959.05</v>
      </c>
      <c r="AH1187">
        <v>1</v>
      </c>
    </row>
    <row r="1188" spans="1:34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168</v>
      </c>
      <c r="U1188" t="str" cm="1">
        <f t="array" ref="U1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88" t="str" cm="1">
        <f t="array" ref="V1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  <c r="AF1188">
        <f>AVERAGE(Table1[[#This Row],[Range2_Low]:[Range2_High]])</f>
        <v>0</v>
      </c>
      <c r="AG1188">
        <f>AVERAGE(Table1[[#This Row],[Range1_Low]:[Range1_High]])</f>
        <v>1319</v>
      </c>
      <c r="AH1188">
        <v>1</v>
      </c>
    </row>
    <row r="1189" spans="1:34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168</v>
      </c>
      <c r="U1189" t="str" cm="1">
        <f t="array" ref="U1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89" t="str" cm="1">
        <f t="array" ref="V1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  <c r="AF1189">
        <f>AVERAGE(Table1[[#This Row],[Range2_Low]:[Range2_High]])</f>
        <v>0</v>
      </c>
      <c r="AG1189">
        <f>AVERAGE(Table1[[#This Row],[Range1_Low]:[Range1_High]])</f>
        <v>1319</v>
      </c>
      <c r="AH1189">
        <v>1</v>
      </c>
    </row>
    <row r="1190" spans="1:34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168</v>
      </c>
      <c r="U1190" t="str" cm="1">
        <f t="array" ref="U1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90" t="str" cm="1">
        <f t="array" ref="V1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  <c r="AF1190">
        <f>AVERAGE(Table1[[#This Row],[Range2_Low]:[Range2_High]])</f>
        <v>0</v>
      </c>
      <c r="AG1190">
        <f>AVERAGE(Table1[[#This Row],[Range1_Low]:[Range1_High]])</f>
        <v>1472.05</v>
      </c>
      <c r="AH1190">
        <v>1</v>
      </c>
    </row>
    <row r="1191" spans="1:34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168</v>
      </c>
      <c r="U1191" t="str" cm="1">
        <f t="array" ref="U1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91" t="str" cm="1">
        <f t="array" ref="V1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  <c r="AF1191">
        <f>AVERAGE(Table1[[#This Row],[Range2_Low]:[Range2_High]])</f>
        <v>0</v>
      </c>
      <c r="AG1191">
        <f>AVERAGE(Table1[[#This Row],[Range1_Low]:[Range1_High]])</f>
        <v>1472.05</v>
      </c>
      <c r="AH1191">
        <v>1</v>
      </c>
    </row>
    <row r="1192" spans="1:34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164</v>
      </c>
      <c r="U1192" t="str" cm="1">
        <f t="array" ref="U1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192" t="str" cm="1">
        <f t="array" ref="V1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  <c r="AF1192">
        <f>AVERAGE(Table1[[#This Row],[Range2_Low]:[Range2_High]])</f>
        <v>0</v>
      </c>
      <c r="AG1192">
        <f>AVERAGE(Table1[[#This Row],[Range1_Low]:[Range1_High]])</f>
        <v>-237.95</v>
      </c>
      <c r="AH1192">
        <v>1</v>
      </c>
    </row>
    <row r="1193" spans="1:34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164</v>
      </c>
      <c r="U1193" t="str" cm="1">
        <f t="array" ref="U1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93" t="str" cm="1">
        <f t="array" ref="V1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  <c r="AF1193">
        <f>AVERAGE(Table1[[#This Row],[Range2_Low]:[Range2_High]])</f>
        <v>0</v>
      </c>
      <c r="AG1193">
        <f>AVERAGE(Table1[[#This Row],[Range1_Low]:[Range1_High]])</f>
        <v>-237.95</v>
      </c>
      <c r="AH1193">
        <v>1</v>
      </c>
    </row>
    <row r="1194" spans="1:34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164</v>
      </c>
      <c r="U1194" t="str" cm="1">
        <f t="array" ref="U1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V1194" t="str" cm="1">
        <f t="array" ref="V1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  <c r="AF1194">
        <f>AVERAGE(Table1[[#This Row],[Range2_Low]:[Range2_High]])</f>
        <v>0</v>
      </c>
      <c r="AG1194">
        <f>AVERAGE(Table1[[#This Row],[Range1_Low]:[Range1_High]])</f>
        <v>-80.45</v>
      </c>
      <c r="AH1194">
        <v>1</v>
      </c>
    </row>
    <row r="1195" spans="1:34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164</v>
      </c>
      <c r="U1195" t="str" cm="1">
        <f t="array" ref="U1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1195" t="str" cm="1">
        <f t="array" ref="V1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  <c r="AF1195">
        <f>AVERAGE(Table1[[#This Row],[Range2_Low]:[Range2_High]])</f>
        <v>0</v>
      </c>
      <c r="AG1195">
        <f>AVERAGE(Table1[[#This Row],[Range1_Low]:[Range1_High]])</f>
        <v>-80.45</v>
      </c>
      <c r="AH1195">
        <v>1</v>
      </c>
    </row>
    <row r="1196" spans="1:34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164</v>
      </c>
      <c r="U1196" t="str" cm="1">
        <f t="array" ref="U1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V1196" t="str" cm="1">
        <f t="array" ref="V1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  <c r="AF1196">
        <f>AVERAGE(Table1[[#This Row],[Range2_Low]:[Range2_High]])</f>
        <v>0</v>
      </c>
      <c r="AG1196">
        <f>AVERAGE(Table1[[#This Row],[Range1_Low]:[Range1_High]])</f>
        <v>117.55</v>
      </c>
      <c r="AH1196">
        <v>1</v>
      </c>
    </row>
    <row r="1197" spans="1:34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164</v>
      </c>
      <c r="U1197" t="str" cm="1">
        <f t="array" ref="U1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197" t="str" cm="1">
        <f t="array" ref="V1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  <c r="AF1197">
        <f>AVERAGE(Table1[[#This Row],[Range2_Low]:[Range2_High]])</f>
        <v>0</v>
      </c>
      <c r="AG1197">
        <f>AVERAGE(Table1[[#This Row],[Range1_Low]:[Range1_High]])</f>
        <v>117.55</v>
      </c>
      <c r="AH1197">
        <v>1</v>
      </c>
    </row>
    <row r="1198" spans="1:34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164</v>
      </c>
      <c r="U1198" t="str" cm="1">
        <f t="array" ref="U1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98" t="str" cm="1">
        <f t="array" ref="V1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  <c r="AF1198">
        <f>AVERAGE(Table1[[#This Row],[Range2_Low]:[Range2_High]])</f>
        <v>0</v>
      </c>
      <c r="AG1198">
        <f>AVERAGE(Table1[[#This Row],[Range1_Low]:[Range1_High]])</f>
        <v>509.05</v>
      </c>
      <c r="AH1198">
        <v>1</v>
      </c>
    </row>
    <row r="1199" spans="1:34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164</v>
      </c>
      <c r="U1199" t="str" cm="1">
        <f t="array" ref="U1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V1199" t="str" cm="1">
        <f t="array" ref="V1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  <c r="AF1199">
        <f>AVERAGE(Table1[[#This Row],[Range2_Low]:[Range2_High]])</f>
        <v>0</v>
      </c>
      <c r="AG1199">
        <f>AVERAGE(Table1[[#This Row],[Range1_Low]:[Range1_High]])</f>
        <v>509.05</v>
      </c>
      <c r="AH1199">
        <v>1</v>
      </c>
    </row>
    <row r="1200" spans="1:34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164</v>
      </c>
      <c r="U1200" t="str" cm="1">
        <f t="array" ref="U1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0" t="str" cm="1">
        <f t="array" ref="V1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  <c r="AF1200">
        <f>AVERAGE(Table1[[#This Row],[Range2_Low]:[Range2_High]])</f>
        <v>0</v>
      </c>
      <c r="AG1200">
        <f>AVERAGE(Table1[[#This Row],[Range1_Low]:[Range1_High]])</f>
        <v>1571</v>
      </c>
      <c r="AH1200">
        <v>1</v>
      </c>
    </row>
    <row r="1201" spans="1:34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164</v>
      </c>
      <c r="U1201" t="str" cm="1">
        <f t="array" ref="U1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1" t="str" cm="1">
        <f t="array" ref="V1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  <c r="AF1201">
        <f>AVERAGE(Table1[[#This Row],[Range2_Low]:[Range2_High]])</f>
        <v>0</v>
      </c>
      <c r="AG1201">
        <f>AVERAGE(Table1[[#This Row],[Range1_Low]:[Range1_High]])</f>
        <v>1571</v>
      </c>
      <c r="AH1201">
        <v>1</v>
      </c>
    </row>
    <row r="1202" spans="1:34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164</v>
      </c>
      <c r="U1202" t="str" cm="1">
        <f t="array" ref="U1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2" t="str" cm="1">
        <f t="array" ref="V1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  <c r="AF1202">
        <f>AVERAGE(Table1[[#This Row],[Range2_Low]:[Range2_High]])</f>
        <v>0</v>
      </c>
      <c r="AG1202">
        <f>AVERAGE(Table1[[#This Row],[Range1_Low]:[Range1_High]])</f>
        <v>2372.0500000000002</v>
      </c>
      <c r="AH1202">
        <v>1</v>
      </c>
    </row>
    <row r="1203" spans="1:34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164</v>
      </c>
      <c r="U1203" t="str" cm="1">
        <f t="array" ref="U1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3" t="str" cm="1">
        <f t="array" ref="V1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  <c r="AF1203">
        <f>AVERAGE(Table1[[#This Row],[Range2_Low]:[Range2_High]])</f>
        <v>0</v>
      </c>
      <c r="AG1203">
        <f>AVERAGE(Table1[[#This Row],[Range1_Low]:[Range1_High]])</f>
        <v>2372.0500000000002</v>
      </c>
      <c r="AH1203">
        <v>1</v>
      </c>
    </row>
    <row r="1204" spans="1:34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tr" cm="1">
        <f t="array" ref="U1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4" t="str" cm="1">
        <f t="array" ref="V1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  <c r="AF1204">
        <f>AVERAGE(Table1[[#This Row],[Range2_Low]:[Range2_High]])</f>
        <v>0</v>
      </c>
      <c r="AG1204">
        <f>AVERAGE(Table1[[#This Row],[Range1_Low]:[Range1_High]])</f>
        <v>-237.95</v>
      </c>
      <c r="AH1204">
        <v>1</v>
      </c>
    </row>
    <row r="1205" spans="1:34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tr" cm="1">
        <f t="array" ref="U1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205" t="str" cm="1">
        <f t="array" ref="V1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  <c r="AF1205">
        <f>AVERAGE(Table1[[#This Row],[Range2_Low]:[Range2_High]])</f>
        <v>0</v>
      </c>
      <c r="AG1205">
        <f>AVERAGE(Table1[[#This Row],[Range1_Low]:[Range1_High]])</f>
        <v>-237.95</v>
      </c>
      <c r="AH1205">
        <v>1</v>
      </c>
    </row>
    <row r="1206" spans="1:34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tr" cm="1">
        <f t="array" ref="U1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V1206" t="str" cm="1">
        <f t="array" ref="V1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  <c r="AF1206">
        <f>AVERAGE(Table1[[#This Row],[Range2_Low]:[Range2_High]])</f>
        <v>0</v>
      </c>
      <c r="AG1206">
        <f>AVERAGE(Table1[[#This Row],[Range1_Low]:[Range1_High]])</f>
        <v>-80.45</v>
      </c>
      <c r="AH1206">
        <v>1</v>
      </c>
    </row>
    <row r="1207" spans="1:34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tr" cm="1">
        <f t="array" ref="U1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07" t="str" cm="1">
        <f t="array" ref="V1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  <c r="AF1207">
        <f>AVERAGE(Table1[[#This Row],[Range2_Low]:[Range2_High]])</f>
        <v>0</v>
      </c>
      <c r="AG1207">
        <f>AVERAGE(Table1[[#This Row],[Range1_Low]:[Range1_High]])</f>
        <v>-80.45</v>
      </c>
      <c r="AH1207">
        <v>1</v>
      </c>
    </row>
    <row r="1208" spans="1:34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tr" cm="1">
        <f t="array" ref="U1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V1208" t="str" cm="1">
        <f t="array" ref="V1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  <c r="AF1208">
        <f>AVERAGE(Table1[[#This Row],[Range2_Low]:[Range2_High]])</f>
        <v>0</v>
      </c>
      <c r="AG1208">
        <f>AVERAGE(Table1[[#This Row],[Range1_Low]:[Range1_High]])</f>
        <v>117.55</v>
      </c>
      <c r="AH1208">
        <v>1</v>
      </c>
    </row>
    <row r="1209" spans="1:34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tr" cm="1">
        <f t="array" ref="U1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9" t="str" cm="1">
        <f t="array" ref="V1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  <c r="AF1209">
        <f>AVERAGE(Table1[[#This Row],[Range2_Low]:[Range2_High]])</f>
        <v>0</v>
      </c>
      <c r="AG1209">
        <f>AVERAGE(Table1[[#This Row],[Range1_Low]:[Range1_High]])</f>
        <v>117.55</v>
      </c>
      <c r="AH1209">
        <v>1</v>
      </c>
    </row>
    <row r="1210" spans="1:34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tr" cm="1">
        <f t="array" ref="U1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V1210" t="str" cm="1">
        <f t="array" ref="V1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  <c r="AF1210">
        <f>AVERAGE(Table1[[#This Row],[Range2_Low]:[Range2_High]])</f>
        <v>0</v>
      </c>
      <c r="AG1210">
        <f>AVERAGE(Table1[[#This Row],[Range1_Low]:[Range1_High]])</f>
        <v>1040.05</v>
      </c>
      <c r="AH1210">
        <v>1</v>
      </c>
    </row>
    <row r="1211" spans="1:34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tr" cm="1">
        <f t="array" ref="U1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211" t="str" cm="1">
        <f t="array" ref="V1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  <c r="AF1211">
        <f>AVERAGE(Table1[[#This Row],[Range2_Low]:[Range2_High]])</f>
        <v>0</v>
      </c>
      <c r="AG1211">
        <f>AVERAGE(Table1[[#This Row],[Range1_Low]:[Range1_High]])</f>
        <v>1040.05</v>
      </c>
      <c r="AH1211">
        <v>1</v>
      </c>
    </row>
    <row r="1212" spans="1:34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tr" cm="1">
        <f t="array" ref="U1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2" t="str" cm="1">
        <f t="array" ref="V1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  <c r="AF1212">
        <f>AVERAGE(Table1[[#This Row],[Range2_Low]:[Range2_High]])</f>
        <v>0</v>
      </c>
      <c r="AG1212">
        <f>AVERAGE(Table1[[#This Row],[Range1_Low]:[Range1_High]])</f>
        <v>2166</v>
      </c>
      <c r="AH1212">
        <v>1</v>
      </c>
    </row>
    <row r="1213" spans="1:34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tr" cm="1">
        <f t="array" ref="U1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3" t="str" cm="1">
        <f t="array" ref="V1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  <c r="AF1213">
        <f>AVERAGE(Table1[[#This Row],[Range2_Low]:[Range2_High]])</f>
        <v>0</v>
      </c>
      <c r="AG1213">
        <f>AVERAGE(Table1[[#This Row],[Range1_Low]:[Range1_High]])</f>
        <v>2166</v>
      </c>
      <c r="AH1213">
        <v>1</v>
      </c>
    </row>
    <row r="1214" spans="1:34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tr" cm="1">
        <f t="array" ref="U1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4" t="str" cm="1">
        <f t="array" ref="V1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  <c r="AF1214">
        <f>AVERAGE(Table1[[#This Row],[Range2_Low]:[Range2_High]])</f>
        <v>0</v>
      </c>
      <c r="AG1214">
        <f>AVERAGE(Table1[[#This Row],[Range1_Low]:[Range1_High]])</f>
        <v>2500.0500000000002</v>
      </c>
      <c r="AH1214">
        <v>1</v>
      </c>
    </row>
    <row r="1215" spans="1:34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tr" cm="1">
        <f t="array" ref="U1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5" t="str" cm="1">
        <f t="array" ref="V1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  <c r="AF1215">
        <f>AVERAGE(Table1[[#This Row],[Range2_Low]:[Range2_High]])</f>
        <v>0</v>
      </c>
      <c r="AG1215">
        <f>AVERAGE(Table1[[#This Row],[Range1_Low]:[Range1_High]])</f>
        <v>2500.0500000000002</v>
      </c>
      <c r="AH1215">
        <v>1</v>
      </c>
    </row>
    <row r="1216" spans="1:34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163</v>
      </c>
      <c r="U1216" t="str" cm="1">
        <f t="array" ref="U1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216" t="str" cm="1">
        <f t="array" ref="V1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  <c r="AF1216">
        <f>AVERAGE(Table1[[#This Row],[Range2_Low]:[Range2_High]])</f>
        <v>0</v>
      </c>
      <c r="AG1216">
        <f>AVERAGE(Table1[[#This Row],[Range1_Low]:[Range1_High]])</f>
        <v>-246.95</v>
      </c>
      <c r="AH1216">
        <v>1</v>
      </c>
    </row>
    <row r="1217" spans="1:34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163</v>
      </c>
      <c r="U1217" t="str" cm="1">
        <f t="array" ref="U1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V1217" t="str" cm="1">
        <f t="array" ref="V1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  <c r="AF1217">
        <f>AVERAGE(Table1[[#This Row],[Range2_Low]:[Range2_High]])</f>
        <v>0</v>
      </c>
      <c r="AG1217">
        <f>AVERAGE(Table1[[#This Row],[Range1_Low]:[Range1_High]])</f>
        <v>-246.95</v>
      </c>
      <c r="AH1217">
        <v>1</v>
      </c>
    </row>
    <row r="1218" spans="1:34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163</v>
      </c>
      <c r="U1218" t="str" cm="1">
        <f t="array" ref="U1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18" t="str" cm="1">
        <f t="array" ref="V1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  <c r="AF1218">
        <f>AVERAGE(Table1[[#This Row],[Range2_Low]:[Range2_High]])</f>
        <v>0</v>
      </c>
      <c r="AG1218">
        <f>AVERAGE(Table1[[#This Row],[Range1_Low]:[Range1_High]])</f>
        <v>-84.95</v>
      </c>
      <c r="AH1218">
        <v>1</v>
      </c>
    </row>
    <row r="1219" spans="1:34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163</v>
      </c>
      <c r="U1219" t="str" cm="1">
        <f t="array" ref="U1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19" t="str" cm="1">
        <f t="array" ref="V1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  <c r="AF1219">
        <f>AVERAGE(Table1[[#This Row],[Range2_Low]:[Range2_High]])</f>
        <v>0</v>
      </c>
      <c r="AG1219">
        <f>AVERAGE(Table1[[#This Row],[Range1_Low]:[Range1_High]])</f>
        <v>-84.95</v>
      </c>
      <c r="AH1219">
        <v>1</v>
      </c>
    </row>
    <row r="1220" spans="1:34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163</v>
      </c>
      <c r="U1220" t="str" cm="1">
        <f t="array" ref="U1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V1220" t="str" cm="1">
        <f t="array" ref="V1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  <c r="AF1220">
        <f>AVERAGE(Table1[[#This Row],[Range2_Low]:[Range2_High]])</f>
        <v>0</v>
      </c>
      <c r="AG1220">
        <f>AVERAGE(Table1[[#This Row],[Range1_Low]:[Range1_High]])</f>
        <v>140.05000000000001</v>
      </c>
      <c r="AH1220">
        <v>1</v>
      </c>
    </row>
    <row r="1221" spans="1:34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163</v>
      </c>
      <c r="U1221" t="str" cm="1">
        <f t="array" ref="U1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21" t="str" cm="1">
        <f t="array" ref="V1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  <c r="AF1221">
        <f>AVERAGE(Table1[[#This Row],[Range2_Low]:[Range2_High]])</f>
        <v>0</v>
      </c>
      <c r="AG1221">
        <f>AVERAGE(Table1[[#This Row],[Range1_Low]:[Range1_High]])</f>
        <v>140.05000000000001</v>
      </c>
      <c r="AH1221">
        <v>1</v>
      </c>
    </row>
    <row r="1222" spans="1:34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163</v>
      </c>
      <c r="U1222" t="str" cm="1">
        <f t="array" ref="U1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V1222" t="str" cm="1">
        <f t="array" ref="V1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  <c r="AF1222">
        <f>AVERAGE(Table1[[#This Row],[Range2_Low]:[Range2_High]])</f>
        <v>0</v>
      </c>
      <c r="AG1222">
        <f>AVERAGE(Table1[[#This Row],[Range1_Low]:[Range1_High]])</f>
        <v>851.05</v>
      </c>
      <c r="AH1222">
        <v>1</v>
      </c>
    </row>
    <row r="1223" spans="1:34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163</v>
      </c>
      <c r="U1223" t="str" cm="1">
        <f t="array" ref="U1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23" t="str" cm="1">
        <f t="array" ref="V1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  <c r="AF1223">
        <f>AVERAGE(Table1[[#This Row],[Range2_Low]:[Range2_High]])</f>
        <v>0</v>
      </c>
      <c r="AG1223">
        <f>AVERAGE(Table1[[#This Row],[Range1_Low]:[Range1_High]])</f>
        <v>851.05</v>
      </c>
      <c r="AH1223">
        <v>1</v>
      </c>
    </row>
    <row r="1224" spans="1:34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163</v>
      </c>
      <c r="U1224" t="str" cm="1">
        <f t="array" ref="U1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4" t="str" cm="1">
        <f t="array" ref="V1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  <c r="AF1224">
        <f>AVERAGE(Table1[[#This Row],[Range2_Low]:[Range2_High]])</f>
        <v>0</v>
      </c>
      <c r="AG1224">
        <f>AVERAGE(Table1[[#This Row],[Range1_Low]:[Range1_High]])</f>
        <v>1796</v>
      </c>
      <c r="AH1224">
        <v>1</v>
      </c>
    </row>
    <row r="1225" spans="1:34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163</v>
      </c>
      <c r="U1225" t="str" cm="1">
        <f t="array" ref="U1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5" t="str" cm="1">
        <f t="array" ref="V1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  <c r="AF1225">
        <f>AVERAGE(Table1[[#This Row],[Range2_Low]:[Range2_High]])</f>
        <v>0</v>
      </c>
      <c r="AG1225">
        <f>AVERAGE(Table1[[#This Row],[Range1_Low]:[Range1_High]])</f>
        <v>1796</v>
      </c>
      <c r="AH1225">
        <v>1</v>
      </c>
    </row>
    <row r="1226" spans="1:34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163</v>
      </c>
      <c r="U1226" t="str" cm="1">
        <f t="array" ref="U1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6" t="str" cm="1">
        <f t="array" ref="V1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  <c r="AF1226">
        <f>AVERAGE(Table1[[#This Row],[Range2_Low]:[Range2_High]])</f>
        <v>0</v>
      </c>
      <c r="AG1226">
        <f>AVERAGE(Table1[[#This Row],[Range1_Low]:[Range1_High]])</f>
        <v>2192.0500000000002</v>
      </c>
      <c r="AH1226">
        <v>1</v>
      </c>
    </row>
    <row r="1227" spans="1:34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163</v>
      </c>
      <c r="U1227" t="str" cm="1">
        <f t="array" ref="U1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7" t="str" cm="1">
        <f t="array" ref="V1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  <c r="AF1227">
        <f>AVERAGE(Table1[[#This Row],[Range2_Low]:[Range2_High]])</f>
        <v>0</v>
      </c>
      <c r="AG1227">
        <f>AVERAGE(Table1[[#This Row],[Range1_Low]:[Range1_High]])</f>
        <v>2192.0500000000002</v>
      </c>
      <c r="AH1227">
        <v>1</v>
      </c>
    </row>
    <row r="1228" spans="1:34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162</v>
      </c>
      <c r="U1228" t="str" cm="1">
        <f t="array" ref="U1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28" t="str" cm="1">
        <f t="array" ref="V1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  <c r="AF1228">
        <f>AVERAGE(Table1[[#This Row],[Range2_Low]:[Range2_High]])</f>
        <v>0</v>
      </c>
      <c r="AG1228">
        <f>AVERAGE(Table1[[#This Row],[Range1_Low]:[Range1_High]])</f>
        <v>-282.95</v>
      </c>
      <c r="AH1228">
        <v>1</v>
      </c>
    </row>
    <row r="1229" spans="1:34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162</v>
      </c>
      <c r="U1229" t="str" cm="1">
        <f t="array" ref="U1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29" t="str" cm="1">
        <f t="array" ref="V1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  <c r="AF1229">
        <f>AVERAGE(Table1[[#This Row],[Range2_Low]:[Range2_High]])</f>
        <v>0</v>
      </c>
      <c r="AG1229">
        <f>AVERAGE(Table1[[#This Row],[Range1_Low]:[Range1_High]])</f>
        <v>-282.95</v>
      </c>
      <c r="AH1229">
        <v>1</v>
      </c>
    </row>
    <row r="1230" spans="1:34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162</v>
      </c>
      <c r="U1230" t="str" cm="1">
        <f t="array" ref="U1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30" t="str" cm="1">
        <f t="array" ref="V1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  <c r="AF1230">
        <f>AVERAGE(Table1[[#This Row],[Range2_Low]:[Range2_High]])</f>
        <v>0</v>
      </c>
      <c r="AG1230">
        <f>AVERAGE(Table1[[#This Row],[Range1_Low]:[Range1_High]])</f>
        <v>-80.45</v>
      </c>
      <c r="AH1230">
        <v>1</v>
      </c>
    </row>
    <row r="1231" spans="1:34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162</v>
      </c>
      <c r="U1231" t="str" cm="1">
        <f t="array" ref="U1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31" t="str" cm="1">
        <f t="array" ref="V1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  <c r="AF1231">
        <f>AVERAGE(Table1[[#This Row],[Range2_Low]:[Range2_High]])</f>
        <v>0</v>
      </c>
      <c r="AG1231">
        <f>AVERAGE(Table1[[#This Row],[Range1_Low]:[Range1_High]])</f>
        <v>-80.45</v>
      </c>
      <c r="AH1231">
        <v>1</v>
      </c>
    </row>
    <row r="1232" spans="1:34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162</v>
      </c>
      <c r="U1232" t="str" cm="1">
        <f t="array" ref="U1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232" t="str" cm="1">
        <f t="array" ref="V1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  <c r="AF1232">
        <f>AVERAGE(Table1[[#This Row],[Range2_Low]:[Range2_High]])</f>
        <v>0</v>
      </c>
      <c r="AG1232">
        <f>AVERAGE(Table1[[#This Row],[Range1_Low]:[Range1_High]])</f>
        <v>324.55</v>
      </c>
      <c r="AH1232">
        <v>1</v>
      </c>
    </row>
    <row r="1233" spans="1:34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162</v>
      </c>
      <c r="U1233" t="str" cm="1">
        <f t="array" ref="U1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233" t="str" cm="1">
        <f t="array" ref="V1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  <c r="AF1233">
        <f>AVERAGE(Table1[[#This Row],[Range2_Low]:[Range2_High]])</f>
        <v>0</v>
      </c>
      <c r="AG1233">
        <f>AVERAGE(Table1[[#This Row],[Range1_Low]:[Range1_High]])</f>
        <v>324.55</v>
      </c>
      <c r="AH1233">
        <v>1</v>
      </c>
    </row>
    <row r="1234" spans="1:34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162</v>
      </c>
      <c r="U1234" t="str" cm="1">
        <f t="array" ref="U1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V1234" t="str" cm="1">
        <f t="array" ref="V1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  <c r="AF1234">
        <f>AVERAGE(Table1[[#This Row],[Range2_Low]:[Range2_High]])</f>
        <v>0</v>
      </c>
      <c r="AG1234">
        <f>AVERAGE(Table1[[#This Row],[Range1_Low]:[Range1_High]])</f>
        <v>932.05</v>
      </c>
      <c r="AH1234">
        <v>1</v>
      </c>
    </row>
    <row r="1235" spans="1:34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162</v>
      </c>
      <c r="U1235" t="str" cm="1">
        <f t="array" ref="U1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35" t="str" cm="1">
        <f t="array" ref="V1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  <c r="AF1235">
        <f>AVERAGE(Table1[[#This Row],[Range2_Low]:[Range2_High]])</f>
        <v>0</v>
      </c>
      <c r="AG1235">
        <f>AVERAGE(Table1[[#This Row],[Range1_Low]:[Range1_High]])</f>
        <v>932.05</v>
      </c>
      <c r="AH1235">
        <v>1</v>
      </c>
    </row>
    <row r="1236" spans="1:34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162</v>
      </c>
      <c r="U1236" t="str" cm="1">
        <f t="array" ref="U1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6" t="str" cm="1">
        <f t="array" ref="V1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  <c r="AF1236">
        <f>AVERAGE(Table1[[#This Row],[Range2_Low]:[Range2_High]])</f>
        <v>0</v>
      </c>
      <c r="AG1236">
        <f>AVERAGE(Table1[[#This Row],[Range1_Low]:[Range1_High]])</f>
        <v>1517</v>
      </c>
      <c r="AH1236">
        <v>1</v>
      </c>
    </row>
    <row r="1237" spans="1:34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162</v>
      </c>
      <c r="U1237" t="str" cm="1">
        <f t="array" ref="U1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7" t="str" cm="1">
        <f t="array" ref="V1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  <c r="AF1237">
        <f>AVERAGE(Table1[[#This Row],[Range2_Low]:[Range2_High]])</f>
        <v>0</v>
      </c>
      <c r="AG1237">
        <f>AVERAGE(Table1[[#This Row],[Range1_Low]:[Range1_High]])</f>
        <v>1517</v>
      </c>
      <c r="AH1237">
        <v>1</v>
      </c>
    </row>
    <row r="1238" spans="1:34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162</v>
      </c>
      <c r="U1238" t="str" cm="1">
        <f t="array" ref="U1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8" t="str" cm="1">
        <f t="array" ref="V1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  <c r="AF1238">
        <f>AVERAGE(Table1[[#This Row],[Range2_Low]:[Range2_High]])</f>
        <v>0</v>
      </c>
      <c r="AG1238">
        <f>AVERAGE(Table1[[#This Row],[Range1_Low]:[Range1_High]])</f>
        <v>1832.05</v>
      </c>
      <c r="AH1238">
        <v>1</v>
      </c>
    </row>
    <row r="1239" spans="1:34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162</v>
      </c>
      <c r="U1239" t="str" cm="1">
        <f t="array" ref="U1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9" t="str" cm="1">
        <f t="array" ref="V1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  <c r="AF1239">
        <f>AVERAGE(Table1[[#This Row],[Range2_Low]:[Range2_High]])</f>
        <v>0</v>
      </c>
      <c r="AG1239">
        <f>AVERAGE(Table1[[#This Row],[Range1_Low]:[Range1_High]])</f>
        <v>1832.05</v>
      </c>
      <c r="AH1239">
        <v>1</v>
      </c>
    </row>
    <row r="1240" spans="1:34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154</v>
      </c>
      <c r="J1240" t="s">
        <v>154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tr" cm="1">
        <f t="array" ref="U1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0" t="str" cm="1">
        <f t="array" ref="V1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  <c r="AF1240">
        <f>AVERAGE(Table1[[#This Row],[Range2_Low]:[Range2_High]])</f>
        <v>0</v>
      </c>
      <c r="AG1240">
        <f>AVERAGE(Table1[[#This Row],[Range1_Low]:[Range1_High]])</f>
        <v>5.4500000000000003E-5</v>
      </c>
      <c r="AH1240">
        <v>1</v>
      </c>
    </row>
    <row r="1241" spans="1:34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154</v>
      </c>
      <c r="J1241" t="s">
        <v>154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tr" cm="1">
        <f t="array" ref="U1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1" t="str" cm="1">
        <f t="array" ref="V1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  <c r="AF1241">
        <f>AVERAGE(Table1[[#This Row],[Range2_Low]:[Range2_High]])</f>
        <v>0</v>
      </c>
      <c r="AG1241">
        <f>AVERAGE(Table1[[#This Row],[Range1_Low]:[Range1_High]])</f>
        <v>5.4500000000000003E-5</v>
      </c>
      <c r="AH1241">
        <v>1</v>
      </c>
    </row>
    <row r="1242" spans="1:34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154</v>
      </c>
      <c r="J1242" t="s">
        <v>154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tr" cm="1">
        <f t="array" ref="U1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0.00000027 W</v>
      </c>
      <c r="V1242" t="str" cm="1">
        <f t="array" ref="V1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0.00000048 W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  <c r="AF1242">
        <f>AVERAGE(Table1[[#This Row],[Range2_Low]:[Range2_High]])</f>
        <v>0</v>
      </c>
      <c r="AG1242">
        <f>AVERAGE(Table1[[#This Row],[Range1_Low]:[Range1_High]])</f>
        <v>5.4500000000000003E-5</v>
      </c>
      <c r="AH1242">
        <v>1</v>
      </c>
    </row>
    <row r="1243" spans="1:34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154</v>
      </c>
      <c r="J1243" t="s">
        <v>154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tr" cm="1">
        <f t="array" ref="U1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</v>
      </c>
      <c r="V1243" t="str" cm="1">
        <f t="array" ref="V1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  <c r="AF1243">
        <f>AVERAGE(Table1[[#This Row],[Range2_Low]:[Range2_High]])</f>
        <v>0</v>
      </c>
      <c r="AG1243">
        <f>AVERAGE(Table1[[#This Row],[Range1_Low]:[Range1_High]])</f>
        <v>5.4500000000000003E-5</v>
      </c>
      <c r="AH1243">
        <v>1</v>
      </c>
    </row>
    <row r="1244" spans="1:34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154</v>
      </c>
      <c r="J1244" t="s">
        <v>154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tr" cm="1">
        <f t="array" ref="U1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44" t="str" cm="1">
        <f t="array" ref="V1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  <c r="AF1244">
        <f>AVERAGE(Table1[[#This Row],[Range2_Low]:[Range2_High]])</f>
        <v>0</v>
      </c>
      <c r="AG1244">
        <f>AVERAGE(Table1[[#This Row],[Range1_Low]:[Range1_High]])</f>
        <v>5.4500000000000003E-5</v>
      </c>
      <c r="AH1244">
        <v>1</v>
      </c>
    </row>
    <row r="1245" spans="1:34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154</v>
      </c>
      <c r="J1245" t="s">
        <v>154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tr" cm="1">
        <f t="array" ref="U1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45" t="str" cm="1">
        <f t="array" ref="V1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  <c r="AF1245">
        <f>AVERAGE(Table1[[#This Row],[Range2_Low]:[Range2_High]])</f>
        <v>0</v>
      </c>
      <c r="AG1245">
        <f>AVERAGE(Table1[[#This Row],[Range1_Low]:[Range1_High]])</f>
        <v>5.4500000000000003E-5</v>
      </c>
      <c r="AH1245">
        <v>1</v>
      </c>
    </row>
    <row r="1246" spans="1:34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154</v>
      </c>
      <c r="J1246" t="s">
        <v>154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tr" cm="1">
        <f t="array" ref="U1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46" t="str" cm="1">
        <f t="array" ref="V1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  <c r="AF1246">
        <f>AVERAGE(Table1[[#This Row],[Range2_Low]:[Range2_High]])</f>
        <v>0</v>
      </c>
      <c r="AG1246">
        <f>AVERAGE(Table1[[#This Row],[Range1_Low]:[Range1_High]])</f>
        <v>5.4500000000000003E-5</v>
      </c>
      <c r="AH1246">
        <v>1</v>
      </c>
    </row>
    <row r="1247" spans="1:34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154</v>
      </c>
      <c r="J1247" t="s">
        <v>154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tr" cm="1">
        <f t="array" ref="U1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47" t="str" cm="1">
        <f t="array" ref="V1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  <c r="AF1247">
        <f>AVERAGE(Table1[[#This Row],[Range2_Low]:[Range2_High]])</f>
        <v>0</v>
      </c>
      <c r="AG1247">
        <f>AVERAGE(Table1[[#This Row],[Range1_Low]:[Range1_High]])</f>
        <v>5.4500000000000003E-5</v>
      </c>
      <c r="AH1247">
        <v>1</v>
      </c>
    </row>
    <row r="1248" spans="1:34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154</v>
      </c>
      <c r="J1248" t="s">
        <v>154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tr" cm="1">
        <f t="array" ref="U1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48" t="str" cm="1">
        <f t="array" ref="V1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  <c r="AF1248">
        <f>AVERAGE(Table1[[#This Row],[Range2_Low]:[Range2_High]])</f>
        <v>0</v>
      </c>
      <c r="AG1248">
        <f>AVERAGE(Table1[[#This Row],[Range1_Low]:[Range1_High]])</f>
        <v>5.4500000000000003E-5</v>
      </c>
      <c r="AH1248">
        <v>1</v>
      </c>
    </row>
    <row r="1249" spans="1:34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154</v>
      </c>
      <c r="J1249" t="s">
        <v>154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tr" cm="1">
        <f t="array" ref="U1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 W</v>
      </c>
      <c r="V1249" t="str" cm="1">
        <f t="array" ref="V1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  <c r="AF1249">
        <f>AVERAGE(Table1[[#This Row],[Range2_Low]:[Range2_High]])</f>
        <v>0</v>
      </c>
      <c r="AG1249">
        <f>AVERAGE(Table1[[#This Row],[Range1_Low]:[Range1_High]])</f>
        <v>5.5045050000000002E-5</v>
      </c>
      <c r="AH1249">
        <v>1</v>
      </c>
    </row>
    <row r="1250" spans="1:34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154</v>
      </c>
      <c r="J1250" t="s">
        <v>154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tr" cm="1">
        <f t="array" ref="U1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</v>
      </c>
      <c r="V1250" t="str" cm="1">
        <f t="array" ref="V1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0.0000022 W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  <c r="AF1250">
        <f>AVERAGE(Table1[[#This Row],[Range2_Low]:[Range2_High]])</f>
        <v>0</v>
      </c>
      <c r="AG1250">
        <f>AVERAGE(Table1[[#This Row],[Range1_Low]:[Range1_High]])</f>
        <v>5.5045050000000002E-5</v>
      </c>
      <c r="AH1250">
        <v>1</v>
      </c>
    </row>
    <row r="1251" spans="1:34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154</v>
      </c>
      <c r="J1251" t="s">
        <v>154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tr" cm="1">
        <f t="array" ref="U1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</v>
      </c>
      <c r="V1251" t="str" cm="1">
        <f t="array" ref="V1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0.000022 W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  <c r="AF1251">
        <f>AVERAGE(Table1[[#This Row],[Range2_Low]:[Range2_High]])</f>
        <v>0</v>
      </c>
      <c r="AG1251">
        <f>AVERAGE(Table1[[#This Row],[Range1_Low]:[Range1_High]])</f>
        <v>5.5045050000000002E-5</v>
      </c>
      <c r="AH1251">
        <v>1</v>
      </c>
    </row>
    <row r="1252" spans="1:34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154</v>
      </c>
      <c r="J1252" t="s">
        <v>154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tr" cm="1">
        <f t="array" ref="U1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0.00042 W</v>
      </c>
      <c r="V1252" t="str" cm="1">
        <f t="array" ref="V1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0.00022 W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  <c r="AF1252">
        <f>AVERAGE(Table1[[#This Row],[Range2_Low]:[Range2_High]])</f>
        <v>0</v>
      </c>
      <c r="AG1252">
        <f>AVERAGE(Table1[[#This Row],[Range1_Low]:[Range1_High]])</f>
        <v>5.5045050000000002E-5</v>
      </c>
      <c r="AH1252">
        <v>1</v>
      </c>
    </row>
    <row r="1253" spans="1:34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154</v>
      </c>
      <c r="J1253" t="s">
        <v>154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tr" cm="1">
        <f t="array" ref="U1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0.0042 W</v>
      </c>
      <c r="V1253" t="str" cm="1">
        <f t="array" ref="V1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0.0022 W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  <c r="AF1253">
        <f>AVERAGE(Table1[[#This Row],[Range2_Low]:[Range2_High]])</f>
        <v>0</v>
      </c>
      <c r="AG1253">
        <f>AVERAGE(Table1[[#This Row],[Range1_Low]:[Range1_High]])</f>
        <v>5.5045050000000002E-5</v>
      </c>
      <c r="AH1253">
        <v>1</v>
      </c>
    </row>
    <row r="1254" spans="1:34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154</v>
      </c>
      <c r="J1254" t="s">
        <v>154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tr" cm="1">
        <f t="array" ref="U1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0.0000011 W</v>
      </c>
      <c r="V1254" t="str" cm="1">
        <f t="array" ref="V1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0.0000018 W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  <c r="AF1254">
        <f>AVERAGE(Table1[[#This Row],[Range2_Low]:[Range2_High]])</f>
        <v>0</v>
      </c>
      <c r="AG1254">
        <f>AVERAGE(Table1[[#This Row],[Range1_Low]:[Range1_High]])</f>
        <v>5.99505E-3</v>
      </c>
      <c r="AH1254">
        <v>1</v>
      </c>
    </row>
    <row r="1255" spans="1:34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154</v>
      </c>
      <c r="J1255" t="s">
        <v>154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tr" cm="1">
        <f t="array" ref="U1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0.0000026 W</v>
      </c>
      <c r="V1255" t="str" cm="1">
        <f t="array" ref="V1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0.0000044 W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  <c r="AF1255">
        <f>AVERAGE(Table1[[#This Row],[Range2_Low]:[Range2_High]])</f>
        <v>0</v>
      </c>
      <c r="AG1255">
        <f>AVERAGE(Table1[[#This Row],[Range1_Low]:[Range1_High]])</f>
        <v>5.99505E-3</v>
      </c>
      <c r="AH1255">
        <v>1</v>
      </c>
    </row>
    <row r="1256" spans="1:34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154</v>
      </c>
      <c r="J1256" t="s">
        <v>154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tr" cm="1">
        <f t="array" ref="U1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56" t="str" cm="1">
        <f t="array" ref="V1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  <c r="AF1256">
        <f>AVERAGE(Table1[[#This Row],[Range2_Low]:[Range2_High]])</f>
        <v>0</v>
      </c>
      <c r="AG1256">
        <f>AVERAGE(Table1[[#This Row],[Range1_Low]:[Range1_High]])</f>
        <v>5.99505E-3</v>
      </c>
      <c r="AH1256">
        <v>1</v>
      </c>
    </row>
    <row r="1257" spans="1:34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154</v>
      </c>
      <c r="J1257" t="s">
        <v>154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tr" cm="1">
        <f t="array" ref="U1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57" t="str" cm="1">
        <f t="array" ref="V1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  <c r="AF1257">
        <f>AVERAGE(Table1[[#This Row],[Range2_Low]:[Range2_High]])</f>
        <v>0</v>
      </c>
      <c r="AG1257">
        <f>AVERAGE(Table1[[#This Row],[Range1_Low]:[Range1_High]])</f>
        <v>5.99505E-3</v>
      </c>
      <c r="AH1257">
        <v>1</v>
      </c>
    </row>
    <row r="1258" spans="1:34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154</v>
      </c>
      <c r="J1258" t="s">
        <v>154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tr" cm="1">
        <f t="array" ref="U1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58" t="str" cm="1">
        <f t="array" ref="V1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  <c r="AF1258">
        <f>AVERAGE(Table1[[#This Row],[Range2_Low]:[Range2_High]])</f>
        <v>0</v>
      </c>
      <c r="AG1258">
        <f>AVERAGE(Table1[[#This Row],[Range1_Low]:[Range1_High]])</f>
        <v>5.99505E-3</v>
      </c>
      <c r="AH1258">
        <v>1</v>
      </c>
    </row>
    <row r="1259" spans="1:34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154</v>
      </c>
      <c r="J1259" t="s">
        <v>154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tr" cm="1">
        <f t="array" ref="U1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0.0000084 W</v>
      </c>
      <c r="V1259" t="str" cm="1">
        <f t="array" ref="V1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0.000014 W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  <c r="AF1259">
        <f>AVERAGE(Table1[[#This Row],[Range2_Low]:[Range2_High]])</f>
        <v>0</v>
      </c>
      <c r="AG1259">
        <f>AVERAGE(Table1[[#This Row],[Range1_Low]:[Range1_High]])</f>
        <v>5.9950050000000005E-2</v>
      </c>
      <c r="AH1259">
        <v>1</v>
      </c>
    </row>
    <row r="1260" spans="1:34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154</v>
      </c>
      <c r="J1260" t="s">
        <v>154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tr" cm="1">
        <f t="array" ref="U1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0.000025 W</v>
      </c>
      <c r="V1260" t="str" cm="1">
        <f t="array" ref="V1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0.000043 W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  <c r="AF1260">
        <f>AVERAGE(Table1[[#This Row],[Range2_Low]:[Range2_High]])</f>
        <v>0</v>
      </c>
      <c r="AG1260">
        <f>AVERAGE(Table1[[#This Row],[Range1_Low]:[Range1_High]])</f>
        <v>5.9950050000000005E-2</v>
      </c>
      <c r="AH1260">
        <v>1</v>
      </c>
    </row>
    <row r="1261" spans="1:34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154</v>
      </c>
      <c r="J1261" t="s">
        <v>154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tr" cm="1">
        <f t="array" ref="U1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61" t="str" cm="1">
        <f t="array" ref="V1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  <c r="AF1261">
        <f>AVERAGE(Table1[[#This Row],[Range2_Low]:[Range2_High]])</f>
        <v>0</v>
      </c>
      <c r="AG1261">
        <f>AVERAGE(Table1[[#This Row],[Range1_Low]:[Range1_High]])</f>
        <v>5.9950050000000005E-2</v>
      </c>
      <c r="AH1261">
        <v>1</v>
      </c>
    </row>
    <row r="1262" spans="1:34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154</v>
      </c>
      <c r="J1262" t="s">
        <v>154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tr" cm="1">
        <f t="array" ref="U1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2" t="str" cm="1">
        <f t="array" ref="V1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  <c r="AF1262">
        <f>AVERAGE(Table1[[#This Row],[Range2_Low]:[Range2_High]])</f>
        <v>0</v>
      </c>
      <c r="AG1262">
        <f>AVERAGE(Table1[[#This Row],[Range1_Low]:[Range1_High]])</f>
        <v>5.9950050000000005E-2</v>
      </c>
      <c r="AH1262">
        <v>1</v>
      </c>
    </row>
    <row r="1263" spans="1:34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154</v>
      </c>
      <c r="J1263" t="s">
        <v>154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tr" cm="1">
        <f t="array" ref="U1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3" t="str" cm="1">
        <f t="array" ref="V1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  <c r="AF1263">
        <f>AVERAGE(Table1[[#This Row],[Range2_Low]:[Range2_High]])</f>
        <v>0</v>
      </c>
      <c r="AG1263">
        <f>AVERAGE(Table1[[#This Row],[Range1_Low]:[Range1_High]])</f>
        <v>5.9950050000000005E-2</v>
      </c>
      <c r="AH1263">
        <v>1</v>
      </c>
    </row>
    <row r="1264" spans="1:34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154</v>
      </c>
      <c r="J1264" t="s">
        <v>154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tr" cm="1">
        <f t="array" ref="U1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 W</v>
      </c>
      <c r="V1264" t="str" cm="1">
        <f t="array" ref="V1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0.00017 W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  <c r="AF1264">
        <f>AVERAGE(Table1[[#This Row],[Range2_Low]:[Range2_High]])</f>
        <v>0</v>
      </c>
      <c r="AG1264">
        <f>AVERAGE(Table1[[#This Row],[Range1_Low]:[Range1_High]])</f>
        <v>0.59955000000000003</v>
      </c>
      <c r="AH1264">
        <v>1</v>
      </c>
    </row>
    <row r="1265" spans="1:34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154</v>
      </c>
      <c r="J1265" t="s">
        <v>154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tr" cm="1">
        <f t="array" ref="U1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0.00025 W</v>
      </c>
      <c r="V1265" t="str" cm="1">
        <f t="array" ref="V1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0.00044 W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  <c r="AF1265">
        <f>AVERAGE(Table1[[#This Row],[Range2_Low]:[Range2_High]])</f>
        <v>0</v>
      </c>
      <c r="AG1265">
        <f>AVERAGE(Table1[[#This Row],[Range1_Low]:[Range1_High]])</f>
        <v>0.59955000000000003</v>
      </c>
      <c r="AH1265">
        <v>1</v>
      </c>
    </row>
    <row r="1266" spans="1:34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154</v>
      </c>
      <c r="J1266" t="s">
        <v>154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tr" cm="1">
        <f t="array" ref="U1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6" t="str" cm="1">
        <f t="array" ref="V1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  <c r="AF1266">
        <f>AVERAGE(Table1[[#This Row],[Range2_Low]:[Range2_High]])</f>
        <v>0</v>
      </c>
      <c r="AG1266">
        <f>AVERAGE(Table1[[#This Row],[Range1_Low]:[Range1_High]])</f>
        <v>0.59955000000000003</v>
      </c>
      <c r="AH1266">
        <v>1</v>
      </c>
    </row>
    <row r="1267" spans="1:34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154</v>
      </c>
      <c r="J1267" t="s">
        <v>154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tr" cm="1">
        <f t="array" ref="U1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7" t="str" cm="1">
        <f t="array" ref="V1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  <c r="AF1267">
        <f>AVERAGE(Table1[[#This Row],[Range2_Low]:[Range2_High]])</f>
        <v>0</v>
      </c>
      <c r="AG1267">
        <f>AVERAGE(Table1[[#This Row],[Range1_Low]:[Range1_High]])</f>
        <v>0.59955000000000003</v>
      </c>
      <c r="AH1267">
        <v>1</v>
      </c>
    </row>
    <row r="1268" spans="1:34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154</v>
      </c>
      <c r="J1268" t="s">
        <v>154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tr" cm="1">
        <f t="array" ref="U1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68" t="str" cm="1">
        <f t="array" ref="V1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  <c r="AF1268">
        <f>AVERAGE(Table1[[#This Row],[Range2_Low]:[Range2_High]])</f>
        <v>0</v>
      </c>
      <c r="AG1268">
        <f>AVERAGE(Table1[[#This Row],[Range1_Low]:[Range1_High]])</f>
        <v>0.59955000000000003</v>
      </c>
      <c r="AH1268">
        <v>1</v>
      </c>
    </row>
    <row r="1269" spans="1:34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154</v>
      </c>
      <c r="J1269" t="s">
        <v>154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tr" cm="1">
        <f t="array" ref="U1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 W</v>
      </c>
      <c r="V1269" t="str" cm="1">
        <f t="array" ref="V1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0.0017 W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  <c r="AF1269">
        <f>AVERAGE(Table1[[#This Row],[Range2_Low]:[Range2_High]])</f>
        <v>0</v>
      </c>
      <c r="AG1269">
        <f>AVERAGE(Table1[[#This Row],[Range1_Low]:[Range1_High]])</f>
        <v>5.99505</v>
      </c>
      <c r="AH1269">
        <v>1</v>
      </c>
    </row>
    <row r="1270" spans="1:34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154</v>
      </c>
      <c r="J1270" t="s">
        <v>154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tr" cm="1">
        <f t="array" ref="U1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0.0025 W</v>
      </c>
      <c r="V1270" t="str" cm="1">
        <f t="array" ref="V1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0.0044 W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  <c r="AF1270">
        <f>AVERAGE(Table1[[#This Row],[Range2_Low]:[Range2_High]])</f>
        <v>0</v>
      </c>
      <c r="AG1270">
        <f>AVERAGE(Table1[[#This Row],[Range1_Low]:[Range1_High]])</f>
        <v>5.99505</v>
      </c>
      <c r="AH1270">
        <v>1</v>
      </c>
    </row>
    <row r="1271" spans="1:34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154</v>
      </c>
      <c r="J1271" t="s">
        <v>154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tr" cm="1">
        <f t="array" ref="U1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71" t="str" cm="1">
        <f t="array" ref="V1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  <c r="AF1271">
        <f>AVERAGE(Table1[[#This Row],[Range2_Low]:[Range2_High]])</f>
        <v>0</v>
      </c>
      <c r="AG1271">
        <f>AVERAGE(Table1[[#This Row],[Range1_Low]:[Range1_High]])</f>
        <v>5.99505</v>
      </c>
      <c r="AH1271">
        <v>1</v>
      </c>
    </row>
    <row r="1272" spans="1:34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154</v>
      </c>
      <c r="J1272" t="s">
        <v>154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tr" cm="1">
        <f t="array" ref="U1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2" t="str" cm="1">
        <f t="array" ref="V1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  <c r="AF1272">
        <f>AVERAGE(Table1[[#This Row],[Range2_Low]:[Range2_High]])</f>
        <v>0</v>
      </c>
      <c r="AG1272">
        <f>AVERAGE(Table1[[#This Row],[Range1_Low]:[Range1_High]])</f>
        <v>5.99505</v>
      </c>
      <c r="AH1272">
        <v>1</v>
      </c>
    </row>
    <row r="1273" spans="1:34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154</v>
      </c>
      <c r="J1273" t="s">
        <v>154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tr" cm="1">
        <f t="array" ref="U1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3" t="str" cm="1">
        <f t="array" ref="V1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  <c r="AF1273">
        <f>AVERAGE(Table1[[#This Row],[Range2_Low]:[Range2_High]])</f>
        <v>0</v>
      </c>
      <c r="AG1273">
        <f>AVERAGE(Table1[[#This Row],[Range1_Low]:[Range1_High]])</f>
        <v>5.99505</v>
      </c>
      <c r="AH1273">
        <v>1</v>
      </c>
    </row>
    <row r="1274" spans="1:34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154</v>
      </c>
      <c r="J1274" t="s">
        <v>154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tr" cm="1">
        <f t="array" ref="U1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</v>
      </c>
      <c r="V1274" t="str" cm="1">
        <f t="array" ref="V1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0.017 W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  <c r="AF1274">
        <f>AVERAGE(Table1[[#This Row],[Range2_Low]:[Range2_High]])</f>
        <v>0</v>
      </c>
      <c r="AG1274">
        <f>AVERAGE(Table1[[#This Row],[Range1_Low]:[Range1_High]])</f>
        <v>59.950050000000005</v>
      </c>
      <c r="AH1274">
        <v>1</v>
      </c>
    </row>
    <row r="1275" spans="1:34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154</v>
      </c>
      <c r="J1275" t="s">
        <v>154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tr" cm="1">
        <f t="array" ref="U1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W</v>
      </c>
      <c r="V1275" t="str" cm="1">
        <f t="array" ref="V1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W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  <c r="AF1275">
        <f>AVERAGE(Table1[[#This Row],[Range2_Low]:[Range2_High]])</f>
        <v>0</v>
      </c>
      <c r="AG1275">
        <f>AVERAGE(Table1[[#This Row],[Range1_Low]:[Range1_High]])</f>
        <v>59.950050000000005</v>
      </c>
      <c r="AH1275">
        <v>1</v>
      </c>
    </row>
    <row r="1276" spans="1:34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154</v>
      </c>
      <c r="J1276" t="s">
        <v>154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tr" cm="1">
        <f t="array" ref="U1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6" t="str" cm="1">
        <f t="array" ref="V1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  <c r="AF1276">
        <f>AVERAGE(Table1[[#This Row],[Range2_Low]:[Range2_High]])</f>
        <v>0</v>
      </c>
      <c r="AG1276">
        <f>AVERAGE(Table1[[#This Row],[Range1_Low]:[Range1_High]])</f>
        <v>59.950050000000005</v>
      </c>
      <c r="AH1276">
        <v>1</v>
      </c>
    </row>
    <row r="1277" spans="1:34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154</v>
      </c>
      <c r="J1277" t="s">
        <v>154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tr" cm="1">
        <f t="array" ref="U1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7" t="str" cm="1">
        <f t="array" ref="V1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  <c r="AF1277">
        <f>AVERAGE(Table1[[#This Row],[Range2_Low]:[Range2_High]])</f>
        <v>0</v>
      </c>
      <c r="AG1277">
        <f>AVERAGE(Table1[[#This Row],[Range1_Low]:[Range1_High]])</f>
        <v>59.950050000000005</v>
      </c>
      <c r="AH1277">
        <v>1</v>
      </c>
    </row>
    <row r="1278" spans="1:34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154</v>
      </c>
      <c r="J1278" t="s">
        <v>154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tr" cm="1">
        <f t="array" ref="U1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78" t="str" cm="1">
        <f t="array" ref="V1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  <c r="AF1278">
        <f>AVERAGE(Table1[[#This Row],[Range2_Low]:[Range2_High]])</f>
        <v>0</v>
      </c>
      <c r="AG1278">
        <f>AVERAGE(Table1[[#This Row],[Range1_Low]:[Range1_High]])</f>
        <v>59.950050000000005</v>
      </c>
      <c r="AH1278">
        <v>1</v>
      </c>
    </row>
    <row r="1279" spans="1:34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154</v>
      </c>
      <c r="J1279" t="s">
        <v>154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tr" cm="1">
        <f t="array" ref="U1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79" t="str" cm="1">
        <f t="array" ref="V1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  <c r="AF1279">
        <f>AVERAGE(Table1[[#This Row],[Range2_Low]:[Range2_High]])</f>
        <v>0</v>
      </c>
      <c r="AG1279">
        <f>AVERAGE(Table1[[#This Row],[Range1_Low]:[Range1_High]])</f>
        <v>219.50004999999999</v>
      </c>
      <c r="AH1279">
        <v>1</v>
      </c>
    </row>
    <row r="1280" spans="1:34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154</v>
      </c>
      <c r="J1280" t="s">
        <v>154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tr" cm="1">
        <f t="array" ref="U1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80" t="str" cm="1">
        <f t="array" ref="V1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  <c r="AF1280">
        <f>AVERAGE(Table1[[#This Row],[Range2_Low]:[Range2_High]])</f>
        <v>0</v>
      </c>
      <c r="AG1280">
        <f>AVERAGE(Table1[[#This Row],[Range1_Low]:[Range1_High]])</f>
        <v>219.50004999999999</v>
      </c>
      <c r="AH1280">
        <v>1</v>
      </c>
    </row>
    <row r="1281" spans="1:34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154</v>
      </c>
      <c r="J1281" t="s">
        <v>154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tr" cm="1">
        <f t="array" ref="U1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W</v>
      </c>
      <c r="V1281" t="str" cm="1">
        <f t="array" ref="V1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W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  <c r="AF1281">
        <f>AVERAGE(Table1[[#This Row],[Range2_Low]:[Range2_High]])</f>
        <v>0</v>
      </c>
      <c r="AG1281">
        <f>AVERAGE(Table1[[#This Row],[Range1_Low]:[Range1_High]])</f>
        <v>219.50004999999999</v>
      </c>
      <c r="AH1281">
        <v>1</v>
      </c>
    </row>
    <row r="1282" spans="1:34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154</v>
      </c>
      <c r="J1282" t="s">
        <v>154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tr" cm="1">
        <f t="array" ref="U1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W</v>
      </c>
      <c r="V1282" t="str" cm="1">
        <f t="array" ref="V1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W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  <c r="AF1282">
        <f>AVERAGE(Table1[[#This Row],[Range2_Low]:[Range2_High]])</f>
        <v>0</v>
      </c>
      <c r="AG1282">
        <f>AVERAGE(Table1[[#This Row],[Range1_Low]:[Range1_High]])</f>
        <v>219.50004999999999</v>
      </c>
      <c r="AH1282">
        <v>1</v>
      </c>
    </row>
    <row r="1283" spans="1:34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154</v>
      </c>
      <c r="J1283" t="s">
        <v>154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tr" cm="1">
        <f t="array" ref="U1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W</v>
      </c>
      <c r="V1283" t="str" cm="1">
        <f t="array" ref="V1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  <c r="AF1283">
        <f>AVERAGE(Table1[[#This Row],[Range2_Low]:[Range2_High]])</f>
        <v>0</v>
      </c>
      <c r="AG1283">
        <f>AVERAGE(Table1[[#This Row],[Range1_Low]:[Range1_High]])</f>
        <v>219.50004999999999</v>
      </c>
      <c r="AH1283">
        <v>1</v>
      </c>
    </row>
    <row r="1284" spans="1:34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154</v>
      </c>
      <c r="J1284" t="s">
        <v>154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tr" cm="1">
        <f t="array" ref="U1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W</v>
      </c>
      <c r="V1284" t="str" cm="1">
        <f t="array" ref="V1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  <c r="AF1284">
        <f>AVERAGE(Table1[[#This Row],[Range2_Low]:[Range2_High]])</f>
        <v>0</v>
      </c>
      <c r="AG1284">
        <f>AVERAGE(Table1[[#This Row],[Range1_Low]:[Range1_High]])</f>
        <v>1665.0000500000001</v>
      </c>
      <c r="AH1284">
        <v>1</v>
      </c>
    </row>
    <row r="1285" spans="1:34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154</v>
      </c>
      <c r="J1285" t="s">
        <v>154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tr" cm="1">
        <f t="array" ref="U1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W</v>
      </c>
      <c r="V1285" t="str" cm="1">
        <f t="array" ref="V1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  <c r="AF1285">
        <f>AVERAGE(Table1[[#This Row],[Range2_Low]:[Range2_High]])</f>
        <v>0</v>
      </c>
      <c r="AG1285">
        <f>AVERAGE(Table1[[#This Row],[Range1_Low]:[Range1_High]])</f>
        <v>1665.0000500000001</v>
      </c>
      <c r="AH1285">
        <v>1</v>
      </c>
    </row>
    <row r="1286" spans="1:34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154</v>
      </c>
      <c r="J1286" t="s">
        <v>154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tr" cm="1">
        <f t="array" ref="U1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86" t="str" cm="1">
        <f t="array" ref="V1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  <c r="AF1286">
        <f>AVERAGE(Table1[[#This Row],[Range2_Low]:[Range2_High]])</f>
        <v>0</v>
      </c>
      <c r="AG1286">
        <f>AVERAGE(Table1[[#This Row],[Range1_Low]:[Range1_High]])</f>
        <v>1665.0000500000001</v>
      </c>
      <c r="AH1286">
        <v>1</v>
      </c>
    </row>
    <row r="1287" spans="1:34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154</v>
      </c>
      <c r="J1287" t="s">
        <v>154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tr" cm="1">
        <f t="array" ref="U1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W</v>
      </c>
      <c r="V1287" t="str" cm="1">
        <f t="array" ref="V1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  <c r="AF1287">
        <f>AVERAGE(Table1[[#This Row],[Range2_Low]:[Range2_High]])</f>
        <v>0</v>
      </c>
      <c r="AG1287">
        <f>AVERAGE(Table1[[#This Row],[Range1_Low]:[Range1_High]])</f>
        <v>1665.0000500000001</v>
      </c>
      <c r="AH1287">
        <v>1</v>
      </c>
    </row>
    <row r="1288" spans="1:34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154</v>
      </c>
      <c r="J1288" t="s">
        <v>154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tr" cm="1">
        <f t="array" ref="U1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W</v>
      </c>
      <c r="V1288" t="str" cm="1">
        <f t="array" ref="V1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W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  <c r="AF1288">
        <f>AVERAGE(Table1[[#This Row],[Range2_Low]:[Range2_High]])</f>
        <v>0</v>
      </c>
      <c r="AG1288">
        <f>AVERAGE(Table1[[#This Row],[Range1_Low]:[Range1_High]])</f>
        <v>1665.0000500000001</v>
      </c>
      <c r="AH1288">
        <v>1</v>
      </c>
    </row>
    <row r="1289" spans="1:34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154</v>
      </c>
      <c r="J1289" t="s">
        <v>154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tr" cm="1">
        <f t="array" ref="U1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89" t="str" cm="1">
        <f t="array" ref="V1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  <c r="AF1289">
        <f>AVERAGE(Table1[[#This Row],[Range2_Low]:[Range2_High]])</f>
        <v>0</v>
      </c>
      <c r="AG1289">
        <f>AVERAGE(Table1[[#This Row],[Range1_Low]:[Range1_High]])</f>
        <v>7000.05</v>
      </c>
      <c r="AH1289">
        <v>1</v>
      </c>
    </row>
    <row r="1290" spans="1:34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154</v>
      </c>
      <c r="J1290" t="s">
        <v>154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tr" cm="1">
        <f t="array" ref="U1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90" t="str" cm="1">
        <f t="array" ref="V1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  <c r="AF1290">
        <f>AVERAGE(Table1[[#This Row],[Range2_Low]:[Range2_High]])</f>
        <v>0</v>
      </c>
      <c r="AG1290">
        <f>AVERAGE(Table1[[#This Row],[Range1_Low]:[Range1_High]])</f>
        <v>7000.05</v>
      </c>
      <c r="AH1290">
        <v>1</v>
      </c>
    </row>
    <row r="1291" spans="1:34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154</v>
      </c>
      <c r="J1291" t="s">
        <v>154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tr" cm="1">
        <f t="array" ref="U1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W</v>
      </c>
      <c r="V1291" t="str" cm="1">
        <f t="array" ref="V1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W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  <c r="AF1291">
        <f>AVERAGE(Table1[[#This Row],[Range2_Low]:[Range2_High]])</f>
        <v>0</v>
      </c>
      <c r="AG1291">
        <f>AVERAGE(Table1[[#This Row],[Range1_Low]:[Range1_High]])</f>
        <v>7000.05</v>
      </c>
      <c r="AH1291">
        <v>1</v>
      </c>
    </row>
    <row r="1292" spans="1:34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154</v>
      </c>
      <c r="J1292" t="s">
        <v>154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tr" cm="1">
        <f t="array" ref="U1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</v>
      </c>
      <c r="V1292" t="str" cm="1">
        <f t="array" ref="V1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W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  <c r="AF1292">
        <f>AVERAGE(Table1[[#This Row],[Range2_Low]:[Range2_High]])</f>
        <v>0</v>
      </c>
      <c r="AG1292">
        <f>AVERAGE(Table1[[#This Row],[Range1_Low]:[Range1_High]])</f>
        <v>7000.05</v>
      </c>
      <c r="AH1292">
        <v>1</v>
      </c>
    </row>
    <row r="1293" spans="1:34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154</v>
      </c>
      <c r="J1293" t="s">
        <v>154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tr" cm="1">
        <f t="array" ref="U1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V1293" t="str" cm="1">
        <f t="array" ref="V1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  <c r="AF1293">
        <f>AVERAGE(Table1[[#This Row],[Range2_Low]:[Range2_High]])</f>
        <v>0</v>
      </c>
      <c r="AG1293">
        <f>AVERAGE(Table1[[#This Row],[Range1_Low]:[Range1_High]])</f>
        <v>7000.05</v>
      </c>
      <c r="AH1293">
        <v>1</v>
      </c>
    </row>
    <row r="1294" spans="1:34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154</v>
      </c>
      <c r="J1294" t="s">
        <v>154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tr" cm="1">
        <f t="array" ref="U1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4" t="str" cm="1">
        <f t="array" ref="V1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  <c r="AF1294">
        <f>AVERAGE(Table1[[#This Row],[Range2_Low]:[Range2_High]])</f>
        <v>0</v>
      </c>
      <c r="AG1294">
        <f>AVERAGE(Table1[[#This Row],[Range1_Low]:[Range1_High]])</f>
        <v>17750</v>
      </c>
      <c r="AH1294">
        <v>1</v>
      </c>
    </row>
    <row r="1295" spans="1:34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154</v>
      </c>
      <c r="J1295" t="s">
        <v>154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tr" cm="1">
        <f t="array" ref="U1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5" t="str" cm="1">
        <f t="array" ref="V1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  <c r="AF1295">
        <f>AVERAGE(Table1[[#This Row],[Range2_Low]:[Range2_High]])</f>
        <v>0</v>
      </c>
      <c r="AG1295">
        <f>AVERAGE(Table1[[#This Row],[Range1_Low]:[Range1_High]])</f>
        <v>17750</v>
      </c>
      <c r="AH1295">
        <v>1</v>
      </c>
    </row>
    <row r="1296" spans="1:34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154</v>
      </c>
      <c r="J1296" t="s">
        <v>154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tr" cm="1">
        <f t="array" ref="U1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96" t="str" cm="1">
        <f t="array" ref="V1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W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  <c r="AF1296">
        <f>AVERAGE(Table1[[#This Row],[Range2_Low]:[Range2_High]])</f>
        <v>0</v>
      </c>
      <c r="AG1296">
        <f>AVERAGE(Table1[[#This Row],[Range1_Low]:[Range1_High]])</f>
        <v>17750</v>
      </c>
      <c r="AH1296">
        <v>1</v>
      </c>
    </row>
    <row r="1297" spans="1:34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154</v>
      </c>
      <c r="J1297" t="s">
        <v>154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tr" cm="1">
        <f t="array" ref="U1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W</v>
      </c>
      <c r="V1297" t="str" cm="1">
        <f t="array" ref="V1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  <c r="AF1297">
        <f>AVERAGE(Table1[[#This Row],[Range2_Low]:[Range2_High]])</f>
        <v>0</v>
      </c>
      <c r="AG1297">
        <f>AVERAGE(Table1[[#This Row],[Range1_Low]:[Range1_High]])</f>
        <v>17750</v>
      </c>
      <c r="AH1297">
        <v>1</v>
      </c>
    </row>
    <row r="1298" spans="1:34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154</v>
      </c>
      <c r="J1298" t="s">
        <v>154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tr" cm="1">
        <f t="array" ref="U1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W</v>
      </c>
      <c r="V1298" t="str" cm="1">
        <f t="array" ref="V1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  <c r="AF1298">
        <f>AVERAGE(Table1[[#This Row],[Range2_Low]:[Range2_High]])</f>
        <v>0</v>
      </c>
      <c r="AG1298">
        <f>AVERAGE(Table1[[#This Row],[Range1_Low]:[Range1_High]])</f>
        <v>17750</v>
      </c>
      <c r="AH1298">
        <v>1</v>
      </c>
    </row>
    <row r="1299" spans="1:34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 t="str" cm="1">
        <f t="array" ref="U1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299" t="str" cm="1">
        <f t="array" ref="V1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  <c r="AF1299">
        <f>AVERAGE(Table1[[#This Row],[Range2_Low]:[Range2_High]])</f>
        <v>0</v>
      </c>
      <c r="AG1299">
        <f>AVERAGE(Table1[[#This Row],[Range1_Low]:[Range1_High]])</f>
        <v>24500</v>
      </c>
      <c r="AH1299">
        <v>1</v>
      </c>
    </row>
    <row r="1300" spans="1:34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 t="str" cm="1">
        <f t="array" ref="U1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0" t="str" cm="1">
        <f t="array" ref="V1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  <c r="AF1300">
        <f>AVERAGE(Table1[[#This Row],[Range2_Low]:[Range2_High]])</f>
        <v>0</v>
      </c>
      <c r="AG1300">
        <f>AVERAGE(Table1[[#This Row],[Range1_Low]:[Range1_High]])</f>
        <v>24500</v>
      </c>
      <c r="AH1300">
        <v>1</v>
      </c>
    </row>
    <row r="1301" spans="1:34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 t="str" cm="1">
        <f t="array" ref="U1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1" t="str" cm="1">
        <f t="array" ref="V1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  <c r="AF1301">
        <f>AVERAGE(Table1[[#This Row],[Range2_Low]:[Range2_High]])</f>
        <v>0</v>
      </c>
      <c r="AG1301">
        <f>AVERAGE(Table1[[#This Row],[Range1_Low]:[Range1_High]])</f>
        <v>24500</v>
      </c>
      <c r="AH1301">
        <v>1</v>
      </c>
    </row>
    <row r="1302" spans="1:34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 t="str" cm="1">
        <f t="array" ref="U1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2" t="str" cm="1">
        <f t="array" ref="V1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  <c r="AF1302">
        <f>AVERAGE(Table1[[#This Row],[Range2_Low]:[Range2_High]])</f>
        <v>0</v>
      </c>
      <c r="AG1302">
        <f>AVERAGE(Table1[[#This Row],[Range1_Low]:[Range1_High]])</f>
        <v>24500</v>
      </c>
      <c r="AH1302">
        <v>1</v>
      </c>
    </row>
    <row r="1303" spans="1:34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 t="str" cm="1">
        <f t="array" ref="U1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3" t="str" cm="1">
        <f t="array" ref="V1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  <c r="AF1303">
        <f>AVERAGE(Table1[[#This Row],[Range2_Low]:[Range2_High]])</f>
        <v>0</v>
      </c>
      <c r="AG1303">
        <f>AVERAGE(Table1[[#This Row],[Range1_Low]:[Range1_High]])</f>
        <v>24500</v>
      </c>
      <c r="AH1303">
        <v>1</v>
      </c>
    </row>
    <row r="1304" spans="1:34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tr" cm="1">
        <f t="array" ref="U1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4" t="str" cm="1">
        <f t="array" ref="V1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  <c r="AF1304">
        <f>AVERAGE(Table1[[#This Row],[Range2_Low]:[Range2_High]])</f>
        <v>0</v>
      </c>
      <c r="AG1304">
        <f>AVERAGE(Table1[[#This Row],[Range1_Low]:[Range1_High]])</f>
        <v>0.16500049999999999</v>
      </c>
      <c r="AH1304">
        <v>1</v>
      </c>
    </row>
    <row r="1305" spans="1:34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tr" cm="1">
        <f t="array" ref="U1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5" t="str" cm="1">
        <f t="array" ref="V1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  <c r="AF1305">
        <f>AVERAGE(Table1[[#This Row],[Range2_Low]:[Range2_High]])</f>
        <v>0</v>
      </c>
      <c r="AG1305">
        <f>AVERAGE(Table1[[#This Row],[Range1_Low]:[Range1_High]])</f>
        <v>0.16500049999999999</v>
      </c>
      <c r="AH1305">
        <v>1</v>
      </c>
    </row>
    <row r="1306" spans="1:34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tr" cm="1">
        <f t="array" ref="U1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V1306" t="str" cm="1">
        <f t="array" ref="V1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µV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  <c r="AF1306">
        <f>AVERAGE(Table1[[#This Row],[Range2_Low]:[Range2_High]])</f>
        <v>0</v>
      </c>
      <c r="AG1306">
        <f>AVERAGE(Table1[[#This Row],[Range1_Low]:[Range1_High]])</f>
        <v>0.16500049999999999</v>
      </c>
      <c r="AH1306">
        <v>1</v>
      </c>
    </row>
    <row r="1307" spans="1:34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tr" cm="1">
        <f t="array" ref="U1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1307" t="str" cm="1">
        <f t="array" ref="V1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  <c r="AF1307">
        <f>AVERAGE(Table1[[#This Row],[Range2_Low]:[Range2_High]])</f>
        <v>0</v>
      </c>
      <c r="AG1307">
        <f>AVERAGE(Table1[[#This Row],[Range1_Low]:[Range1_High]])</f>
        <v>0.16500049999999999</v>
      </c>
      <c r="AH1307">
        <v>1</v>
      </c>
    </row>
    <row r="1308" spans="1:34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tr" cm="1">
        <f t="array" ref="U1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308" t="str" cm="1">
        <f t="array" ref="V1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  <c r="AF1308">
        <f>AVERAGE(Table1[[#This Row],[Range2_Low]:[Range2_High]])</f>
        <v>0</v>
      </c>
      <c r="AG1308">
        <f>AVERAGE(Table1[[#This Row],[Range1_Low]:[Range1_High]])</f>
        <v>0.16500049999999999</v>
      </c>
      <c r="AH1308">
        <v>1</v>
      </c>
    </row>
    <row r="1309" spans="1:34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tr" cm="1">
        <f t="array" ref="U1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09" t="str" cm="1">
        <f t="array" ref="V1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  <c r="AF1309">
        <f>AVERAGE(Table1[[#This Row],[Range2_Low]:[Range2_High]])</f>
        <v>0</v>
      </c>
      <c r="AG1309">
        <f>AVERAGE(Table1[[#This Row],[Range1_Low]:[Range1_High]])</f>
        <v>0.16500049999999999</v>
      </c>
      <c r="AH1309">
        <v>1</v>
      </c>
    </row>
    <row r="1310" spans="1:34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tr" cm="1">
        <f t="array" ref="U1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10" t="str" cm="1">
        <f t="array" ref="V1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  <c r="AF1310">
        <f>AVERAGE(Table1[[#This Row],[Range2_Low]:[Range2_High]])</f>
        <v>0</v>
      </c>
      <c r="AG1310">
        <f>AVERAGE(Table1[[#This Row],[Range1_Low]:[Range1_High]])</f>
        <v>0.16500049999999999</v>
      </c>
      <c r="AH1310">
        <v>1</v>
      </c>
    </row>
    <row r="1311" spans="1:34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tr" cm="1">
        <f t="array" ref="U1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11" t="str" cm="1">
        <f t="array" ref="V1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  <c r="AF1311">
        <f>AVERAGE(Table1[[#This Row],[Range2_Low]:[Range2_High]])</f>
        <v>0</v>
      </c>
      <c r="AG1311">
        <f>AVERAGE(Table1[[#This Row],[Range1_Low]:[Range1_High]])</f>
        <v>0.16500049999999999</v>
      </c>
      <c r="AH1311">
        <v>1</v>
      </c>
    </row>
    <row r="1312" spans="1:34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tr" cm="1">
        <f t="array" ref="U1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12" t="str" cm="1">
        <f t="array" ref="V1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  <c r="AF1312">
        <f>AVERAGE(Table1[[#This Row],[Range2_Low]:[Range2_High]])</f>
        <v>0</v>
      </c>
      <c r="AG1312">
        <f>AVERAGE(Table1[[#This Row],[Range1_Low]:[Range1_High]])</f>
        <v>0.16500049999999999</v>
      </c>
      <c r="AH1312">
        <v>1</v>
      </c>
    </row>
    <row r="1313" spans="1:34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tr" cm="1">
        <f t="array" ref="U1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µV</v>
      </c>
      <c r="V1313" t="str" cm="1">
        <f t="array" ref="V1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  <c r="AF1313">
        <f>AVERAGE(Table1[[#This Row],[Range2_Low]:[Range2_High]])</f>
        <v>0</v>
      </c>
      <c r="AG1313">
        <f>AVERAGE(Table1[[#This Row],[Range1_Low]:[Range1_High]])</f>
        <v>1.815005</v>
      </c>
      <c r="AH1313">
        <v>1</v>
      </c>
    </row>
    <row r="1314" spans="1:34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tr" cm="1">
        <f t="array" ref="U1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µV</v>
      </c>
      <c r="V1314" t="str" cm="1">
        <f t="array" ref="V1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  <c r="AF1314">
        <f>AVERAGE(Table1[[#This Row],[Range2_Low]:[Range2_High]])</f>
        <v>0</v>
      </c>
      <c r="AG1314">
        <f>AVERAGE(Table1[[#This Row],[Range1_Low]:[Range1_High]])</f>
        <v>1.815005</v>
      </c>
      <c r="AH1314">
        <v>1</v>
      </c>
    </row>
    <row r="1315" spans="1:34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tr" cm="1">
        <f t="array" ref="U1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315" t="str" cm="1">
        <f t="array" ref="V1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  <c r="AF1315">
        <f>AVERAGE(Table1[[#This Row],[Range2_Low]:[Range2_High]])</f>
        <v>0</v>
      </c>
      <c r="AG1315">
        <f>AVERAGE(Table1[[#This Row],[Range1_Low]:[Range1_High]])</f>
        <v>1.815005</v>
      </c>
      <c r="AH1315">
        <v>1</v>
      </c>
    </row>
    <row r="1316" spans="1:34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tr" cm="1">
        <f t="array" ref="U1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316" t="str" cm="1">
        <f t="array" ref="V1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  <c r="AF1316">
        <f>AVERAGE(Table1[[#This Row],[Range2_Low]:[Range2_High]])</f>
        <v>0</v>
      </c>
      <c r="AG1316">
        <f>AVERAGE(Table1[[#This Row],[Range1_Low]:[Range1_High]])</f>
        <v>1.815005</v>
      </c>
      <c r="AH1316">
        <v>1</v>
      </c>
    </row>
    <row r="1317" spans="1:34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tr" cm="1">
        <f t="array" ref="U1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17" t="str" cm="1">
        <f t="array" ref="V1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  <c r="AF1317">
        <f>AVERAGE(Table1[[#This Row],[Range2_Low]:[Range2_High]])</f>
        <v>0</v>
      </c>
      <c r="AG1317">
        <f>AVERAGE(Table1[[#This Row],[Range1_Low]:[Range1_High]])</f>
        <v>1.815005</v>
      </c>
      <c r="AH1317">
        <v>1</v>
      </c>
    </row>
    <row r="1318" spans="1:34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tr" cm="1">
        <f t="array" ref="U1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318" t="str" cm="1">
        <f t="array" ref="V1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  <c r="AF1318">
        <f>AVERAGE(Table1[[#This Row],[Range2_Low]:[Range2_High]])</f>
        <v>0</v>
      </c>
      <c r="AG1318">
        <f>AVERAGE(Table1[[#This Row],[Range1_Low]:[Range1_High]])</f>
        <v>1.815005</v>
      </c>
      <c r="AH1318">
        <v>1</v>
      </c>
    </row>
    <row r="1319" spans="1:34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tr" cm="1">
        <f t="array" ref="U1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mV</v>
      </c>
      <c r="V1319" t="str" cm="1">
        <f t="array" ref="V1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  <c r="AF1319">
        <f>AVERAGE(Table1[[#This Row],[Range2_Low]:[Range2_High]])</f>
        <v>0</v>
      </c>
      <c r="AG1319">
        <f>AVERAGE(Table1[[#This Row],[Range1_Low]:[Range1_High]])</f>
        <v>18.000050000000002</v>
      </c>
      <c r="AH1319">
        <v>1</v>
      </c>
    </row>
    <row r="1320" spans="1:34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tr" cm="1">
        <f t="array" ref="U1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mV</v>
      </c>
      <c r="V1320" t="str" cm="1">
        <f t="array" ref="V1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  <c r="AF1320">
        <f>AVERAGE(Table1[[#This Row],[Range2_Low]:[Range2_High]])</f>
        <v>0</v>
      </c>
      <c r="AG1320">
        <f>AVERAGE(Table1[[#This Row],[Range1_Low]:[Range1_High]])</f>
        <v>18.000050000000002</v>
      </c>
      <c r="AH1320">
        <v>1</v>
      </c>
    </row>
    <row r="1321" spans="1:34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tr" cm="1">
        <f t="array" ref="U1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321" t="str" cm="1">
        <f t="array" ref="V1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  <c r="AF1321">
        <f>AVERAGE(Table1[[#This Row],[Range2_Low]:[Range2_High]])</f>
        <v>0</v>
      </c>
      <c r="AG1321">
        <f>AVERAGE(Table1[[#This Row],[Range1_Low]:[Range1_High]])</f>
        <v>18.000050000000002</v>
      </c>
      <c r="AH1321">
        <v>1</v>
      </c>
    </row>
    <row r="1322" spans="1:34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tr" cm="1">
        <f t="array" ref="U1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322" t="str" cm="1">
        <f t="array" ref="V1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  <c r="AF1322">
        <f>AVERAGE(Table1[[#This Row],[Range2_Low]:[Range2_High]])</f>
        <v>0</v>
      </c>
      <c r="AG1322">
        <f>AVERAGE(Table1[[#This Row],[Range1_Low]:[Range1_High]])</f>
        <v>18.000050000000002</v>
      </c>
      <c r="AH1322">
        <v>1</v>
      </c>
    </row>
    <row r="1323" spans="1:34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tr" cm="1">
        <f t="array" ref="U1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23" t="str" cm="1">
        <f t="array" ref="V1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  <c r="AF1323">
        <f>AVERAGE(Table1[[#This Row],[Range2_Low]:[Range2_High]])</f>
        <v>0</v>
      </c>
      <c r="AG1323">
        <f>AVERAGE(Table1[[#This Row],[Range1_Low]:[Range1_High]])</f>
        <v>18.000050000000002</v>
      </c>
      <c r="AH1323">
        <v>1</v>
      </c>
    </row>
    <row r="1324" spans="1:34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tr" cm="1">
        <f t="array" ref="U1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4" t="str" cm="1">
        <f t="array" ref="V1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  <c r="AF1324">
        <f>AVERAGE(Table1[[#This Row],[Range2_Low]:[Range2_High]])</f>
        <v>0</v>
      </c>
      <c r="AG1324">
        <f>AVERAGE(Table1[[#This Row],[Range1_Low]:[Range1_High]])</f>
        <v>18.000050000000002</v>
      </c>
      <c r="AH1324">
        <v>1</v>
      </c>
    </row>
    <row r="1325" spans="1:34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tr" cm="1">
        <f t="array" ref="U1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5" t="str" cm="1">
        <f t="array" ref="V1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  <c r="AF1325">
        <f>AVERAGE(Table1[[#This Row],[Range2_Low]:[Range2_High]])</f>
        <v>0</v>
      </c>
      <c r="AG1325">
        <f>AVERAGE(Table1[[#This Row],[Range1_Low]:[Range1_High]])</f>
        <v>181.50049999999999</v>
      </c>
      <c r="AH1325">
        <v>1</v>
      </c>
    </row>
    <row r="1326" spans="1:34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tr" cm="1">
        <f t="array" ref="U1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6" t="str" cm="1">
        <f t="array" ref="V1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  <c r="AF1326">
        <f>AVERAGE(Table1[[#This Row],[Range2_Low]:[Range2_High]])</f>
        <v>0</v>
      </c>
      <c r="AG1326">
        <f>AVERAGE(Table1[[#This Row],[Range1_Low]:[Range1_High]])</f>
        <v>181.50049999999999</v>
      </c>
      <c r="AH1326">
        <v>1</v>
      </c>
    </row>
    <row r="1327" spans="1:34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tr" cm="1">
        <f t="array" ref="U1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1327" t="str" cm="1">
        <f t="array" ref="V1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  <c r="AF1327">
        <f>AVERAGE(Table1[[#This Row],[Range2_Low]:[Range2_High]])</f>
        <v>0</v>
      </c>
      <c r="AG1327">
        <f>AVERAGE(Table1[[#This Row],[Range1_Low]:[Range1_High]])</f>
        <v>181.50049999999999</v>
      </c>
      <c r="AH1327">
        <v>1</v>
      </c>
    </row>
    <row r="1328" spans="1:34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tr" cm="1">
        <f t="array" ref="U1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328" t="str" cm="1">
        <f t="array" ref="V1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  <c r="AF1328">
        <f>AVERAGE(Table1[[#This Row],[Range2_Low]:[Range2_High]])</f>
        <v>0</v>
      </c>
      <c r="AG1328">
        <f>AVERAGE(Table1[[#This Row],[Range1_Low]:[Range1_High]])</f>
        <v>181.50049999999999</v>
      </c>
      <c r="AH1328">
        <v>1</v>
      </c>
    </row>
    <row r="1329" spans="1:34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tr" cm="1">
        <f t="array" ref="U1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9" t="str" cm="1">
        <f t="array" ref="V1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  <c r="AF1329">
        <f>AVERAGE(Table1[[#This Row],[Range2_Low]:[Range2_High]])</f>
        <v>0</v>
      </c>
      <c r="AG1329">
        <f>AVERAGE(Table1[[#This Row],[Range1_Low]:[Range1_High]])</f>
        <v>181.50049999999999</v>
      </c>
      <c r="AH1329">
        <v>1</v>
      </c>
    </row>
    <row r="1330" spans="1:34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tr" cm="1">
        <f t="array" ref="U1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0" t="str" cm="1">
        <f t="array" ref="V1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  <c r="AF1330">
        <f>AVERAGE(Table1[[#This Row],[Range2_Low]:[Range2_High]])</f>
        <v>0</v>
      </c>
      <c r="AG1330">
        <f>AVERAGE(Table1[[#This Row],[Range1_Low]:[Range1_High]])</f>
        <v>181.50049999999999</v>
      </c>
      <c r="AH1330">
        <v>1</v>
      </c>
    </row>
    <row r="1331" spans="1:34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tr" cm="1">
        <f t="array" ref="U1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331" t="str" cm="1">
        <f t="array" ref="V1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  <c r="AF1331">
        <f>AVERAGE(Table1[[#This Row],[Range2_Low]:[Range2_High]])</f>
        <v>0</v>
      </c>
      <c r="AG1331">
        <f>AVERAGE(Table1[[#This Row],[Range1_Low]:[Range1_High]])</f>
        <v>665.005</v>
      </c>
      <c r="AH1331">
        <v>1</v>
      </c>
    </row>
    <row r="1332" spans="1:34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tr" cm="1">
        <f t="array" ref="U1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332" t="str" cm="1">
        <f t="array" ref="V1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  <c r="AF1332">
        <f>AVERAGE(Table1[[#This Row],[Range2_Low]:[Range2_High]])</f>
        <v>0</v>
      </c>
      <c r="AG1332">
        <f>AVERAGE(Table1[[#This Row],[Range1_Low]:[Range1_High]])</f>
        <v>665.005</v>
      </c>
      <c r="AH1332">
        <v>1</v>
      </c>
    </row>
    <row r="1333" spans="1:34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tr" cm="1">
        <f t="array" ref="U1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mV</v>
      </c>
      <c r="V1333" t="str" cm="1">
        <f t="array" ref="V1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  <c r="AF1333">
        <f>AVERAGE(Table1[[#This Row],[Range2_Low]:[Range2_High]])</f>
        <v>0</v>
      </c>
      <c r="AG1333">
        <f>AVERAGE(Table1[[#This Row],[Range1_Low]:[Range1_High]])</f>
        <v>665.005</v>
      </c>
      <c r="AH1333">
        <v>1</v>
      </c>
    </row>
    <row r="1334" spans="1:34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tr" cm="1">
        <f t="array" ref="U1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4" t="str" cm="1">
        <f t="array" ref="V1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  <c r="AF1334">
        <f>AVERAGE(Table1[[#This Row],[Range2_Low]:[Range2_High]])</f>
        <v>0</v>
      </c>
      <c r="AG1334">
        <f>AVERAGE(Table1[[#This Row],[Range1_Low]:[Range1_High]])</f>
        <v>665.005</v>
      </c>
      <c r="AH1334">
        <v>1</v>
      </c>
    </row>
    <row r="1335" spans="1:34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tr" cm="1">
        <f t="array" ref="U1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5" t="str" cm="1">
        <f t="array" ref="V1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  <c r="AF1335">
        <f>AVERAGE(Table1[[#This Row],[Range2_Low]:[Range2_High]])</f>
        <v>0</v>
      </c>
      <c r="AG1335">
        <f>AVERAGE(Table1[[#This Row],[Range1_Low]:[Range1_High]])</f>
        <v>665.005</v>
      </c>
      <c r="AH1335">
        <v>1</v>
      </c>
    </row>
    <row r="1336" spans="1:34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tr" cm="1">
        <f t="array" ref="U1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6" t="str" cm="1">
        <f t="array" ref="V1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  <c r="AF1336">
        <f>AVERAGE(Table1[[#This Row],[Range2_Low]:[Range2_High]])</f>
        <v>0</v>
      </c>
      <c r="AG1336">
        <f>AVERAGE(Table1[[#This Row],[Range1_Low]:[Range1_High]])</f>
        <v>1000.5</v>
      </c>
      <c r="AH1336">
        <v>1</v>
      </c>
    </row>
    <row r="1337" spans="1:34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tr" cm="1">
        <f t="array" ref="U1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7" t="str" cm="1">
        <f t="array" ref="V1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  <c r="AF1337">
        <f>AVERAGE(Table1[[#This Row],[Range2_Low]:[Range2_High]])</f>
        <v>0</v>
      </c>
      <c r="AG1337">
        <f>AVERAGE(Table1[[#This Row],[Range1_Low]:[Range1_High]])</f>
        <v>1000.5</v>
      </c>
      <c r="AH1337">
        <v>1</v>
      </c>
    </row>
    <row r="1338" spans="1:34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tr" cm="1">
        <f t="array" ref="U1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V1338" t="str" cm="1">
        <f t="array" ref="V1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  <c r="AF1338">
        <f>AVERAGE(Table1[[#This Row],[Range2_Low]:[Range2_High]])</f>
        <v>0</v>
      </c>
      <c r="AG1338">
        <f>AVERAGE(Table1[[#This Row],[Range1_Low]:[Range1_High]])</f>
        <v>1000.5</v>
      </c>
      <c r="AH1338">
        <v>1</v>
      </c>
    </row>
    <row r="1339" spans="1:34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tr" cm="1">
        <f t="array" ref="U1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9" t="str" cm="1">
        <f t="array" ref="V1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  <c r="AF1339">
        <f>AVERAGE(Table1[[#This Row],[Range2_Low]:[Range2_High]])</f>
        <v>0</v>
      </c>
      <c r="AG1339">
        <f>AVERAGE(Table1[[#This Row],[Range1_Low]:[Range1_High]])</f>
        <v>1000.5</v>
      </c>
      <c r="AH1339">
        <v>1</v>
      </c>
    </row>
    <row r="1340" spans="1:34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tr" cm="1">
        <f t="array" ref="U1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40" t="str" cm="1">
        <f t="array" ref="V1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  <c r="AF1340">
        <f>AVERAGE(Table1[[#This Row],[Range2_Low]:[Range2_High]])</f>
        <v>0</v>
      </c>
      <c r="AG1340">
        <f>AVERAGE(Table1[[#This Row],[Range1_Low]:[Range1_High]])</f>
        <v>1000.5</v>
      </c>
      <c r="AH1340">
        <v>1</v>
      </c>
    </row>
    <row r="1341" spans="1:34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161</v>
      </c>
      <c r="U1341" t="str" cm="1">
        <f t="array" ref="U1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1" t="str" cm="1">
        <f t="array" ref="V1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  <c r="AF1341">
        <f>AVERAGE(Table1[[#This Row],[Range2_Low]:[Range2_High]])</f>
        <v>0</v>
      </c>
      <c r="AG1341">
        <f>AVERAGE(Table1[[#This Row],[Range1_Low]:[Range1_High]])</f>
        <v>102.505</v>
      </c>
      <c r="AH1341">
        <v>1</v>
      </c>
    </row>
    <row r="1342" spans="1:34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161</v>
      </c>
      <c r="U1342" t="str" cm="1">
        <f t="array" ref="U1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2" t="str" cm="1">
        <f t="array" ref="V1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  <c r="AF1342">
        <f>AVERAGE(Table1[[#This Row],[Range2_Low]:[Range2_High]])</f>
        <v>0</v>
      </c>
      <c r="AG1342">
        <f>AVERAGE(Table1[[#This Row],[Range1_Low]:[Range1_High]])</f>
        <v>102.505</v>
      </c>
      <c r="AH1342">
        <v>1</v>
      </c>
    </row>
    <row r="1343" spans="1:34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161</v>
      </c>
      <c r="U1343" t="str" cm="1">
        <f t="array" ref="U1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1343" t="str" cm="1">
        <f t="array" ref="V1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mA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  <c r="AF1343">
        <f>AVERAGE(Table1[[#This Row],[Range2_Low]:[Range2_High]])</f>
        <v>0</v>
      </c>
      <c r="AG1343">
        <f>AVERAGE(Table1[[#This Row],[Range1_Low]:[Range1_High]])</f>
        <v>102.505</v>
      </c>
      <c r="AH1343">
        <v>1</v>
      </c>
    </row>
    <row r="1344" spans="1:34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161</v>
      </c>
      <c r="U1344" t="str" cm="1">
        <f t="array" ref="U1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V1344" t="str" cm="1">
        <f t="array" ref="V1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  <c r="AF1344">
        <f>AVERAGE(Table1[[#This Row],[Range2_Low]:[Range2_High]])</f>
        <v>0</v>
      </c>
      <c r="AG1344">
        <f>AVERAGE(Table1[[#This Row],[Range1_Low]:[Range1_High]])</f>
        <v>102.505</v>
      </c>
      <c r="AH1344">
        <v>1</v>
      </c>
    </row>
    <row r="1345" spans="1:34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161</v>
      </c>
      <c r="U1345" t="str" cm="1">
        <f t="array" ref="U1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45" t="str" cm="1">
        <f t="array" ref="V1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  <c r="AF1345">
        <f>AVERAGE(Table1[[#This Row],[Range2_Low]:[Range2_High]])</f>
        <v>0</v>
      </c>
      <c r="AG1345">
        <f>AVERAGE(Table1[[#This Row],[Range1_Low]:[Range1_High]])</f>
        <v>102.505</v>
      </c>
      <c r="AH1345">
        <v>1</v>
      </c>
    </row>
    <row r="1346" spans="1:34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161</v>
      </c>
      <c r="U1346" t="str" cm="1">
        <f t="array" ref="U1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46" t="str" cm="1">
        <f t="array" ref="V1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  <c r="AF1346">
        <f>AVERAGE(Table1[[#This Row],[Range2_Low]:[Range2_High]])</f>
        <v>0</v>
      </c>
      <c r="AG1346">
        <f>AVERAGE(Table1[[#This Row],[Range1_Low]:[Range1_High]])</f>
        <v>102.505</v>
      </c>
      <c r="AH1346">
        <v>1</v>
      </c>
    </row>
    <row r="1347" spans="1:34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161</v>
      </c>
      <c r="U1347" t="str" cm="1">
        <f t="array" ref="U1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7" t="str" cm="1">
        <f t="array" ref="V1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  <c r="AF1347">
        <f>AVERAGE(Table1[[#This Row],[Range2_Low]:[Range2_High]])</f>
        <v>0</v>
      </c>
      <c r="AG1347">
        <f>AVERAGE(Table1[[#This Row],[Range1_Low]:[Range1_High]])</f>
        <v>350.005</v>
      </c>
      <c r="AH1347">
        <v>1</v>
      </c>
    </row>
    <row r="1348" spans="1:34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161</v>
      </c>
      <c r="U1348" t="str" cm="1">
        <f t="array" ref="U1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8" t="str" cm="1">
        <f t="array" ref="V1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  <c r="AF1348">
        <f>AVERAGE(Table1[[#This Row],[Range2_Low]:[Range2_High]])</f>
        <v>0</v>
      </c>
      <c r="AG1348">
        <f>AVERAGE(Table1[[#This Row],[Range1_Low]:[Range1_High]])</f>
        <v>350.005</v>
      </c>
      <c r="AH1348">
        <v>1</v>
      </c>
    </row>
    <row r="1349" spans="1:34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161</v>
      </c>
      <c r="U1349" t="str" cm="1">
        <f t="array" ref="U1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mA</v>
      </c>
      <c r="V1349" t="str" cm="1">
        <f t="array" ref="V1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  <c r="AF1349">
        <f>AVERAGE(Table1[[#This Row],[Range2_Low]:[Range2_High]])</f>
        <v>0</v>
      </c>
      <c r="AG1349">
        <f>AVERAGE(Table1[[#This Row],[Range1_Low]:[Range1_High]])</f>
        <v>350.005</v>
      </c>
      <c r="AH1349">
        <v>1</v>
      </c>
    </row>
    <row r="1350" spans="1:34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161</v>
      </c>
      <c r="U1350" t="str" cm="1">
        <f t="array" ref="U1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50" t="str" cm="1">
        <f t="array" ref="V1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  <c r="AF1350">
        <f>AVERAGE(Table1[[#This Row],[Range2_Low]:[Range2_High]])</f>
        <v>0</v>
      </c>
      <c r="AG1350">
        <f>AVERAGE(Table1[[#This Row],[Range1_Low]:[Range1_High]])</f>
        <v>350.005</v>
      </c>
      <c r="AH1350">
        <v>1</v>
      </c>
    </row>
    <row r="1351" spans="1:34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161</v>
      </c>
      <c r="U1351" t="str" cm="1">
        <f t="array" ref="U1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1" t="str" cm="1">
        <f t="array" ref="V1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  <c r="AF1351">
        <f>AVERAGE(Table1[[#This Row],[Range2_Low]:[Range2_High]])</f>
        <v>0</v>
      </c>
      <c r="AG1351">
        <f>AVERAGE(Table1[[#This Row],[Range1_Low]:[Range1_High]])</f>
        <v>350.005</v>
      </c>
      <c r="AH1351">
        <v>1</v>
      </c>
    </row>
    <row r="1352" spans="1:34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161</v>
      </c>
      <c r="U1352" t="str" cm="1">
        <f t="array" ref="U1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2" t="str" cm="1">
        <f t="array" ref="V1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  <c r="AF1352">
        <f>AVERAGE(Table1[[#This Row],[Range2_Low]:[Range2_High]])</f>
        <v>0</v>
      </c>
      <c r="AG1352">
        <f>AVERAGE(Table1[[#This Row],[Range1_Low]:[Range1_High]])</f>
        <v>787.5</v>
      </c>
      <c r="AH1352">
        <v>1</v>
      </c>
    </row>
    <row r="1353" spans="1:34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161</v>
      </c>
      <c r="U1353" t="str" cm="1">
        <f t="array" ref="U1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3" t="str" cm="1">
        <f t="array" ref="V1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  <c r="AF1353">
        <f>AVERAGE(Table1[[#This Row],[Range2_Low]:[Range2_High]])</f>
        <v>0</v>
      </c>
      <c r="AG1353">
        <f>AVERAGE(Table1[[#This Row],[Range1_Low]:[Range1_High]])</f>
        <v>787.5</v>
      </c>
      <c r="AH1353">
        <v>1</v>
      </c>
    </row>
    <row r="1354" spans="1:34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161</v>
      </c>
      <c r="U1354" t="str" cm="1">
        <f t="array" ref="U1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mA</v>
      </c>
      <c r="V1354" t="str" cm="1">
        <f t="array" ref="V1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  <c r="AF1354">
        <f>AVERAGE(Table1[[#This Row],[Range2_Low]:[Range2_High]])</f>
        <v>0</v>
      </c>
      <c r="AG1354">
        <f>AVERAGE(Table1[[#This Row],[Range1_Low]:[Range1_High]])</f>
        <v>787.5</v>
      </c>
      <c r="AH1354">
        <v>1</v>
      </c>
    </row>
    <row r="1355" spans="1:34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161</v>
      </c>
      <c r="U1355" t="str" cm="1">
        <f t="array" ref="U1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V1355" t="str" cm="1">
        <f t="array" ref="V1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  <c r="AF1355">
        <f>AVERAGE(Table1[[#This Row],[Range2_Low]:[Range2_High]])</f>
        <v>0</v>
      </c>
      <c r="AG1355">
        <f>AVERAGE(Table1[[#This Row],[Range1_Low]:[Range1_High]])</f>
        <v>787.5</v>
      </c>
      <c r="AH1355">
        <v>1</v>
      </c>
    </row>
    <row r="1356" spans="1:34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161</v>
      </c>
      <c r="U1356" t="str" cm="1">
        <f t="array" ref="U1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6" t="str" cm="1">
        <f t="array" ref="V1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  <c r="AF1356">
        <f>AVERAGE(Table1[[#This Row],[Range2_Low]:[Range2_High]])</f>
        <v>0</v>
      </c>
      <c r="AG1356">
        <f>AVERAGE(Table1[[#This Row],[Range1_Low]:[Range1_High]])</f>
        <v>787.5</v>
      </c>
      <c r="AH1356">
        <v>1</v>
      </c>
    </row>
    <row r="1357" spans="1:34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161</v>
      </c>
      <c r="U1357" t="str" cm="1">
        <f t="array" ref="U1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7" t="str" cm="1">
        <f t="array" ref="V1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  <c r="AF1357">
        <f>AVERAGE(Table1[[#This Row],[Range2_Low]:[Range2_High]])</f>
        <v>0</v>
      </c>
      <c r="AG1357">
        <f>AVERAGE(Table1[[#This Row],[Range1_Low]:[Range1_High]])</f>
        <v>1025.5</v>
      </c>
      <c r="AH1357">
        <v>1</v>
      </c>
    </row>
    <row r="1358" spans="1:34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161</v>
      </c>
      <c r="U1358" t="str" cm="1">
        <f t="array" ref="U1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8" t="str" cm="1">
        <f t="array" ref="V1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  <c r="AF1358">
        <f>AVERAGE(Table1[[#This Row],[Range2_Low]:[Range2_High]])</f>
        <v>0</v>
      </c>
      <c r="AG1358">
        <f>AVERAGE(Table1[[#This Row],[Range1_Low]:[Range1_High]])</f>
        <v>1025.5</v>
      </c>
      <c r="AH1358">
        <v>1</v>
      </c>
    </row>
    <row r="1359" spans="1:34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161</v>
      </c>
      <c r="U1359" t="str" cm="1">
        <f t="array" ref="U1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V1359" t="str" cm="1">
        <f t="array" ref="V1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  <c r="AF1359">
        <f>AVERAGE(Table1[[#This Row],[Range2_Low]:[Range2_High]])</f>
        <v>0</v>
      </c>
      <c r="AG1359">
        <f>AVERAGE(Table1[[#This Row],[Range1_Low]:[Range1_High]])</f>
        <v>1025.5</v>
      </c>
      <c r="AH1359">
        <v>1</v>
      </c>
    </row>
    <row r="1360" spans="1:34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161</v>
      </c>
      <c r="U1360" t="str" cm="1">
        <f t="array" ref="U1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1360" t="str" cm="1">
        <f t="array" ref="V1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  <c r="AF1360">
        <f>AVERAGE(Table1[[#This Row],[Range2_Low]:[Range2_High]])</f>
        <v>0</v>
      </c>
      <c r="AG1360">
        <f>AVERAGE(Table1[[#This Row],[Range1_Low]:[Range1_High]])</f>
        <v>1025.5</v>
      </c>
      <c r="AH1360">
        <v>1</v>
      </c>
    </row>
    <row r="1361" spans="1:34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161</v>
      </c>
      <c r="U1361" t="str" cm="1">
        <f t="array" ref="U1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1" t="str" cm="1">
        <f t="array" ref="V1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  <c r="AF1361">
        <f>AVERAGE(Table1[[#This Row],[Range2_Low]:[Range2_High]])</f>
        <v>0</v>
      </c>
      <c r="AG1361">
        <f>AVERAGE(Table1[[#This Row],[Range1_Low]:[Range1_High]])</f>
        <v>1025.5</v>
      </c>
      <c r="AH1361">
        <v>1</v>
      </c>
    </row>
    <row r="1362" spans="1:34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160</v>
      </c>
      <c r="U1362" t="str" cm="1">
        <f t="array" ref="U1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2" t="str" cm="1">
        <f t="array" ref="V1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  <c r="AF1362">
        <f>AVERAGE(Table1[[#This Row],[Range2_Low]:[Range2_High]])</f>
        <v>0</v>
      </c>
      <c r="AG1362">
        <f>AVERAGE(Table1[[#This Row],[Range1_Low]:[Range1_High]])</f>
        <v>40.004999999999995</v>
      </c>
      <c r="AH1362">
        <v>1</v>
      </c>
    </row>
    <row r="1363" spans="1:34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160</v>
      </c>
      <c r="U1363" t="str" cm="1">
        <f t="array" ref="U1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3" t="str" cm="1">
        <f t="array" ref="V1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  <c r="AF1363">
        <f>AVERAGE(Table1[[#This Row],[Range2_Low]:[Range2_High]])</f>
        <v>0</v>
      </c>
      <c r="AG1363">
        <f>AVERAGE(Table1[[#This Row],[Range1_Low]:[Range1_High]])</f>
        <v>40.004999999999995</v>
      </c>
      <c r="AH1363">
        <v>1</v>
      </c>
    </row>
    <row r="1364" spans="1:34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160</v>
      </c>
      <c r="U1364" t="str" cm="1">
        <f t="array" ref="U1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V1364" t="str" cm="1">
        <f t="array" ref="V1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mA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  <c r="AF1364">
        <f>AVERAGE(Table1[[#This Row],[Range2_Low]:[Range2_High]])</f>
        <v>0</v>
      </c>
      <c r="AG1364">
        <f>AVERAGE(Table1[[#This Row],[Range1_Low]:[Range1_High]])</f>
        <v>40.004999999999995</v>
      </c>
      <c r="AH1364">
        <v>1</v>
      </c>
    </row>
    <row r="1365" spans="1:34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160</v>
      </c>
      <c r="U1365" t="str" cm="1">
        <f t="array" ref="U1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65" t="str" cm="1">
        <f t="array" ref="V1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  <c r="AF1365">
        <f>AVERAGE(Table1[[#This Row],[Range2_Low]:[Range2_High]])</f>
        <v>0</v>
      </c>
      <c r="AG1365">
        <f>AVERAGE(Table1[[#This Row],[Range1_Low]:[Range1_High]])</f>
        <v>40.004999999999995</v>
      </c>
      <c r="AH1365">
        <v>1</v>
      </c>
    </row>
    <row r="1366" spans="1:34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160</v>
      </c>
      <c r="U1366" t="str" cm="1">
        <f t="array" ref="U1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66" t="str" cm="1">
        <f t="array" ref="V1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  <c r="AF1366">
        <f>AVERAGE(Table1[[#This Row],[Range2_Low]:[Range2_High]])</f>
        <v>0</v>
      </c>
      <c r="AG1366">
        <f>AVERAGE(Table1[[#This Row],[Range1_Low]:[Range1_High]])</f>
        <v>40.004999999999995</v>
      </c>
      <c r="AH1366">
        <v>1</v>
      </c>
    </row>
    <row r="1367" spans="1:34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160</v>
      </c>
      <c r="U1367" t="str" cm="1">
        <f t="array" ref="U1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7" t="str" cm="1">
        <f t="array" ref="V1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  <c r="AF1367">
        <f>AVERAGE(Table1[[#This Row],[Range2_Low]:[Range2_High]])</f>
        <v>0</v>
      </c>
      <c r="AG1367">
        <f>AVERAGE(Table1[[#This Row],[Range1_Low]:[Range1_High]])</f>
        <v>40.004999999999995</v>
      </c>
      <c r="AH1367">
        <v>1</v>
      </c>
    </row>
    <row r="1368" spans="1:34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160</v>
      </c>
      <c r="U1368" t="str" cm="1">
        <f t="array" ref="U1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8" t="str" cm="1">
        <f t="array" ref="V1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  <c r="AF1368">
        <f>AVERAGE(Table1[[#This Row],[Range2_Low]:[Range2_High]])</f>
        <v>0</v>
      </c>
      <c r="AG1368">
        <f>AVERAGE(Table1[[#This Row],[Range1_Low]:[Range1_High]])</f>
        <v>140.005</v>
      </c>
      <c r="AH1368">
        <v>1</v>
      </c>
    </row>
    <row r="1369" spans="1:34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160</v>
      </c>
      <c r="U1369" t="str" cm="1">
        <f t="array" ref="U1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9" t="str" cm="1">
        <f t="array" ref="V1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  <c r="AF1369">
        <f>AVERAGE(Table1[[#This Row],[Range2_Low]:[Range2_High]])</f>
        <v>0</v>
      </c>
      <c r="AG1369">
        <f>AVERAGE(Table1[[#This Row],[Range1_Low]:[Range1_High]])</f>
        <v>140.005</v>
      </c>
      <c r="AH1369">
        <v>1</v>
      </c>
    </row>
    <row r="1370" spans="1:34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160</v>
      </c>
      <c r="U1370" t="str" cm="1">
        <f t="array" ref="U1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70" t="str" cm="1">
        <f t="array" ref="V1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  <c r="AF1370">
        <f>AVERAGE(Table1[[#This Row],[Range2_Low]:[Range2_High]])</f>
        <v>0</v>
      </c>
      <c r="AG1370">
        <f>AVERAGE(Table1[[#This Row],[Range1_Low]:[Range1_High]])</f>
        <v>140.005</v>
      </c>
      <c r="AH1370">
        <v>1</v>
      </c>
    </row>
    <row r="1371" spans="1:34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160</v>
      </c>
      <c r="U1371" t="str" cm="1">
        <f t="array" ref="U1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1" t="str" cm="1">
        <f t="array" ref="V1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  <c r="AF1371">
        <f>AVERAGE(Table1[[#This Row],[Range2_Low]:[Range2_High]])</f>
        <v>0</v>
      </c>
      <c r="AG1371">
        <f>AVERAGE(Table1[[#This Row],[Range1_Low]:[Range1_High]])</f>
        <v>140.005</v>
      </c>
      <c r="AH1371">
        <v>1</v>
      </c>
    </row>
    <row r="1372" spans="1:34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160</v>
      </c>
      <c r="U1372" t="str" cm="1">
        <f t="array" ref="U1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2" t="str" cm="1">
        <f t="array" ref="V1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  <c r="AF1372">
        <f>AVERAGE(Table1[[#This Row],[Range2_Low]:[Range2_High]])</f>
        <v>0</v>
      </c>
      <c r="AG1372">
        <f>AVERAGE(Table1[[#This Row],[Range1_Low]:[Range1_High]])</f>
        <v>140.005</v>
      </c>
      <c r="AH1372">
        <v>1</v>
      </c>
    </row>
    <row r="1373" spans="1:34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160</v>
      </c>
      <c r="U1373" t="str" cm="1">
        <f t="array" ref="U1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V1373" t="str" cm="1">
        <f t="array" ref="V1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  <c r="AF1373">
        <f>AVERAGE(Table1[[#This Row],[Range2_Low]:[Range2_High]])</f>
        <v>0</v>
      </c>
      <c r="AG1373">
        <f>AVERAGE(Table1[[#This Row],[Range1_Low]:[Range1_High]])</f>
        <v>140.005</v>
      </c>
      <c r="AH1373">
        <v>1</v>
      </c>
    </row>
    <row r="1374" spans="1:34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160</v>
      </c>
      <c r="U1374" t="str" cm="1">
        <f t="array" ref="U1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4" t="str" cm="1">
        <f t="array" ref="V1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  <c r="AF1374">
        <f>AVERAGE(Table1[[#This Row],[Range2_Low]:[Range2_High]])</f>
        <v>0</v>
      </c>
      <c r="AG1374">
        <f>AVERAGE(Table1[[#This Row],[Range1_Low]:[Range1_High]])</f>
        <v>315</v>
      </c>
      <c r="AH1374">
        <v>1</v>
      </c>
    </row>
    <row r="1375" spans="1:34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160</v>
      </c>
      <c r="U1375" t="str" cm="1">
        <f t="array" ref="U1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5" t="str" cm="1">
        <f t="array" ref="V1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  <c r="AF1375">
        <f>AVERAGE(Table1[[#This Row],[Range2_Low]:[Range2_High]])</f>
        <v>0</v>
      </c>
      <c r="AG1375">
        <f>AVERAGE(Table1[[#This Row],[Range1_Low]:[Range1_High]])</f>
        <v>315</v>
      </c>
      <c r="AH1375">
        <v>1</v>
      </c>
    </row>
    <row r="1376" spans="1:34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160</v>
      </c>
      <c r="U1376" t="str" cm="1">
        <f t="array" ref="U1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mA</v>
      </c>
      <c r="V1376" t="str" cm="1">
        <f t="array" ref="V1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  <c r="AF1376">
        <f>AVERAGE(Table1[[#This Row],[Range2_Low]:[Range2_High]])</f>
        <v>0</v>
      </c>
      <c r="AG1376">
        <f>AVERAGE(Table1[[#This Row],[Range1_Low]:[Range1_High]])</f>
        <v>315</v>
      </c>
      <c r="AH1376">
        <v>1</v>
      </c>
    </row>
    <row r="1377" spans="1:34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160</v>
      </c>
      <c r="U1377" t="str" cm="1">
        <f t="array" ref="U1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7" t="str" cm="1">
        <f t="array" ref="V1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  <c r="AF1377">
        <f>AVERAGE(Table1[[#This Row],[Range2_Low]:[Range2_High]])</f>
        <v>0</v>
      </c>
      <c r="AG1377">
        <f>AVERAGE(Table1[[#This Row],[Range1_Low]:[Range1_High]])</f>
        <v>315</v>
      </c>
      <c r="AH1377">
        <v>1</v>
      </c>
    </row>
    <row r="1378" spans="1:34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160</v>
      </c>
      <c r="U1378" t="str" cm="1">
        <f t="array" ref="U1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8" t="str" cm="1">
        <f t="array" ref="V1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  <c r="AF1378">
        <f>AVERAGE(Table1[[#This Row],[Range2_Low]:[Range2_High]])</f>
        <v>0</v>
      </c>
      <c r="AG1378">
        <f>AVERAGE(Table1[[#This Row],[Range1_Low]:[Range1_High]])</f>
        <v>315</v>
      </c>
      <c r="AH1378">
        <v>1</v>
      </c>
    </row>
    <row r="1379" spans="1:34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160</v>
      </c>
      <c r="U1379" t="str" cm="1">
        <f t="array" ref="U1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79" t="str" cm="1">
        <f t="array" ref="V1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  <c r="AF1379">
        <f>AVERAGE(Table1[[#This Row],[Range2_Low]:[Range2_High]])</f>
        <v>0</v>
      </c>
      <c r="AG1379">
        <f>AVERAGE(Table1[[#This Row],[Range1_Low]:[Range1_High]])</f>
        <v>410.5</v>
      </c>
      <c r="AH1379">
        <v>1</v>
      </c>
    </row>
    <row r="1380" spans="1:34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160</v>
      </c>
      <c r="U1380" t="str" cm="1">
        <f t="array" ref="U1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80" t="str" cm="1">
        <f t="array" ref="V1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  <c r="AF1380">
        <f>AVERAGE(Table1[[#This Row],[Range2_Low]:[Range2_High]])</f>
        <v>0</v>
      </c>
      <c r="AG1380">
        <f>AVERAGE(Table1[[#This Row],[Range1_Low]:[Range1_High]])</f>
        <v>410.5</v>
      </c>
      <c r="AH1380">
        <v>1</v>
      </c>
    </row>
    <row r="1381" spans="1:34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160</v>
      </c>
      <c r="U1381" t="str" cm="1">
        <f t="array" ref="U1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381" t="str" cm="1">
        <f t="array" ref="V1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  <c r="AF1381">
        <f>AVERAGE(Table1[[#This Row],[Range2_Low]:[Range2_High]])</f>
        <v>0</v>
      </c>
      <c r="AG1381">
        <f>AVERAGE(Table1[[#This Row],[Range1_Low]:[Range1_High]])</f>
        <v>410.5</v>
      </c>
      <c r="AH1381">
        <v>1</v>
      </c>
    </row>
    <row r="1382" spans="1:34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160</v>
      </c>
      <c r="U1382" t="str" cm="1">
        <f t="array" ref="U1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382" t="str" cm="1">
        <f t="array" ref="V1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  <c r="AF1382">
        <f>AVERAGE(Table1[[#This Row],[Range2_Low]:[Range2_High]])</f>
        <v>0</v>
      </c>
      <c r="AG1382">
        <f>AVERAGE(Table1[[#This Row],[Range1_Low]:[Range1_High]])</f>
        <v>410.5</v>
      </c>
      <c r="AH1382">
        <v>1</v>
      </c>
    </row>
    <row r="1383" spans="1:34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160</v>
      </c>
      <c r="U1383" t="str" cm="1">
        <f t="array" ref="U1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83" t="str" cm="1">
        <f t="array" ref="V1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  <c r="AF1383">
        <f>AVERAGE(Table1[[#This Row],[Range2_Low]:[Range2_High]])</f>
        <v>0</v>
      </c>
      <c r="AG1383">
        <f>AVERAGE(Table1[[#This Row],[Range1_Low]:[Range1_High]])</f>
        <v>410.5</v>
      </c>
      <c r="AH1383">
        <v>1</v>
      </c>
    </row>
    <row r="1384" spans="1:34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159</v>
      </c>
      <c r="U1384" t="str" cm="1">
        <f t="array" ref="U1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4" t="str" cm="1">
        <f t="array" ref="V1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  <c r="AF1384">
        <f>AVERAGE(Table1[[#This Row],[Range2_Low]:[Range2_High]])</f>
        <v>0</v>
      </c>
      <c r="AG1384">
        <f>AVERAGE(Table1[[#This Row],[Range1_Low]:[Range1_High]])</f>
        <v>6.0004999999999997</v>
      </c>
      <c r="AH1384">
        <v>1</v>
      </c>
    </row>
    <row r="1385" spans="1:34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159</v>
      </c>
      <c r="U1385" t="str" cm="1">
        <f t="array" ref="U1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5" t="str" cm="1">
        <f t="array" ref="V1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  <c r="AF1385">
        <f>AVERAGE(Table1[[#This Row],[Range2_Low]:[Range2_High]])</f>
        <v>0</v>
      </c>
      <c r="AG1385">
        <f>AVERAGE(Table1[[#This Row],[Range1_Low]:[Range1_High]])</f>
        <v>6.0004999999999997</v>
      </c>
      <c r="AH1385">
        <v>1</v>
      </c>
    </row>
    <row r="1386" spans="1:34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159</v>
      </c>
      <c r="U1386" s="106" t="str" cm="1">
        <f t="array" ref="U1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386" t="str" cm="1">
        <f t="array" ref="V1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  <c r="AF1386">
        <f>AVERAGE(Table1[[#This Row],[Range2_Low]:[Range2_High]])</f>
        <v>0</v>
      </c>
      <c r="AG1386">
        <f>AVERAGE(Table1[[#This Row],[Range1_Low]:[Range1_High]])</f>
        <v>6.0004999999999997</v>
      </c>
      <c r="AH1386">
        <v>1</v>
      </c>
    </row>
    <row r="1387" spans="1:34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159</v>
      </c>
      <c r="U1387" t="str" cm="1">
        <f t="array" ref="U1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387" t="str" cm="1">
        <f t="array" ref="V1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  <c r="AF1387">
        <f>AVERAGE(Table1[[#This Row],[Range2_Low]:[Range2_High]])</f>
        <v>0</v>
      </c>
      <c r="AG1387">
        <f>AVERAGE(Table1[[#This Row],[Range1_Low]:[Range1_High]])</f>
        <v>6.0004999999999997</v>
      </c>
      <c r="AH1387">
        <v>1</v>
      </c>
    </row>
    <row r="1388" spans="1:34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159</v>
      </c>
      <c r="U1388" t="str" cm="1">
        <f t="array" ref="U1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88" t="str" cm="1">
        <f t="array" ref="V1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  <c r="AF1388">
        <f>AVERAGE(Table1[[#This Row],[Range2_Low]:[Range2_High]])</f>
        <v>0</v>
      </c>
      <c r="AG1388">
        <f>AVERAGE(Table1[[#This Row],[Range1_Low]:[Range1_High]])</f>
        <v>6.0004999999999997</v>
      </c>
      <c r="AH1388">
        <v>1</v>
      </c>
    </row>
    <row r="1389" spans="1:34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159</v>
      </c>
      <c r="U1389" t="str" cm="1">
        <f t="array" ref="U1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89" t="str" cm="1">
        <f t="array" ref="V1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  <c r="AF1389">
        <f>AVERAGE(Table1[[#This Row],[Range2_Low]:[Range2_High]])</f>
        <v>0</v>
      </c>
      <c r="AG1389">
        <f>AVERAGE(Table1[[#This Row],[Range1_Low]:[Range1_High]])</f>
        <v>20.500500000000002</v>
      </c>
      <c r="AH1389">
        <v>1</v>
      </c>
    </row>
    <row r="1390" spans="1:34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159</v>
      </c>
      <c r="U1390" t="str" cm="1">
        <f t="array" ref="U1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90" t="str" cm="1">
        <f t="array" ref="V1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  <c r="AF1390">
        <f>AVERAGE(Table1[[#This Row],[Range2_Low]:[Range2_High]])</f>
        <v>0</v>
      </c>
      <c r="AG1390">
        <f>AVERAGE(Table1[[#This Row],[Range1_Low]:[Range1_High]])</f>
        <v>20.500500000000002</v>
      </c>
      <c r="AH1390">
        <v>1</v>
      </c>
    </row>
    <row r="1391" spans="1:34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159</v>
      </c>
      <c r="U1391" t="str" cm="1">
        <f t="array" ref="U1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V1391" t="str" cm="1">
        <f t="array" ref="V1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mA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  <c r="AF1391">
        <f>AVERAGE(Table1[[#This Row],[Range2_Low]:[Range2_High]])</f>
        <v>0</v>
      </c>
      <c r="AG1391">
        <f>AVERAGE(Table1[[#This Row],[Range1_Low]:[Range1_High]])</f>
        <v>20.500500000000002</v>
      </c>
      <c r="AH1391">
        <v>1</v>
      </c>
    </row>
    <row r="1392" spans="1:34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159</v>
      </c>
      <c r="U1392" t="str" cm="1">
        <f t="array" ref="U1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92" t="str" cm="1">
        <f t="array" ref="V1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  <c r="AF1392">
        <f>AVERAGE(Table1[[#This Row],[Range2_Low]:[Range2_High]])</f>
        <v>0</v>
      </c>
      <c r="AG1392">
        <f>AVERAGE(Table1[[#This Row],[Range1_Low]:[Range1_High]])</f>
        <v>20.500500000000002</v>
      </c>
      <c r="AH1392">
        <v>1</v>
      </c>
    </row>
    <row r="1393" spans="1:34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159</v>
      </c>
      <c r="U1393" t="str" cm="1">
        <f t="array" ref="U1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3" t="str" cm="1">
        <f t="array" ref="V1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  <c r="AF1393">
        <f>AVERAGE(Table1[[#This Row],[Range2_Low]:[Range2_High]])</f>
        <v>0</v>
      </c>
      <c r="AG1393">
        <f>AVERAGE(Table1[[#This Row],[Range1_Low]:[Range1_High]])</f>
        <v>20.500500000000002</v>
      </c>
      <c r="AH1393">
        <v>1</v>
      </c>
    </row>
    <row r="1394" spans="1:34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159</v>
      </c>
      <c r="U1394" t="str" cm="1">
        <f t="array" ref="U1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4" t="str" cm="1">
        <f t="array" ref="V1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  <c r="AF1394">
        <f>AVERAGE(Table1[[#This Row],[Range2_Low]:[Range2_High]])</f>
        <v>0</v>
      </c>
      <c r="AG1394">
        <f>AVERAGE(Table1[[#This Row],[Range1_Low]:[Range1_High]])</f>
        <v>20.500500000000002</v>
      </c>
      <c r="AH1394">
        <v>1</v>
      </c>
    </row>
    <row r="1395" spans="1:34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159</v>
      </c>
      <c r="U1395" t="str" cm="1">
        <f t="array" ref="U1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395" t="str" cm="1">
        <f t="array" ref="V1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  <c r="AF1395">
        <f>AVERAGE(Table1[[#This Row],[Range2_Low]:[Range2_High]])</f>
        <v>0</v>
      </c>
      <c r="AG1395">
        <f>AVERAGE(Table1[[#This Row],[Range1_Low]:[Range1_High]])</f>
        <v>70.004999999999995</v>
      </c>
      <c r="AH1395">
        <v>1</v>
      </c>
    </row>
    <row r="1396" spans="1:34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159</v>
      </c>
      <c r="U1396" t="str" cm="1">
        <f t="array" ref="U1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V1396" t="str" cm="1">
        <f t="array" ref="V1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  <c r="AF1396">
        <f>AVERAGE(Table1[[#This Row],[Range2_Low]:[Range2_High]])</f>
        <v>0</v>
      </c>
      <c r="AG1396">
        <f>AVERAGE(Table1[[#This Row],[Range1_Low]:[Range1_High]])</f>
        <v>70.004999999999995</v>
      </c>
      <c r="AH1396">
        <v>1</v>
      </c>
    </row>
    <row r="1397" spans="1:34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159</v>
      </c>
      <c r="U1397" t="str" cm="1">
        <f t="array" ref="U1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1397" t="str" cm="1">
        <f t="array" ref="V1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  <c r="AF1397">
        <f>AVERAGE(Table1[[#This Row],[Range2_Low]:[Range2_High]])</f>
        <v>0</v>
      </c>
      <c r="AG1397">
        <f>AVERAGE(Table1[[#This Row],[Range1_Low]:[Range1_High]])</f>
        <v>70.004999999999995</v>
      </c>
      <c r="AH1397">
        <v>1</v>
      </c>
    </row>
    <row r="1398" spans="1:34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159</v>
      </c>
      <c r="U1398" t="str" cm="1">
        <f t="array" ref="U1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8" t="str" cm="1">
        <f t="array" ref="V1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  <c r="AF1398">
        <f>AVERAGE(Table1[[#This Row],[Range2_Low]:[Range2_High]])</f>
        <v>0</v>
      </c>
      <c r="AG1398">
        <f>AVERAGE(Table1[[#This Row],[Range1_Low]:[Range1_High]])</f>
        <v>70.004999999999995</v>
      </c>
      <c r="AH1398">
        <v>1</v>
      </c>
    </row>
    <row r="1399" spans="1:34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159</v>
      </c>
      <c r="U1399" t="str" cm="1">
        <f t="array" ref="U1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9" t="str" cm="1">
        <f t="array" ref="V1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  <c r="AF1399">
        <f>AVERAGE(Table1[[#This Row],[Range2_Low]:[Range2_High]])</f>
        <v>0</v>
      </c>
      <c r="AG1399">
        <f>AVERAGE(Table1[[#This Row],[Range1_Low]:[Range1_High]])</f>
        <v>70.004999999999995</v>
      </c>
      <c r="AH1399">
        <v>1</v>
      </c>
    </row>
    <row r="1400" spans="1:34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159</v>
      </c>
      <c r="U1400" t="str" cm="1">
        <f t="array" ref="U1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V1400" t="str" cm="1">
        <f t="array" ref="V1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mA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  <c r="AF1400">
        <f>AVERAGE(Table1[[#This Row],[Range2_Low]:[Range2_High]])</f>
        <v>0</v>
      </c>
      <c r="AG1400">
        <f>AVERAGE(Table1[[#This Row],[Range1_Low]:[Range1_High]])</f>
        <v>157.5</v>
      </c>
      <c r="AH1400">
        <v>1</v>
      </c>
    </row>
    <row r="1401" spans="1:34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159</v>
      </c>
      <c r="U1401" t="str" cm="1">
        <f t="array" ref="U1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mA</v>
      </c>
      <c r="V1401" t="str" cm="1">
        <f t="array" ref="V1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  <c r="AF1401">
        <f>AVERAGE(Table1[[#This Row],[Range2_Low]:[Range2_High]])</f>
        <v>0</v>
      </c>
      <c r="AG1401">
        <f>AVERAGE(Table1[[#This Row],[Range1_Low]:[Range1_High]])</f>
        <v>157.5</v>
      </c>
      <c r="AH1401">
        <v>1</v>
      </c>
    </row>
    <row r="1402" spans="1:34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159</v>
      </c>
      <c r="U1402" t="str" cm="1">
        <f t="array" ref="U1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mA</v>
      </c>
      <c r="V1402" t="str" cm="1">
        <f t="array" ref="V1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mA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  <c r="AF1402">
        <f>AVERAGE(Table1[[#This Row],[Range2_Low]:[Range2_High]])</f>
        <v>0</v>
      </c>
      <c r="AG1402">
        <f>AVERAGE(Table1[[#This Row],[Range1_Low]:[Range1_High]])</f>
        <v>157.5</v>
      </c>
      <c r="AH1402">
        <v>1</v>
      </c>
    </row>
    <row r="1403" spans="1:34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159</v>
      </c>
      <c r="U1403" t="str" cm="1">
        <f t="array" ref="U1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3" t="str" cm="1">
        <f t="array" ref="V1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  <c r="AF1403">
        <f>AVERAGE(Table1[[#This Row],[Range2_Low]:[Range2_High]])</f>
        <v>0</v>
      </c>
      <c r="AG1403">
        <f>AVERAGE(Table1[[#This Row],[Range1_Low]:[Range1_High]])</f>
        <v>157.5</v>
      </c>
      <c r="AH1403">
        <v>1</v>
      </c>
    </row>
    <row r="1404" spans="1:34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159</v>
      </c>
      <c r="U1404" t="str" cm="1">
        <f t="array" ref="U1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4" t="str" cm="1">
        <f t="array" ref="V1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  <c r="AF1404">
        <f>AVERAGE(Table1[[#This Row],[Range2_Low]:[Range2_High]])</f>
        <v>0</v>
      </c>
      <c r="AG1404">
        <f>AVERAGE(Table1[[#This Row],[Range1_Low]:[Range1_High]])</f>
        <v>157.5</v>
      </c>
      <c r="AH1404">
        <v>1</v>
      </c>
    </row>
    <row r="1405" spans="1:34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159</v>
      </c>
      <c r="U1405" t="str" cm="1">
        <f t="array" ref="U1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5" t="str" cm="1">
        <f t="array" ref="V1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  <c r="AF1405">
        <f>AVERAGE(Table1[[#This Row],[Range2_Low]:[Range2_High]])</f>
        <v>0</v>
      </c>
      <c r="AG1405">
        <f>AVERAGE(Table1[[#This Row],[Range1_Low]:[Range1_High]])</f>
        <v>205.5</v>
      </c>
      <c r="AH1405">
        <v>1</v>
      </c>
    </row>
    <row r="1406" spans="1:34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159</v>
      </c>
      <c r="U1406" t="str" cm="1">
        <f t="array" ref="U1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6" t="str" cm="1">
        <f t="array" ref="V1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  <c r="AF1406">
        <f>AVERAGE(Table1[[#This Row],[Range2_Low]:[Range2_High]])</f>
        <v>0</v>
      </c>
      <c r="AG1406">
        <f>AVERAGE(Table1[[#This Row],[Range1_Low]:[Range1_High]])</f>
        <v>205.5</v>
      </c>
      <c r="AH1406">
        <v>1</v>
      </c>
    </row>
    <row r="1407" spans="1:34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159</v>
      </c>
      <c r="U1407" t="str" cm="1">
        <f t="array" ref="U1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V1407" t="str" cm="1">
        <f t="array" ref="V1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  <c r="AF1407">
        <f>AVERAGE(Table1[[#This Row],[Range2_Low]:[Range2_High]])</f>
        <v>0</v>
      </c>
      <c r="AG1407">
        <f>AVERAGE(Table1[[#This Row],[Range1_Low]:[Range1_High]])</f>
        <v>205.5</v>
      </c>
      <c r="AH1407">
        <v>1</v>
      </c>
    </row>
    <row r="1408" spans="1:34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159</v>
      </c>
      <c r="U1408" t="str" cm="1">
        <f t="array" ref="U1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8" t="str" cm="1">
        <f t="array" ref="V1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  <c r="AF1408">
        <f>AVERAGE(Table1[[#This Row],[Range2_Low]:[Range2_High]])</f>
        <v>0</v>
      </c>
      <c r="AG1408">
        <f>AVERAGE(Table1[[#This Row],[Range1_Low]:[Range1_High]])</f>
        <v>205.5</v>
      </c>
      <c r="AH1408">
        <v>1</v>
      </c>
    </row>
    <row r="1409" spans="1:34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159</v>
      </c>
      <c r="U1409" t="str" cm="1">
        <f t="array" ref="U1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9" t="str" cm="1">
        <f t="array" ref="V1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  <c r="AF1409">
        <f>AVERAGE(Table1[[#This Row],[Range2_Low]:[Range2_High]])</f>
        <v>0</v>
      </c>
      <c r="AG1409">
        <f>AVERAGE(Table1[[#This Row],[Range1_Low]:[Range1_High]])</f>
        <v>205.5</v>
      </c>
      <c r="AH1409">
        <v>1</v>
      </c>
    </row>
    <row r="1410" spans="1:34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tr" cm="1">
        <f t="array" ref="U1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µA</v>
      </c>
      <c r="V1410" t="str" cm="1">
        <f t="array" ref="V1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µA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  <c r="AF1410">
        <f>AVERAGE(Table1[[#This Row],[Range2_Low]:[Range2_High]])</f>
        <v>0</v>
      </c>
      <c r="AG1410">
        <f>AVERAGE(Table1[[#This Row],[Range1_Low]:[Range1_High]])</f>
        <v>1.65005E-4</v>
      </c>
      <c r="AH1410">
        <v>1</v>
      </c>
    </row>
    <row r="1411" spans="1:34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tr" cm="1">
        <f t="array" ref="U1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0.043 µA</v>
      </c>
      <c r="V1411" t="str" cm="1">
        <f t="array" ref="V1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µA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  <c r="AF1411">
        <f>AVERAGE(Table1[[#This Row],[Range2_Low]:[Range2_High]])</f>
        <v>0</v>
      </c>
      <c r="AG1411">
        <f>AVERAGE(Table1[[#This Row],[Range1_Low]:[Range1_High]])</f>
        <v>1.65005E-4</v>
      </c>
      <c r="AH1411">
        <v>1</v>
      </c>
    </row>
    <row r="1412" spans="1:34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tr" cm="1">
        <f t="array" ref="U1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µA</v>
      </c>
      <c r="V1412" t="str" cm="1">
        <f t="array" ref="V1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µA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  <c r="AF1412">
        <f>AVERAGE(Table1[[#This Row],[Range2_Low]:[Range2_High]])</f>
        <v>0</v>
      </c>
      <c r="AG1412">
        <f>AVERAGE(Table1[[#This Row],[Range1_Low]:[Range1_High]])</f>
        <v>1.65005E-4</v>
      </c>
      <c r="AH1412">
        <v>1</v>
      </c>
    </row>
    <row r="1413" spans="1:34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tr" cm="1">
        <f t="array" ref="U1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1413" t="str" cm="1">
        <f t="array" ref="V1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  <c r="AF1413">
        <f>AVERAGE(Table1[[#This Row],[Range2_Low]:[Range2_High]])</f>
        <v>0</v>
      </c>
      <c r="AG1413">
        <f>AVERAGE(Table1[[#This Row],[Range1_Low]:[Range1_High]])</f>
        <v>1.65005E-4</v>
      </c>
      <c r="AH1413">
        <v>1</v>
      </c>
    </row>
    <row r="1414" spans="1:34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tr" cm="1">
        <f t="array" ref="U1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14" t="str" cm="1">
        <f t="array" ref="V1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  <c r="AF1414">
        <f>AVERAGE(Table1[[#This Row],[Range2_Low]:[Range2_High]])</f>
        <v>0</v>
      </c>
      <c r="AG1414">
        <f>AVERAGE(Table1[[#This Row],[Range1_Low]:[Range1_High]])</f>
        <v>1.65005E-4</v>
      </c>
      <c r="AH1414">
        <v>1</v>
      </c>
    </row>
    <row r="1415" spans="1:34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tr" cm="1">
        <f t="array" ref="U1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15" t="str" cm="1">
        <f t="array" ref="V1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  <c r="AF1415">
        <f>AVERAGE(Table1[[#This Row],[Range2_Low]:[Range2_High]])</f>
        <v>0</v>
      </c>
      <c r="AG1415">
        <f>AVERAGE(Table1[[#This Row],[Range1_Low]:[Range1_High]])</f>
        <v>1.65005E-4</v>
      </c>
      <c r="AH1415">
        <v>1</v>
      </c>
    </row>
    <row r="1416" spans="1:34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tr" cm="1">
        <f t="array" ref="U1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16" t="str" cm="1">
        <f t="array" ref="V1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  <c r="AF1416">
        <f>AVERAGE(Table1[[#This Row],[Range2_Low]:[Range2_High]])</f>
        <v>0</v>
      </c>
      <c r="AG1416">
        <f>AVERAGE(Table1[[#This Row],[Range1_Low]:[Range1_High]])</f>
        <v>1.65005E-4</v>
      </c>
      <c r="AH1416">
        <v>1</v>
      </c>
    </row>
    <row r="1417" spans="1:34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tr" cm="1">
        <f t="array" ref="U1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1417" t="str" cm="1">
        <f t="array" ref="V1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  <c r="AF1417">
        <f>AVERAGE(Table1[[#This Row],[Range2_Low]:[Range2_High]])</f>
        <v>0</v>
      </c>
      <c r="AG1417">
        <f>AVERAGE(Table1[[#This Row],[Range1_Low]:[Range1_High]])</f>
        <v>1.65005E-4</v>
      </c>
      <c r="AH1417">
        <v>1</v>
      </c>
    </row>
    <row r="1418" spans="1:34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tr" cm="1">
        <f t="array" ref="U1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18" t="str" cm="1">
        <f t="array" ref="V1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  <c r="AF1418">
        <f>AVERAGE(Table1[[#This Row],[Range2_Low]:[Range2_High]])</f>
        <v>0</v>
      </c>
      <c r="AG1418">
        <f>AVERAGE(Table1[[#This Row],[Range1_Low]:[Range1_High]])</f>
        <v>1.65005E-4</v>
      </c>
      <c r="AH1418">
        <v>1</v>
      </c>
    </row>
    <row r="1419" spans="1:34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tr" cm="1">
        <f t="array" ref="U1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19" t="str" cm="1">
        <f t="array" ref="V1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µA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  <c r="AF1419">
        <f>AVERAGE(Table1[[#This Row],[Range2_Low]:[Range2_High]])</f>
        <v>0</v>
      </c>
      <c r="AG1419">
        <f>AVERAGE(Table1[[#This Row],[Range1_Low]:[Range1_High]])</f>
        <v>1.8150499999999999E-3</v>
      </c>
      <c r="AH1419">
        <v>1</v>
      </c>
    </row>
    <row r="1420" spans="1:34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tr" cm="1">
        <f t="array" ref="U1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20" t="str" cm="1">
        <f t="array" ref="V1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µA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  <c r="AF1420">
        <f>AVERAGE(Table1[[#This Row],[Range2_Low]:[Range2_High]])</f>
        <v>0</v>
      </c>
      <c r="AG1420">
        <f>AVERAGE(Table1[[#This Row],[Range1_Low]:[Range1_High]])</f>
        <v>1.8150499999999999E-3</v>
      </c>
      <c r="AH1420">
        <v>1</v>
      </c>
    </row>
    <row r="1421" spans="1:34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tr" cm="1">
        <f t="array" ref="U1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µA</v>
      </c>
      <c r="V1421" t="str" cm="1">
        <f t="array" ref="V1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  <c r="AF1421">
        <f>AVERAGE(Table1[[#This Row],[Range2_Low]:[Range2_High]])</f>
        <v>0</v>
      </c>
      <c r="AG1421">
        <f>AVERAGE(Table1[[#This Row],[Range1_Low]:[Range1_High]])</f>
        <v>1.8150499999999999E-3</v>
      </c>
      <c r="AH1421">
        <v>1</v>
      </c>
    </row>
    <row r="1422" spans="1:34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tr" cm="1">
        <f t="array" ref="U1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22" t="str" cm="1">
        <f t="array" ref="V1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  <c r="AF1422">
        <f>AVERAGE(Table1[[#This Row],[Range2_Low]:[Range2_High]])</f>
        <v>0</v>
      </c>
      <c r="AG1422">
        <f>AVERAGE(Table1[[#This Row],[Range1_Low]:[Range1_High]])</f>
        <v>1.8150499999999999E-3</v>
      </c>
      <c r="AH1422">
        <v>1</v>
      </c>
    </row>
    <row r="1423" spans="1:34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tr" cm="1">
        <f t="array" ref="U1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3" t="str" cm="1">
        <f t="array" ref="V1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  <c r="AF1423">
        <f>AVERAGE(Table1[[#This Row],[Range2_Low]:[Range2_High]])</f>
        <v>0</v>
      </c>
      <c r="AG1423">
        <f>AVERAGE(Table1[[#This Row],[Range1_Low]:[Range1_High]])</f>
        <v>1.8150499999999999E-3</v>
      </c>
      <c r="AH1423">
        <v>1</v>
      </c>
    </row>
    <row r="1424" spans="1:34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tr" cm="1">
        <f t="array" ref="U1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1424" t="str" cm="1">
        <f t="array" ref="V1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  <c r="AF1424">
        <f>AVERAGE(Table1[[#This Row],[Range2_Low]:[Range2_High]])</f>
        <v>0</v>
      </c>
      <c r="AG1424">
        <f>AVERAGE(Table1[[#This Row],[Range1_Low]:[Range1_High]])</f>
        <v>1.81505E-2</v>
      </c>
      <c r="AH1424">
        <v>1</v>
      </c>
    </row>
    <row r="1425" spans="1:34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tr" cm="1">
        <f t="array" ref="U1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1425" t="str" cm="1">
        <f t="array" ref="V1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  <c r="AF1425">
        <f>AVERAGE(Table1[[#This Row],[Range2_Low]:[Range2_High]])</f>
        <v>0</v>
      </c>
      <c r="AG1425">
        <f>AVERAGE(Table1[[#This Row],[Range1_Low]:[Range1_High]])</f>
        <v>1.81505E-2</v>
      </c>
      <c r="AH1425">
        <v>1</v>
      </c>
    </row>
    <row r="1426" spans="1:34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tr" cm="1">
        <f t="array" ref="U1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1426" t="str" cm="1">
        <f t="array" ref="V1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  <c r="AF1426">
        <f>AVERAGE(Table1[[#This Row],[Range2_Low]:[Range2_High]])</f>
        <v>0</v>
      </c>
      <c r="AG1426">
        <f>AVERAGE(Table1[[#This Row],[Range1_Low]:[Range1_High]])</f>
        <v>1.81505E-2</v>
      </c>
      <c r="AH1426">
        <v>1</v>
      </c>
    </row>
    <row r="1427" spans="1:34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tr" cm="1">
        <f t="array" ref="U1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7" t="str" cm="1">
        <f t="array" ref="V1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  <c r="AF1427">
        <f>AVERAGE(Table1[[#This Row],[Range2_Low]:[Range2_High]])</f>
        <v>0</v>
      </c>
      <c r="AG1427">
        <f>AVERAGE(Table1[[#This Row],[Range1_Low]:[Range1_High]])</f>
        <v>1.81505E-2</v>
      </c>
      <c r="AH1427">
        <v>1</v>
      </c>
    </row>
    <row r="1428" spans="1:34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tr" cm="1">
        <f t="array" ref="U1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28" t="str" cm="1">
        <f t="array" ref="V1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  <c r="AF1428">
        <f>AVERAGE(Table1[[#This Row],[Range2_Low]:[Range2_High]])</f>
        <v>0</v>
      </c>
      <c r="AG1428">
        <f>AVERAGE(Table1[[#This Row],[Range1_Low]:[Range1_High]])</f>
        <v>1.81505E-2</v>
      </c>
      <c r="AH1428">
        <v>1</v>
      </c>
    </row>
    <row r="1429" spans="1:34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tr" cm="1">
        <f t="array" ref="U1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V1429" t="str" cm="1">
        <f t="array" ref="V1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  <c r="AF1429">
        <f>AVERAGE(Table1[[#This Row],[Range2_Low]:[Range2_High]])</f>
        <v>0</v>
      </c>
      <c r="AG1429">
        <f>AVERAGE(Table1[[#This Row],[Range1_Low]:[Range1_High]])</f>
        <v>0.18150500000000003</v>
      </c>
      <c r="AH1429">
        <v>1</v>
      </c>
    </row>
    <row r="1430" spans="1:34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tr" cm="1">
        <f t="array" ref="U1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µA</v>
      </c>
      <c r="V1430" t="str" cm="1">
        <f t="array" ref="V1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  <c r="AF1430">
        <f>AVERAGE(Table1[[#This Row],[Range2_Low]:[Range2_High]])</f>
        <v>0</v>
      </c>
      <c r="AG1430">
        <f>AVERAGE(Table1[[#This Row],[Range1_Low]:[Range1_High]])</f>
        <v>0.18150500000000003</v>
      </c>
      <c r="AH1430">
        <v>1</v>
      </c>
    </row>
    <row r="1431" spans="1:34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tr" cm="1">
        <f t="array" ref="U1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µA</v>
      </c>
      <c r="V1431" t="str" cm="1">
        <f t="array" ref="V1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µA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  <c r="AF1431">
        <f>AVERAGE(Table1[[#This Row],[Range2_Low]:[Range2_High]])</f>
        <v>0</v>
      </c>
      <c r="AG1431">
        <f>AVERAGE(Table1[[#This Row],[Range1_Low]:[Range1_High]])</f>
        <v>0.18150500000000003</v>
      </c>
      <c r="AH1431">
        <v>1</v>
      </c>
    </row>
    <row r="1432" spans="1:34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tr" cm="1">
        <f t="array" ref="U1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32" t="str" cm="1">
        <f t="array" ref="V1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  <c r="AF1432">
        <f>AVERAGE(Table1[[#This Row],[Range2_Low]:[Range2_High]])</f>
        <v>0</v>
      </c>
      <c r="AG1432">
        <f>AVERAGE(Table1[[#This Row],[Range1_Low]:[Range1_High]])</f>
        <v>0.18150500000000003</v>
      </c>
      <c r="AH1432">
        <v>1</v>
      </c>
    </row>
    <row r="1433" spans="1:34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tr" cm="1">
        <f t="array" ref="U1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1433" t="str" cm="1">
        <f t="array" ref="V1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  <c r="AF1433">
        <f>AVERAGE(Table1[[#This Row],[Range2_Low]:[Range2_High]])</f>
        <v>0</v>
      </c>
      <c r="AG1433">
        <f>AVERAGE(Table1[[#This Row],[Range1_Low]:[Range1_High]])</f>
        <v>0.18150500000000003</v>
      </c>
      <c r="AH1433">
        <v>1</v>
      </c>
    </row>
    <row r="1434" spans="1:34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tr" cm="1">
        <f t="array" ref="U1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4" t="str" cm="1">
        <f t="array" ref="V1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  <c r="AF1434">
        <f>AVERAGE(Table1[[#This Row],[Range2_Low]:[Range2_High]])</f>
        <v>0</v>
      </c>
      <c r="AG1434">
        <f>AVERAGE(Table1[[#This Row],[Range1_Low]:[Range1_High]])</f>
        <v>1.6650500000000001</v>
      </c>
      <c r="AH1434">
        <v>1</v>
      </c>
    </row>
    <row r="1435" spans="1:34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tr" cm="1">
        <f t="array" ref="U1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5" t="str" cm="1">
        <f t="array" ref="V1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  <c r="AF1435">
        <f>AVERAGE(Table1[[#This Row],[Range2_Low]:[Range2_High]])</f>
        <v>0</v>
      </c>
      <c r="AG1435">
        <f>AVERAGE(Table1[[#This Row],[Range1_Low]:[Range1_High]])</f>
        <v>1.6650500000000001</v>
      </c>
      <c r="AH1435">
        <v>1</v>
      </c>
    </row>
    <row r="1436" spans="1:34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tr" cm="1">
        <f t="array" ref="U1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V1436" t="str" cm="1">
        <f t="array" ref="V1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  <c r="AF1436">
        <f>AVERAGE(Table1[[#This Row],[Range2_Low]:[Range2_High]])</f>
        <v>0</v>
      </c>
      <c r="AG1436">
        <f>AVERAGE(Table1[[#This Row],[Range1_Low]:[Range1_High]])</f>
        <v>1.6650500000000001</v>
      </c>
      <c r="AH1436">
        <v>1</v>
      </c>
    </row>
    <row r="1437" spans="1:34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tr" cm="1">
        <f t="array" ref="U1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437" t="str" cm="1">
        <f t="array" ref="V1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  <c r="AF1437">
        <f>AVERAGE(Table1[[#This Row],[Range2_Low]:[Range2_High]])</f>
        <v>0</v>
      </c>
      <c r="AG1437">
        <f>AVERAGE(Table1[[#This Row],[Range1_Low]:[Range1_High]])</f>
        <v>1.6650500000000001</v>
      </c>
      <c r="AH1437">
        <v>1</v>
      </c>
    </row>
    <row r="1438" spans="1:34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tr" cm="1">
        <f t="array" ref="U1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38" t="str" cm="1">
        <f t="array" ref="V1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  <c r="AF1438">
        <f>AVERAGE(Table1[[#This Row],[Range2_Low]:[Range2_High]])</f>
        <v>0</v>
      </c>
      <c r="AG1438">
        <f>AVERAGE(Table1[[#This Row],[Range1_Low]:[Range1_High]])</f>
        <v>1.6650500000000001</v>
      </c>
      <c r="AH1438">
        <v>1</v>
      </c>
    </row>
    <row r="1439" spans="1:34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tr" cm="1">
        <f t="array" ref="U1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39" t="str" cm="1">
        <f t="array" ref="V1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  <c r="AF1439">
        <f>AVERAGE(Table1[[#This Row],[Range2_Low]:[Range2_High]])</f>
        <v>0</v>
      </c>
      <c r="AG1439">
        <f>AVERAGE(Table1[[#This Row],[Range1_Low]:[Range1_High]])</f>
        <v>7.0004999999999997</v>
      </c>
      <c r="AH1439">
        <v>1</v>
      </c>
    </row>
    <row r="1440" spans="1:34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tr" cm="1">
        <f t="array" ref="U1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40" t="str" cm="1">
        <f t="array" ref="V1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  <c r="AF1440">
        <f>AVERAGE(Table1[[#This Row],[Range2_Low]:[Range2_High]])</f>
        <v>0</v>
      </c>
      <c r="AG1440">
        <f>AVERAGE(Table1[[#This Row],[Range1_Low]:[Range1_High]])</f>
        <v>7.0004999999999997</v>
      </c>
      <c r="AH1440">
        <v>1</v>
      </c>
    </row>
    <row r="1441" spans="1:34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tr" cm="1">
        <f t="array" ref="U1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mA</v>
      </c>
      <c r="V1441" t="str" cm="1">
        <f t="array" ref="V1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  <c r="AF1441">
        <f>AVERAGE(Table1[[#This Row],[Range2_Low]:[Range2_High]])</f>
        <v>0</v>
      </c>
      <c r="AG1441">
        <f>AVERAGE(Table1[[#This Row],[Range1_Low]:[Range1_High]])</f>
        <v>7.0004999999999997</v>
      </c>
      <c r="AH1441">
        <v>1</v>
      </c>
    </row>
    <row r="1442" spans="1:34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tr" cm="1">
        <f t="array" ref="U1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42" t="str" cm="1">
        <f t="array" ref="V1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  <c r="AF1442">
        <f>AVERAGE(Table1[[#This Row],[Range2_Low]:[Range2_High]])</f>
        <v>0</v>
      </c>
      <c r="AG1442">
        <f>AVERAGE(Table1[[#This Row],[Range1_Low]:[Range1_High]])</f>
        <v>7.0004999999999997</v>
      </c>
      <c r="AH1442">
        <v>1</v>
      </c>
    </row>
    <row r="1443" spans="1:34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tr" cm="1">
        <f t="array" ref="U1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3" t="str" cm="1">
        <f t="array" ref="V1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  <c r="AF1443">
        <f>AVERAGE(Table1[[#This Row],[Range2_Low]:[Range2_High]])</f>
        <v>0</v>
      </c>
      <c r="AG1443">
        <f>AVERAGE(Table1[[#This Row],[Range1_Low]:[Range1_High]])</f>
        <v>15.75</v>
      </c>
      <c r="AH1443">
        <v>1</v>
      </c>
    </row>
    <row r="1444" spans="1:34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tr" cm="1">
        <f t="array" ref="U1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4" t="str" cm="1">
        <f t="array" ref="V1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  <c r="AF1444">
        <f>AVERAGE(Table1[[#This Row],[Range2_Low]:[Range2_High]])</f>
        <v>0</v>
      </c>
      <c r="AG1444">
        <f>AVERAGE(Table1[[#This Row],[Range1_Low]:[Range1_High]])</f>
        <v>15.75</v>
      </c>
      <c r="AH1444">
        <v>1</v>
      </c>
    </row>
    <row r="1445" spans="1:34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tr" cm="1">
        <f t="array" ref="U1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V1445" t="str" cm="1">
        <f t="array" ref="V1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  <c r="AF1445">
        <f>AVERAGE(Table1[[#This Row],[Range2_Low]:[Range2_High]])</f>
        <v>0</v>
      </c>
      <c r="AG1445">
        <f>AVERAGE(Table1[[#This Row],[Range1_Low]:[Range1_High]])</f>
        <v>15.75</v>
      </c>
      <c r="AH1445">
        <v>1</v>
      </c>
    </row>
    <row r="1446" spans="1:34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tr" cm="1">
        <f t="array" ref="U1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1446" t="str" cm="1">
        <f t="array" ref="V1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  <c r="AF1446">
        <f>AVERAGE(Table1[[#This Row],[Range2_Low]:[Range2_High]])</f>
        <v>0</v>
      </c>
      <c r="AG1446">
        <f>AVERAGE(Table1[[#This Row],[Range1_Low]:[Range1_High]])</f>
        <v>15.75</v>
      </c>
      <c r="AH1446">
        <v>1</v>
      </c>
    </row>
    <row r="1447" spans="1:34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tr" cm="1">
        <f t="array" ref="U1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7" t="str" cm="1">
        <f t="array" ref="V1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  <c r="AF1447">
        <f>AVERAGE(Table1[[#This Row],[Range2_Low]:[Range2_High]])</f>
        <v>0</v>
      </c>
      <c r="AG1447">
        <f>AVERAGE(Table1[[#This Row],[Range1_Low]:[Range1_High]])</f>
        <v>20.55</v>
      </c>
      <c r="AH1447">
        <v>1</v>
      </c>
    </row>
    <row r="1448" spans="1:34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tr" cm="1">
        <f t="array" ref="U1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8" t="str" cm="1">
        <f t="array" ref="V1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  <c r="AF1448">
        <f>AVERAGE(Table1[[#This Row],[Range2_Low]:[Range2_High]])</f>
        <v>0</v>
      </c>
      <c r="AG1448">
        <f>AVERAGE(Table1[[#This Row],[Range1_Low]:[Range1_High]])</f>
        <v>20.55</v>
      </c>
      <c r="AH1448">
        <v>1</v>
      </c>
    </row>
    <row r="1449" spans="1:34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tr" cm="1">
        <f t="array" ref="U1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1449" t="str" cm="1">
        <f t="array" ref="V1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  <c r="AF1449">
        <f>AVERAGE(Table1[[#This Row],[Range2_Low]:[Range2_High]])</f>
        <v>0</v>
      </c>
      <c r="AG1449">
        <f>AVERAGE(Table1[[#This Row],[Range1_Low]:[Range1_High]])</f>
        <v>20.55</v>
      </c>
      <c r="AH1449">
        <v>1</v>
      </c>
    </row>
    <row r="1450" spans="1:34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tr" cm="1">
        <f t="array" ref="U1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1450" t="str" cm="1">
        <f t="array" ref="V1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  <c r="AF1450">
        <f>AVERAGE(Table1[[#This Row],[Range2_Low]:[Range2_High]])</f>
        <v>0</v>
      </c>
      <c r="AG1450">
        <f>AVERAGE(Table1[[#This Row],[Range1_Low]:[Range1_High]])</f>
        <v>20.55</v>
      </c>
      <c r="AH1450">
        <v>1</v>
      </c>
    </row>
    <row r="1451" spans="1:34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167</v>
      </c>
      <c r="U1451" t="str" cm="1">
        <f t="array" ref="U1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51" t="str" cm="1">
        <f t="array" ref="V1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  <c r="AF1451">
        <f>AVERAGE(Table1[[#This Row],[Range2_Low]:[Range2_High]])</f>
        <v>0</v>
      </c>
      <c r="AG1451">
        <f>AVERAGE(Table1[[#This Row],[Range1_Low]:[Range1_High]])</f>
        <v>-199.95</v>
      </c>
      <c r="AH1451">
        <v>1</v>
      </c>
    </row>
    <row r="1452" spans="1:34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167</v>
      </c>
      <c r="U1452" t="str" cm="1">
        <f t="array" ref="U1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52" t="str" cm="1">
        <f t="array" ref="V1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  <c r="AF1452">
        <f>AVERAGE(Table1[[#This Row],[Range2_Low]:[Range2_High]])</f>
        <v>0</v>
      </c>
      <c r="AG1452">
        <f>AVERAGE(Table1[[#This Row],[Range1_Low]:[Range1_High]])</f>
        <v>-199.95</v>
      </c>
      <c r="AH1452">
        <v>1</v>
      </c>
    </row>
    <row r="1453" spans="1:34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167</v>
      </c>
      <c r="U1453" t="str" cm="1">
        <f t="array" ref="U1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V1453" t="str" cm="1">
        <f t="array" ref="V1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  <c r="AF1453">
        <f>AVERAGE(Table1[[#This Row],[Range2_Low]:[Range2_High]])</f>
        <v>0</v>
      </c>
      <c r="AG1453">
        <f>AVERAGE(Table1[[#This Row],[Range1_Low]:[Range1_High]])</f>
        <v>-74.95</v>
      </c>
      <c r="AH1453">
        <v>1</v>
      </c>
    </row>
    <row r="1454" spans="1:34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167</v>
      </c>
      <c r="U1454" t="str" cm="1">
        <f t="array" ref="U1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454" t="str" cm="1">
        <f t="array" ref="V1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  <c r="AF1454">
        <f>AVERAGE(Table1[[#This Row],[Range2_Low]:[Range2_High]])</f>
        <v>0</v>
      </c>
      <c r="AG1454">
        <f>AVERAGE(Table1[[#This Row],[Range1_Low]:[Range1_High]])</f>
        <v>-74.95</v>
      </c>
      <c r="AH1454">
        <v>1</v>
      </c>
    </row>
    <row r="1455" spans="1:34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167</v>
      </c>
      <c r="U1455" t="str" cm="1">
        <f t="array" ref="U1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455" t="str" cm="1">
        <f t="array" ref="V1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  <c r="AF1455">
        <f>AVERAGE(Table1[[#This Row],[Range2_Low]:[Range2_High]])</f>
        <v>0</v>
      </c>
      <c r="AG1455">
        <f>AVERAGE(Table1[[#This Row],[Range1_Low]:[Range1_High]])</f>
        <v>60.05</v>
      </c>
      <c r="AH1455">
        <v>1</v>
      </c>
    </row>
    <row r="1456" spans="1:34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167</v>
      </c>
      <c r="U1456" t="str" cm="1">
        <f t="array" ref="U1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6" t="str" cm="1">
        <f t="array" ref="V1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  <c r="AF1456">
        <f>AVERAGE(Table1[[#This Row],[Range2_Low]:[Range2_High]])</f>
        <v>0</v>
      </c>
      <c r="AG1456">
        <f>AVERAGE(Table1[[#This Row],[Range1_Low]:[Range1_High]])</f>
        <v>60.05</v>
      </c>
      <c r="AH1456">
        <v>1</v>
      </c>
    </row>
    <row r="1457" spans="1:34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167</v>
      </c>
      <c r="U1457" t="str" cm="1">
        <f t="array" ref="U1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7" t="str" cm="1">
        <f t="array" ref="V1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  <c r="AF1457">
        <f>AVERAGE(Table1[[#This Row],[Range2_Low]:[Range2_High]])</f>
        <v>0</v>
      </c>
      <c r="AG1457">
        <f>AVERAGE(Table1[[#This Row],[Range1_Low]:[Range1_High]])</f>
        <v>260</v>
      </c>
      <c r="AH1457">
        <v>1</v>
      </c>
    </row>
    <row r="1458" spans="1:34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167</v>
      </c>
      <c r="U1458" t="str" cm="1">
        <f t="array" ref="U1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8" t="str" cm="1">
        <f t="array" ref="V1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  <c r="AF1458">
        <f>AVERAGE(Table1[[#This Row],[Range2_Low]:[Range2_High]])</f>
        <v>0</v>
      </c>
      <c r="AG1458">
        <f>AVERAGE(Table1[[#This Row],[Range1_Low]:[Range1_High]])</f>
        <v>260</v>
      </c>
      <c r="AH1458">
        <v>1</v>
      </c>
    </row>
    <row r="1459" spans="1:34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167</v>
      </c>
      <c r="U1459" t="str" cm="1">
        <f t="array" ref="U1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9" t="str" cm="1">
        <f t="array" ref="V1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  <c r="AF1459">
        <f>AVERAGE(Table1[[#This Row],[Range2_Low]:[Range2_High]])</f>
        <v>0</v>
      </c>
      <c r="AG1459">
        <f>AVERAGE(Table1[[#This Row],[Range1_Low]:[Range1_High]])</f>
        <v>400.05</v>
      </c>
      <c r="AH1459">
        <v>1</v>
      </c>
    </row>
    <row r="1460" spans="1:34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167</v>
      </c>
      <c r="U1460" t="str" cm="1">
        <f t="array" ref="U1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60" t="str" cm="1">
        <f t="array" ref="V1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  <c r="AF1460">
        <f>AVERAGE(Table1[[#This Row],[Range2_Low]:[Range2_High]])</f>
        <v>0</v>
      </c>
      <c r="AG1460">
        <f>AVERAGE(Table1[[#This Row],[Range1_Low]:[Range1_High]])</f>
        <v>400.05</v>
      </c>
      <c r="AH1460">
        <v>1</v>
      </c>
    </row>
    <row r="1461" spans="1:34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166</v>
      </c>
      <c r="U1461" t="str" cm="1">
        <f t="array" ref="U1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61" t="str" cm="1">
        <f t="array" ref="V1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  <c r="AF1461">
        <f>AVERAGE(Table1[[#This Row],[Range2_Low]:[Range2_High]])</f>
        <v>0</v>
      </c>
      <c r="AG1461">
        <f>AVERAGE(Table1[[#This Row],[Range1_Low]:[Range1_High]])</f>
        <v>125.05</v>
      </c>
      <c r="AH1461">
        <v>1</v>
      </c>
    </row>
    <row r="1462" spans="1:34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166</v>
      </c>
      <c r="U1462" t="str" cm="1">
        <f t="array" ref="U1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62" t="str" cm="1">
        <f t="array" ref="V1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  <c r="AF1462">
        <f>AVERAGE(Table1[[#This Row],[Range2_Low]:[Range2_High]])</f>
        <v>0</v>
      </c>
      <c r="AG1462">
        <f>AVERAGE(Table1[[#This Row],[Range1_Low]:[Range1_High]])</f>
        <v>125.05</v>
      </c>
      <c r="AH1462">
        <v>1</v>
      </c>
    </row>
    <row r="1463" spans="1:34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166</v>
      </c>
      <c r="U1463" t="str" cm="1">
        <f t="array" ref="U1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463" t="str" cm="1">
        <f t="array" ref="V1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  <c r="AF1463">
        <f>AVERAGE(Table1[[#This Row],[Range2_Low]:[Range2_High]])</f>
        <v>0</v>
      </c>
      <c r="AG1463">
        <f>AVERAGE(Table1[[#This Row],[Range1_Low]:[Range1_High]])</f>
        <v>625.04999999999995</v>
      </c>
      <c r="AH1463">
        <v>1</v>
      </c>
    </row>
    <row r="1464" spans="1:34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166</v>
      </c>
      <c r="U1464" t="str" cm="1">
        <f t="array" ref="U1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4" t="str" cm="1">
        <f t="array" ref="V1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  <c r="AF1464">
        <f>AVERAGE(Table1[[#This Row],[Range2_Low]:[Range2_High]])</f>
        <v>0</v>
      </c>
      <c r="AG1464">
        <f>AVERAGE(Table1[[#This Row],[Range1_Low]:[Range1_High]])</f>
        <v>625.04999999999995</v>
      </c>
      <c r="AH1464">
        <v>1</v>
      </c>
    </row>
    <row r="1465" spans="1:34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166</v>
      </c>
      <c r="U1465" t="str" cm="1">
        <f t="array" ref="U1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V1465" t="str" cm="1">
        <f t="array" ref="V1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  <c r="AF1465">
        <f>AVERAGE(Table1[[#This Row],[Range2_Low]:[Range2_High]])</f>
        <v>0</v>
      </c>
      <c r="AG1465">
        <f>AVERAGE(Table1[[#This Row],[Range1_Low]:[Range1_High]])</f>
        <v>1200.05</v>
      </c>
      <c r="AH1465">
        <v>1</v>
      </c>
    </row>
    <row r="1466" spans="1:34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166</v>
      </c>
      <c r="U1466" t="str" cm="1">
        <f t="array" ref="U1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6" t="str" cm="1">
        <f t="array" ref="V1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  <c r="AF1466">
        <f>AVERAGE(Table1[[#This Row],[Range2_Low]:[Range2_High]])</f>
        <v>0</v>
      </c>
      <c r="AG1466">
        <f>AVERAGE(Table1[[#This Row],[Range1_Low]:[Range1_High]])</f>
        <v>1200.05</v>
      </c>
      <c r="AH1466">
        <v>1</v>
      </c>
    </row>
    <row r="1467" spans="1:34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166</v>
      </c>
      <c r="U1467" t="str" cm="1">
        <f t="array" ref="U1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7" t="str" cm="1">
        <f t="array" ref="V1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  <c r="AF1467">
        <f>AVERAGE(Table1[[#This Row],[Range2_Low]:[Range2_High]])</f>
        <v>0</v>
      </c>
      <c r="AG1467">
        <f>AVERAGE(Table1[[#This Row],[Range1_Low]:[Range1_High]])</f>
        <v>1583.5</v>
      </c>
      <c r="AH1467">
        <v>1</v>
      </c>
    </row>
    <row r="1468" spans="1:34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166</v>
      </c>
      <c r="U1468" t="str" cm="1">
        <f t="array" ref="U1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68" t="str" cm="1">
        <f t="array" ref="V1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  <c r="AF1468">
        <f>AVERAGE(Table1[[#This Row],[Range2_Low]:[Range2_High]])</f>
        <v>0</v>
      </c>
      <c r="AG1468">
        <f>AVERAGE(Table1[[#This Row],[Range1_Low]:[Range1_High]])</f>
        <v>1583.5</v>
      </c>
      <c r="AH1468">
        <v>1</v>
      </c>
    </row>
    <row r="1469" spans="1:34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166</v>
      </c>
      <c r="U1469" t="str" cm="1">
        <f t="array" ref="U1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9" t="str" cm="1">
        <f t="array" ref="V1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  <c r="AF1469">
        <f>AVERAGE(Table1[[#This Row],[Range2_Low]:[Range2_High]])</f>
        <v>0</v>
      </c>
      <c r="AG1469">
        <f>AVERAGE(Table1[[#This Row],[Range1_Low]:[Range1_High]])</f>
        <v>1767.05</v>
      </c>
      <c r="AH1469">
        <v>1</v>
      </c>
    </row>
    <row r="1470" spans="1:34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166</v>
      </c>
      <c r="U1470" t="str" cm="1">
        <f t="array" ref="U1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0" t="str" cm="1">
        <f t="array" ref="V1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  <c r="AF1470">
        <f>AVERAGE(Table1[[#This Row],[Range2_Low]:[Range2_High]])</f>
        <v>0</v>
      </c>
      <c r="AG1470">
        <f>AVERAGE(Table1[[#This Row],[Range1_Low]:[Range1_High]])</f>
        <v>1767.05</v>
      </c>
      <c r="AH1470">
        <v>1</v>
      </c>
    </row>
    <row r="1471" spans="1:34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165</v>
      </c>
      <c r="U1471" t="str" cm="1">
        <f t="array" ref="U1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471" t="str" cm="1">
        <f t="array" ref="V1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  <c r="AF1471">
        <f>AVERAGE(Table1[[#This Row],[Range2_Low]:[Range2_High]])</f>
        <v>0</v>
      </c>
      <c r="AG1471">
        <f>AVERAGE(Table1[[#This Row],[Range1_Low]:[Range1_High]])</f>
        <v>125.05</v>
      </c>
      <c r="AH1471">
        <v>1</v>
      </c>
    </row>
    <row r="1472" spans="1:34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165</v>
      </c>
      <c r="U1472" t="str" cm="1">
        <f t="array" ref="U1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V1472" t="str" cm="1">
        <f t="array" ref="V1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  <c r="AF1472">
        <f>AVERAGE(Table1[[#This Row],[Range2_Low]:[Range2_High]])</f>
        <v>0</v>
      </c>
      <c r="AG1472">
        <f>AVERAGE(Table1[[#This Row],[Range1_Low]:[Range1_High]])</f>
        <v>125.05</v>
      </c>
      <c r="AH1472">
        <v>1</v>
      </c>
    </row>
    <row r="1473" spans="1:34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165</v>
      </c>
      <c r="U1473" t="str" cm="1">
        <f t="array" ref="U1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V1473" t="str" cm="1">
        <f t="array" ref="V1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  <c r="AF1473">
        <f>AVERAGE(Table1[[#This Row],[Range2_Low]:[Range2_High]])</f>
        <v>0</v>
      </c>
      <c r="AG1473">
        <f>AVERAGE(Table1[[#This Row],[Range1_Low]:[Range1_High]])</f>
        <v>325.05</v>
      </c>
      <c r="AH1473">
        <v>1</v>
      </c>
    </row>
    <row r="1474" spans="1:34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165</v>
      </c>
      <c r="U1474" t="str" cm="1">
        <f t="array" ref="U1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V1474" t="str" cm="1">
        <f t="array" ref="V1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  <c r="AF1474">
        <f>AVERAGE(Table1[[#This Row],[Range2_Low]:[Range2_High]])</f>
        <v>0</v>
      </c>
      <c r="AG1474">
        <f>AVERAGE(Table1[[#This Row],[Range1_Low]:[Range1_High]])</f>
        <v>325.05</v>
      </c>
      <c r="AH1474">
        <v>1</v>
      </c>
    </row>
    <row r="1475" spans="1:34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165</v>
      </c>
      <c r="U1475" t="str" cm="1">
        <f t="array" ref="U1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475" t="str" cm="1">
        <f t="array" ref="V1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  <c r="AF1475">
        <f>AVERAGE(Table1[[#This Row],[Range2_Low]:[Range2_High]])</f>
        <v>0</v>
      </c>
      <c r="AG1475">
        <f>AVERAGE(Table1[[#This Row],[Range1_Low]:[Range1_High]])</f>
        <v>700.05</v>
      </c>
      <c r="AH1475">
        <v>1</v>
      </c>
    </row>
    <row r="1476" spans="1:34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165</v>
      </c>
      <c r="U1476" t="str" cm="1">
        <f t="array" ref="U1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476" t="str" cm="1">
        <f t="array" ref="V1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  <c r="AF1476">
        <f>AVERAGE(Table1[[#This Row],[Range2_Low]:[Range2_High]])</f>
        <v>0</v>
      </c>
      <c r="AG1476">
        <f>AVERAGE(Table1[[#This Row],[Range1_Low]:[Range1_High]])</f>
        <v>700.05</v>
      </c>
      <c r="AH1476">
        <v>1</v>
      </c>
    </row>
    <row r="1477" spans="1:34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165</v>
      </c>
      <c r="U1477" t="str" cm="1">
        <f t="array" ref="U1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7" t="str" cm="1">
        <f t="array" ref="V1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  <c r="AF1477">
        <f>AVERAGE(Table1[[#This Row],[Range2_Low]:[Range2_High]])</f>
        <v>0</v>
      </c>
      <c r="AG1477">
        <f>AVERAGE(Table1[[#This Row],[Range1_Low]:[Range1_High]])</f>
        <v>1383.5</v>
      </c>
      <c r="AH1477">
        <v>1</v>
      </c>
    </row>
    <row r="1478" spans="1:34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165</v>
      </c>
      <c r="U1478" t="str" cm="1">
        <f t="array" ref="U1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8" t="str" cm="1">
        <f t="array" ref="V1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  <c r="AF1478">
        <f>AVERAGE(Table1[[#This Row],[Range2_Low]:[Range2_High]])</f>
        <v>0</v>
      </c>
      <c r="AG1478">
        <f>AVERAGE(Table1[[#This Row],[Range1_Low]:[Range1_High]])</f>
        <v>1383.5</v>
      </c>
      <c r="AH1478">
        <v>1</v>
      </c>
    </row>
    <row r="1479" spans="1:34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165</v>
      </c>
      <c r="U1479" t="str" cm="1">
        <f t="array" ref="U1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9" t="str" cm="1">
        <f t="array" ref="V1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  <c r="AF1479">
        <f>AVERAGE(Table1[[#This Row],[Range2_Low]:[Range2_High]])</f>
        <v>0</v>
      </c>
      <c r="AG1479">
        <f>AVERAGE(Table1[[#This Row],[Range1_Low]:[Range1_High]])</f>
        <v>1767.05</v>
      </c>
      <c r="AH1479">
        <v>1</v>
      </c>
    </row>
    <row r="1480" spans="1:34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165</v>
      </c>
      <c r="U1480" t="str" cm="1">
        <f t="array" ref="U1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80" t="str" cm="1">
        <f t="array" ref="V1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  <c r="AF1480">
        <f>AVERAGE(Table1[[#This Row],[Range2_Low]:[Range2_High]])</f>
        <v>0</v>
      </c>
      <c r="AG1480">
        <f>AVERAGE(Table1[[#This Row],[Range1_Low]:[Range1_High]])</f>
        <v>1767.05</v>
      </c>
      <c r="AH1480">
        <v>1</v>
      </c>
    </row>
    <row r="1481" spans="1:34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169</v>
      </c>
      <c r="U1481" t="str" cm="1">
        <f t="array" ref="U1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1481" t="str" cm="1">
        <f t="array" ref="V1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  <c r="AF1481">
        <f>AVERAGE(Table1[[#This Row],[Range2_Low]:[Range2_High]])</f>
        <v>0</v>
      </c>
      <c r="AG1481">
        <f>AVERAGE(Table1[[#This Row],[Range1_Low]:[Range1_High]])</f>
        <v>-99.95</v>
      </c>
      <c r="AH1481">
        <v>1</v>
      </c>
    </row>
    <row r="1482" spans="1:34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169</v>
      </c>
      <c r="U1482" t="str" cm="1">
        <f t="array" ref="U1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2" t="str" cm="1">
        <f t="array" ref="V1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  <c r="AF1482">
        <f>AVERAGE(Table1[[#This Row],[Range2_Low]:[Range2_High]])</f>
        <v>0</v>
      </c>
      <c r="AG1482">
        <f>AVERAGE(Table1[[#This Row],[Range1_Low]:[Range1_High]])</f>
        <v>-99.95</v>
      </c>
      <c r="AH1482">
        <v>1</v>
      </c>
    </row>
    <row r="1483" spans="1:34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169</v>
      </c>
      <c r="U1483" t="str" cm="1">
        <f t="array" ref="U1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3" t="str" cm="1">
        <f t="array" ref="V1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  <c r="AF1483">
        <f>AVERAGE(Table1[[#This Row],[Range2_Low]:[Range2_High]])</f>
        <v>0</v>
      </c>
      <c r="AG1483">
        <f>AVERAGE(Table1[[#This Row],[Range1_Low]:[Range1_High]])</f>
        <v>50.05</v>
      </c>
      <c r="AH1483">
        <v>1</v>
      </c>
    </row>
    <row r="1484" spans="1:34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169</v>
      </c>
      <c r="U1484" t="str" cm="1">
        <f t="array" ref="U1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4" t="str" cm="1">
        <f t="array" ref="V1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  <c r="AF1484">
        <f>AVERAGE(Table1[[#This Row],[Range2_Low]:[Range2_High]])</f>
        <v>0</v>
      </c>
      <c r="AG1484">
        <f>AVERAGE(Table1[[#This Row],[Range1_Low]:[Range1_High]])</f>
        <v>50.05</v>
      </c>
      <c r="AH1484">
        <v>1</v>
      </c>
    </row>
    <row r="1485" spans="1:34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169</v>
      </c>
      <c r="U1485" t="str" cm="1">
        <f t="array" ref="U1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5" t="str" cm="1">
        <f t="array" ref="V1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  <c r="AF1485">
        <f>AVERAGE(Table1[[#This Row],[Range2_Low]:[Range2_High]])</f>
        <v>0</v>
      </c>
      <c r="AG1485">
        <f>AVERAGE(Table1[[#This Row],[Range1_Low]:[Range1_High]])</f>
        <v>180.05</v>
      </c>
      <c r="AH1485">
        <v>1</v>
      </c>
    </row>
    <row r="1486" spans="1:34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169</v>
      </c>
      <c r="U1486" t="str" cm="1">
        <f t="array" ref="U1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6" t="str" cm="1">
        <f t="array" ref="V1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  <c r="AF1486">
        <f>AVERAGE(Table1[[#This Row],[Range2_Low]:[Range2_High]])</f>
        <v>0</v>
      </c>
      <c r="AG1486">
        <f>AVERAGE(Table1[[#This Row],[Range1_Low]:[Range1_High]])</f>
        <v>180.05</v>
      </c>
      <c r="AH1486">
        <v>1</v>
      </c>
    </row>
    <row r="1487" spans="1:34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169</v>
      </c>
      <c r="U1487" t="str" cm="1">
        <f t="array" ref="U1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1487" t="str" cm="1">
        <f t="array" ref="V1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  <c r="AF1487">
        <f>AVERAGE(Table1[[#This Row],[Range2_Low]:[Range2_High]])</f>
        <v>0</v>
      </c>
      <c r="AG1487">
        <f>AVERAGE(Table1[[#This Row],[Range1_Low]:[Range1_High]])</f>
        <v>280.05</v>
      </c>
      <c r="AH1487">
        <v>1</v>
      </c>
    </row>
    <row r="1488" spans="1:34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169</v>
      </c>
      <c r="U1488" t="str" cm="1">
        <f t="array" ref="U1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88" t="str" cm="1">
        <f t="array" ref="V1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  <c r="AF1488">
        <f>AVERAGE(Table1[[#This Row],[Range2_Low]:[Range2_High]])</f>
        <v>0</v>
      </c>
      <c r="AG1488">
        <f>AVERAGE(Table1[[#This Row],[Range1_Low]:[Range1_High]])</f>
        <v>280.05</v>
      </c>
      <c r="AH1488">
        <v>1</v>
      </c>
    </row>
    <row r="1489" spans="1:34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169</v>
      </c>
      <c r="U1489" t="str" cm="1">
        <f t="array" ref="U1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89" t="str" cm="1">
        <f t="array" ref="V1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  <c r="AF1489">
        <f>AVERAGE(Table1[[#This Row],[Range2_Low]:[Range2_High]])</f>
        <v>0</v>
      </c>
      <c r="AG1489">
        <f>AVERAGE(Table1[[#This Row],[Range1_Low]:[Range1_High]])</f>
        <v>350.05</v>
      </c>
      <c r="AH1489">
        <v>1</v>
      </c>
    </row>
    <row r="1490" spans="1:34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169</v>
      </c>
      <c r="U1490" t="str" cm="1">
        <f t="array" ref="U1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0" t="str" cm="1">
        <f t="array" ref="V1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  <c r="AF1490">
        <f>AVERAGE(Table1[[#This Row],[Range2_Low]:[Range2_High]])</f>
        <v>0</v>
      </c>
      <c r="AG1490">
        <f>AVERAGE(Table1[[#This Row],[Range1_Low]:[Range1_High]])</f>
        <v>350.05</v>
      </c>
      <c r="AH1490">
        <v>1</v>
      </c>
    </row>
    <row r="1491" spans="1:34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169</v>
      </c>
      <c r="U1491" t="str" cm="1">
        <f t="array" ref="U1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1" t="str" cm="1">
        <f t="array" ref="V1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  <c r="AF1491">
        <f>AVERAGE(Table1[[#This Row],[Range2_Low]:[Range2_High]])</f>
        <v>0</v>
      </c>
      <c r="AG1491">
        <f>AVERAGE(Table1[[#This Row],[Range1_Low]:[Range1_High]])</f>
        <v>500.05</v>
      </c>
      <c r="AH1491">
        <v>1</v>
      </c>
    </row>
    <row r="1492" spans="1:34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169</v>
      </c>
      <c r="U1492" t="str" cm="1">
        <f t="array" ref="U1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2" t="str" cm="1">
        <f t="array" ref="V1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  <c r="AF1492">
        <f>AVERAGE(Table1[[#This Row],[Range2_Low]:[Range2_High]])</f>
        <v>0</v>
      </c>
      <c r="AG1492">
        <f>AVERAGE(Table1[[#This Row],[Range1_Low]:[Range1_High]])</f>
        <v>500.05</v>
      </c>
      <c r="AH1492">
        <v>1</v>
      </c>
    </row>
    <row r="1493" spans="1:34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169</v>
      </c>
      <c r="U1493" t="str" cm="1">
        <f t="array" ref="U1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3" t="str" cm="1">
        <f t="array" ref="V1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  <c r="AF1493">
        <f>AVERAGE(Table1[[#This Row],[Range2_Low]:[Range2_High]])</f>
        <v>0</v>
      </c>
      <c r="AG1493">
        <f>AVERAGE(Table1[[#This Row],[Range1_Low]:[Range1_High]])</f>
        <v>615</v>
      </c>
      <c r="AH1493">
        <v>1</v>
      </c>
    </row>
    <row r="1494" spans="1:34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169</v>
      </c>
      <c r="U1494" t="str" cm="1">
        <f t="array" ref="U1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4" t="str" cm="1">
        <f t="array" ref="V1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  <c r="AF1494">
        <f>AVERAGE(Table1[[#This Row],[Range2_Low]:[Range2_High]])</f>
        <v>0</v>
      </c>
      <c r="AG1494">
        <f>AVERAGE(Table1[[#This Row],[Range1_Low]:[Range1_High]])</f>
        <v>615</v>
      </c>
      <c r="AH1494">
        <v>1</v>
      </c>
    </row>
    <row r="1495" spans="1:34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169</v>
      </c>
      <c r="U1495" t="str" cm="1">
        <f t="array" ref="U1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5" t="str" cm="1">
        <f t="array" ref="V1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  <c r="AF1495">
        <f>AVERAGE(Table1[[#This Row],[Range2_Low]:[Range2_High]])</f>
        <v>0</v>
      </c>
      <c r="AG1495">
        <f>AVERAGE(Table1[[#This Row],[Range1_Low]:[Range1_High]])</f>
        <v>630.04999999999995</v>
      </c>
      <c r="AH1495">
        <v>1</v>
      </c>
    </row>
    <row r="1496" spans="1:34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169</v>
      </c>
      <c r="U1496" t="str" cm="1">
        <f t="array" ref="U1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6" t="str" cm="1">
        <f t="array" ref="V1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  <c r="AF1496">
        <f>AVERAGE(Table1[[#This Row],[Range2_Low]:[Range2_High]])</f>
        <v>0</v>
      </c>
      <c r="AG1496">
        <f>AVERAGE(Table1[[#This Row],[Range1_Low]:[Range1_High]])</f>
        <v>630.04999999999995</v>
      </c>
      <c r="AH1496">
        <v>1</v>
      </c>
    </row>
    <row r="1497" spans="1:34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168</v>
      </c>
      <c r="U1497" t="str" cm="1">
        <f t="array" ref="U1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1497" t="str" cm="1">
        <f t="array" ref="V1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  <c r="AF1497">
        <f>AVERAGE(Table1[[#This Row],[Range2_Low]:[Range2_High]])</f>
        <v>0</v>
      </c>
      <c r="AG1497">
        <f>AVERAGE(Table1[[#This Row],[Range1_Low]:[Range1_High]])</f>
        <v>-99.95</v>
      </c>
      <c r="AH1497">
        <v>1</v>
      </c>
    </row>
    <row r="1498" spans="1:34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168</v>
      </c>
      <c r="U1498" t="str" cm="1">
        <f t="array" ref="U1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98" t="str" cm="1">
        <f t="array" ref="V1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  <c r="AF1498">
        <f>AVERAGE(Table1[[#This Row],[Range2_Low]:[Range2_High]])</f>
        <v>0</v>
      </c>
      <c r="AG1498">
        <f>AVERAGE(Table1[[#This Row],[Range1_Low]:[Range1_High]])</f>
        <v>-99.95</v>
      </c>
      <c r="AH1498">
        <v>1</v>
      </c>
    </row>
    <row r="1499" spans="1:34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168</v>
      </c>
      <c r="U1499" t="str" cm="1">
        <f t="array" ref="U1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9" t="str" cm="1">
        <f t="array" ref="V1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  <c r="AF1499">
        <f>AVERAGE(Table1[[#This Row],[Range2_Low]:[Range2_High]])</f>
        <v>0</v>
      </c>
      <c r="AG1499">
        <f>AVERAGE(Table1[[#This Row],[Range1_Low]:[Range1_High]])</f>
        <v>50.05</v>
      </c>
      <c r="AH1499">
        <v>1</v>
      </c>
    </row>
    <row r="1500" spans="1:34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168</v>
      </c>
      <c r="U1500" t="str" cm="1">
        <f t="array" ref="U1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0" t="str" cm="1">
        <f t="array" ref="V1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  <c r="AF1500">
        <f>AVERAGE(Table1[[#This Row],[Range2_Low]:[Range2_High]])</f>
        <v>0</v>
      </c>
      <c r="AG1500">
        <f>AVERAGE(Table1[[#This Row],[Range1_Low]:[Range1_High]])</f>
        <v>50.05</v>
      </c>
      <c r="AH1500">
        <v>1</v>
      </c>
    </row>
    <row r="1501" spans="1:34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168</v>
      </c>
      <c r="U1501" t="str" cm="1">
        <f t="array" ref="U1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501" t="str" cm="1">
        <f t="array" ref="V1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  <c r="AF1501">
        <f>AVERAGE(Table1[[#This Row],[Range2_Low]:[Range2_High]])</f>
        <v>0</v>
      </c>
      <c r="AG1501">
        <f>AVERAGE(Table1[[#This Row],[Range1_Low]:[Range1_High]])</f>
        <v>200.05</v>
      </c>
      <c r="AH1501">
        <v>1</v>
      </c>
    </row>
    <row r="1502" spans="1:34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168</v>
      </c>
      <c r="U1502" t="str" cm="1">
        <f t="array" ref="U1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2" t="str" cm="1">
        <f t="array" ref="V1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  <c r="AF1502">
        <f>AVERAGE(Table1[[#This Row],[Range2_Low]:[Range2_High]])</f>
        <v>0</v>
      </c>
      <c r="AG1502">
        <f>AVERAGE(Table1[[#This Row],[Range1_Low]:[Range1_High]])</f>
        <v>200.05</v>
      </c>
      <c r="AH1502">
        <v>1</v>
      </c>
    </row>
    <row r="1503" spans="1:34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168</v>
      </c>
      <c r="U1503" t="str" cm="1">
        <f t="array" ref="U1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03" t="str" cm="1">
        <f t="array" ref="V1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  <c r="AF1503">
        <f>AVERAGE(Table1[[#This Row],[Range2_Low]:[Range2_High]])</f>
        <v>0</v>
      </c>
      <c r="AG1503">
        <f>AVERAGE(Table1[[#This Row],[Range1_Low]:[Range1_High]])</f>
        <v>350.05</v>
      </c>
      <c r="AH1503">
        <v>1</v>
      </c>
    </row>
    <row r="1504" spans="1:34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168</v>
      </c>
      <c r="U1504" t="str" cm="1">
        <f t="array" ref="U1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04" t="str" cm="1">
        <f t="array" ref="V1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  <c r="AF1504">
        <f>AVERAGE(Table1[[#This Row],[Range2_Low]:[Range2_High]])</f>
        <v>0</v>
      </c>
      <c r="AG1504">
        <f>AVERAGE(Table1[[#This Row],[Range1_Low]:[Range1_High]])</f>
        <v>350.05</v>
      </c>
      <c r="AH1504">
        <v>1</v>
      </c>
    </row>
    <row r="1505" spans="1:34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168</v>
      </c>
      <c r="U1505" t="str" cm="1">
        <f t="array" ref="U1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V1505" t="str" cm="1">
        <f t="array" ref="V1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  <c r="AF1505">
        <f>AVERAGE(Table1[[#This Row],[Range2_Low]:[Range2_High]])</f>
        <v>0</v>
      </c>
      <c r="AG1505">
        <f>AVERAGE(Table1[[#This Row],[Range1_Low]:[Range1_High]])</f>
        <v>515.04999999999995</v>
      </c>
      <c r="AH1505">
        <v>1</v>
      </c>
    </row>
    <row r="1506" spans="1:34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168</v>
      </c>
      <c r="U1506" t="str" cm="1">
        <f t="array" ref="U1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06" t="str" cm="1">
        <f t="array" ref="V1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  <c r="AF1506">
        <f>AVERAGE(Table1[[#This Row],[Range2_Low]:[Range2_High]])</f>
        <v>0</v>
      </c>
      <c r="AG1506">
        <f>AVERAGE(Table1[[#This Row],[Range1_Low]:[Range1_High]])</f>
        <v>515.04999999999995</v>
      </c>
      <c r="AH1506">
        <v>1</v>
      </c>
    </row>
    <row r="1507" spans="1:34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168</v>
      </c>
      <c r="U1507" t="str" cm="1">
        <f t="array" ref="U1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7" t="str" cm="1">
        <f t="array" ref="V1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  <c r="AF1507">
        <f>AVERAGE(Table1[[#This Row],[Range2_Low]:[Range2_High]])</f>
        <v>0</v>
      </c>
      <c r="AG1507">
        <f>AVERAGE(Table1[[#This Row],[Range1_Low]:[Range1_High]])</f>
        <v>715</v>
      </c>
      <c r="AH1507">
        <v>1</v>
      </c>
    </row>
    <row r="1508" spans="1:34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168</v>
      </c>
      <c r="U1508" t="str" cm="1">
        <f t="array" ref="U1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08" t="str" cm="1">
        <f t="array" ref="V1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  <c r="AF1508">
        <f>AVERAGE(Table1[[#This Row],[Range2_Low]:[Range2_High]])</f>
        <v>0</v>
      </c>
      <c r="AG1508">
        <f>AVERAGE(Table1[[#This Row],[Range1_Low]:[Range1_High]])</f>
        <v>715</v>
      </c>
      <c r="AH1508">
        <v>1</v>
      </c>
    </row>
    <row r="1509" spans="1:34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168</v>
      </c>
      <c r="U1509" t="str" cm="1">
        <f t="array" ref="U1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9" t="str" cm="1">
        <f t="array" ref="V1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  <c r="AF1509">
        <f>AVERAGE(Table1[[#This Row],[Range2_Low]:[Range2_High]])</f>
        <v>0</v>
      </c>
      <c r="AG1509">
        <f>AVERAGE(Table1[[#This Row],[Range1_Low]:[Range1_High]])</f>
        <v>800.05</v>
      </c>
      <c r="AH1509">
        <v>1</v>
      </c>
    </row>
    <row r="1510" spans="1:34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168</v>
      </c>
      <c r="U1510" t="str" cm="1">
        <f t="array" ref="U1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10" t="str" cm="1">
        <f t="array" ref="V1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  <c r="AF1510">
        <f>AVERAGE(Table1[[#This Row],[Range2_Low]:[Range2_High]])</f>
        <v>0</v>
      </c>
      <c r="AG1510">
        <f>AVERAGE(Table1[[#This Row],[Range1_Low]:[Range1_High]])</f>
        <v>800.05</v>
      </c>
      <c r="AH1510">
        <v>1</v>
      </c>
    </row>
    <row r="1511" spans="1:34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164</v>
      </c>
      <c r="U1511" t="str" cm="1">
        <f t="array" ref="U1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11" t="str" cm="1">
        <f t="array" ref="V1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  <c r="AF1511">
        <f>AVERAGE(Table1[[#This Row],[Range2_Low]:[Range2_High]])</f>
        <v>0</v>
      </c>
      <c r="AG1511">
        <f>AVERAGE(Table1[[#This Row],[Range1_Low]:[Range1_High]])</f>
        <v>-149.94999999999999</v>
      </c>
      <c r="AH1511">
        <v>1</v>
      </c>
    </row>
    <row r="1512" spans="1:34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164</v>
      </c>
      <c r="U1512" t="str" cm="1">
        <f t="array" ref="U1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12" t="str" cm="1">
        <f t="array" ref="V1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  <c r="AF1512">
        <f>AVERAGE(Table1[[#This Row],[Range2_Low]:[Range2_High]])</f>
        <v>0</v>
      </c>
      <c r="AG1512">
        <f>AVERAGE(Table1[[#This Row],[Range1_Low]:[Range1_High]])</f>
        <v>-149.94999999999999</v>
      </c>
      <c r="AH1512">
        <v>1</v>
      </c>
    </row>
    <row r="1513" spans="1:34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164</v>
      </c>
      <c r="U1513" t="str" cm="1">
        <f t="array" ref="U1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V1513" t="str" cm="1">
        <f t="array" ref="V1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  <c r="AF1513">
        <f>AVERAGE(Table1[[#This Row],[Range2_Low]:[Range2_High]])</f>
        <v>0</v>
      </c>
      <c r="AG1513">
        <f>AVERAGE(Table1[[#This Row],[Range1_Low]:[Range1_High]])</f>
        <v>-62.45</v>
      </c>
      <c r="AH1513">
        <v>1</v>
      </c>
    </row>
    <row r="1514" spans="1:34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164</v>
      </c>
      <c r="U1514" t="str" cm="1">
        <f t="array" ref="U1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14" t="str" cm="1">
        <f t="array" ref="V1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  <c r="AF1514">
        <f>AVERAGE(Table1[[#This Row],[Range2_Low]:[Range2_High]])</f>
        <v>0</v>
      </c>
      <c r="AG1514">
        <f>AVERAGE(Table1[[#This Row],[Range1_Low]:[Range1_High]])</f>
        <v>-62.45</v>
      </c>
      <c r="AH1514">
        <v>1</v>
      </c>
    </row>
    <row r="1515" spans="1:34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164</v>
      </c>
      <c r="U1515" t="str" cm="1">
        <f t="array" ref="U1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V1515" t="str" cm="1">
        <f t="array" ref="V1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  <c r="AF1515">
        <f>AVERAGE(Table1[[#This Row],[Range2_Low]:[Range2_High]])</f>
        <v>0</v>
      </c>
      <c r="AG1515">
        <f>AVERAGE(Table1[[#This Row],[Range1_Low]:[Range1_High]])</f>
        <v>47.55</v>
      </c>
      <c r="AH1515">
        <v>1</v>
      </c>
    </row>
    <row r="1516" spans="1:34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164</v>
      </c>
      <c r="U1516" t="str" cm="1">
        <f t="array" ref="U1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16" t="str" cm="1">
        <f t="array" ref="V1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  <c r="AF1516">
        <f>AVERAGE(Table1[[#This Row],[Range2_Low]:[Range2_High]])</f>
        <v>0</v>
      </c>
      <c r="AG1516">
        <f>AVERAGE(Table1[[#This Row],[Range1_Low]:[Range1_High]])</f>
        <v>47.55</v>
      </c>
      <c r="AH1516">
        <v>1</v>
      </c>
    </row>
    <row r="1517" spans="1:34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164</v>
      </c>
      <c r="U1517" t="str" cm="1">
        <f t="array" ref="U1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17" t="str" cm="1">
        <f t="array" ref="V1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  <c r="AF1517">
        <f>AVERAGE(Table1[[#This Row],[Range2_Low]:[Range2_High]])</f>
        <v>0</v>
      </c>
      <c r="AG1517">
        <f>AVERAGE(Table1[[#This Row],[Range1_Low]:[Range1_High]])</f>
        <v>265.05</v>
      </c>
      <c r="AH1517">
        <v>1</v>
      </c>
    </row>
    <row r="1518" spans="1:34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164</v>
      </c>
      <c r="U1518" t="str" cm="1">
        <f t="array" ref="U1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18" t="str" cm="1">
        <f t="array" ref="V1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  <c r="AF1518">
        <f>AVERAGE(Table1[[#This Row],[Range2_Low]:[Range2_High]])</f>
        <v>0</v>
      </c>
      <c r="AG1518">
        <f>AVERAGE(Table1[[#This Row],[Range1_Low]:[Range1_High]])</f>
        <v>265.05</v>
      </c>
      <c r="AH1518">
        <v>1</v>
      </c>
    </row>
    <row r="1519" spans="1:34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164</v>
      </c>
      <c r="U1519" t="str" cm="1">
        <f t="array" ref="U1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19" t="str" cm="1">
        <f t="array" ref="V1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  <c r="AF1519">
        <f>AVERAGE(Table1[[#This Row],[Range2_Low]:[Range2_High]])</f>
        <v>0</v>
      </c>
      <c r="AG1519">
        <f>AVERAGE(Table1[[#This Row],[Range1_Low]:[Range1_High]])</f>
        <v>855</v>
      </c>
      <c r="AH1519">
        <v>1</v>
      </c>
    </row>
    <row r="1520" spans="1:34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164</v>
      </c>
      <c r="U1520" t="str" cm="1">
        <f t="array" ref="U1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0" t="str" cm="1">
        <f t="array" ref="V1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  <c r="AF1520">
        <f>AVERAGE(Table1[[#This Row],[Range2_Low]:[Range2_High]])</f>
        <v>0</v>
      </c>
      <c r="AG1520">
        <f>AVERAGE(Table1[[#This Row],[Range1_Low]:[Range1_High]])</f>
        <v>855</v>
      </c>
      <c r="AH1520">
        <v>1</v>
      </c>
    </row>
    <row r="1521" spans="1:34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164</v>
      </c>
      <c r="U1521" t="str" cm="1">
        <f t="array" ref="U1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21" t="str" cm="1">
        <f t="array" ref="V1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  <c r="AF1521">
        <f>AVERAGE(Table1[[#This Row],[Range2_Low]:[Range2_High]])</f>
        <v>0</v>
      </c>
      <c r="AG1521">
        <f>AVERAGE(Table1[[#This Row],[Range1_Low]:[Range1_High]])</f>
        <v>1300.05</v>
      </c>
      <c r="AH1521">
        <v>1</v>
      </c>
    </row>
    <row r="1522" spans="1:34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164</v>
      </c>
      <c r="U1522" t="str" cm="1">
        <f t="array" ref="U1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2" t="str" cm="1">
        <f t="array" ref="V1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  <c r="AF1522">
        <f>AVERAGE(Table1[[#This Row],[Range2_Low]:[Range2_High]])</f>
        <v>0</v>
      </c>
      <c r="AG1522">
        <f>AVERAGE(Table1[[#This Row],[Range1_Low]:[Range1_High]])</f>
        <v>1300.05</v>
      </c>
      <c r="AH1522">
        <v>1</v>
      </c>
    </row>
    <row r="1523" spans="1:34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tr" cm="1">
        <f t="array" ref="U1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523" t="str" cm="1">
        <f t="array" ref="V1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  <c r="AF1523">
        <f>AVERAGE(Table1[[#This Row],[Range2_Low]:[Range2_High]])</f>
        <v>0</v>
      </c>
      <c r="AG1523">
        <f>AVERAGE(Table1[[#This Row],[Range1_Low]:[Range1_High]])</f>
        <v>-149.94999999999999</v>
      </c>
      <c r="AH1523">
        <v>1</v>
      </c>
    </row>
    <row r="1524" spans="1:34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tr" cm="1">
        <f t="array" ref="U1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524" t="str" cm="1">
        <f t="array" ref="V1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  <c r="AF1524">
        <f>AVERAGE(Table1[[#This Row],[Range2_Low]:[Range2_High]])</f>
        <v>0</v>
      </c>
      <c r="AG1524">
        <f>AVERAGE(Table1[[#This Row],[Range1_Low]:[Range1_High]])</f>
        <v>-149.94999999999999</v>
      </c>
      <c r="AH1524">
        <v>1</v>
      </c>
    </row>
    <row r="1525" spans="1:34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tr" cm="1">
        <f t="array" ref="U1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V1525" t="str" cm="1">
        <f t="array" ref="V1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  <c r="AF1525">
        <f>AVERAGE(Table1[[#This Row],[Range2_Low]:[Range2_High]])</f>
        <v>0</v>
      </c>
      <c r="AG1525">
        <f>AVERAGE(Table1[[#This Row],[Range1_Low]:[Range1_High]])</f>
        <v>-62.45</v>
      </c>
      <c r="AH1525">
        <v>1</v>
      </c>
    </row>
    <row r="1526" spans="1:34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tr" cm="1">
        <f t="array" ref="U1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26" t="str" cm="1">
        <f t="array" ref="V1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  <c r="AF1526">
        <f>AVERAGE(Table1[[#This Row],[Range2_Low]:[Range2_High]])</f>
        <v>0</v>
      </c>
      <c r="AG1526">
        <f>AVERAGE(Table1[[#This Row],[Range1_Low]:[Range1_High]])</f>
        <v>-62.45</v>
      </c>
      <c r="AH1526">
        <v>1</v>
      </c>
    </row>
    <row r="1527" spans="1:34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tr" cm="1">
        <f t="array" ref="U1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27" t="str" cm="1">
        <f t="array" ref="V1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  <c r="AF1527">
        <f>AVERAGE(Table1[[#This Row],[Range2_Low]:[Range2_High]])</f>
        <v>0</v>
      </c>
      <c r="AG1527">
        <f>AVERAGE(Table1[[#This Row],[Range1_Low]:[Range1_High]])</f>
        <v>47.55</v>
      </c>
      <c r="AH1527">
        <v>1</v>
      </c>
    </row>
    <row r="1528" spans="1:34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tr" cm="1">
        <f t="array" ref="U1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28" t="str" cm="1">
        <f t="array" ref="V1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  <c r="AF1528">
        <f>AVERAGE(Table1[[#This Row],[Range2_Low]:[Range2_High]])</f>
        <v>0</v>
      </c>
      <c r="AG1528">
        <f>AVERAGE(Table1[[#This Row],[Range1_Low]:[Range1_High]])</f>
        <v>47.55</v>
      </c>
      <c r="AH1528">
        <v>1</v>
      </c>
    </row>
    <row r="1529" spans="1:34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tr" cm="1">
        <f t="array" ref="U1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V1529" t="str" cm="1">
        <f t="array" ref="V1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  <c r="AF1529">
        <f>AVERAGE(Table1[[#This Row],[Range2_Low]:[Range2_High]])</f>
        <v>0</v>
      </c>
      <c r="AG1529">
        <f>AVERAGE(Table1[[#This Row],[Range1_Low]:[Range1_High]])</f>
        <v>560.04999999999995</v>
      </c>
      <c r="AH1529">
        <v>1</v>
      </c>
    </row>
    <row r="1530" spans="1:34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tr" cm="1">
        <f t="array" ref="U1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30" t="str" cm="1">
        <f t="array" ref="V1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  <c r="AF1530">
        <f>AVERAGE(Table1[[#This Row],[Range2_Low]:[Range2_High]])</f>
        <v>0</v>
      </c>
      <c r="AG1530">
        <f>AVERAGE(Table1[[#This Row],[Range1_Low]:[Range1_High]])</f>
        <v>560.04999999999995</v>
      </c>
      <c r="AH1530">
        <v>1</v>
      </c>
    </row>
    <row r="1531" spans="1:34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tr" cm="1">
        <f t="array" ref="U1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1" t="str" cm="1">
        <f t="array" ref="V1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  <c r="AF1531">
        <f>AVERAGE(Table1[[#This Row],[Range2_Low]:[Range2_High]])</f>
        <v>0</v>
      </c>
      <c r="AG1531">
        <f>AVERAGE(Table1[[#This Row],[Range1_Low]:[Range1_High]])</f>
        <v>1186</v>
      </c>
      <c r="AH1531">
        <v>1</v>
      </c>
    </row>
    <row r="1532" spans="1:34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tr" cm="1">
        <f t="array" ref="U1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2" t="str" cm="1">
        <f t="array" ref="V1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  <c r="AF1532">
        <f>AVERAGE(Table1[[#This Row],[Range2_Low]:[Range2_High]])</f>
        <v>0</v>
      </c>
      <c r="AG1532">
        <f>AVERAGE(Table1[[#This Row],[Range1_Low]:[Range1_High]])</f>
        <v>1186</v>
      </c>
      <c r="AH1532">
        <v>1</v>
      </c>
    </row>
    <row r="1533" spans="1:34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tr" cm="1">
        <f t="array" ref="U1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3" t="str" cm="1">
        <f t="array" ref="V1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  <c r="AF1533">
        <f>AVERAGE(Table1[[#This Row],[Range2_Low]:[Range2_High]])</f>
        <v>0</v>
      </c>
      <c r="AG1533">
        <f>AVERAGE(Table1[[#This Row],[Range1_Low]:[Range1_High]])</f>
        <v>1372.05</v>
      </c>
      <c r="AH1533">
        <v>1</v>
      </c>
    </row>
    <row r="1534" spans="1:34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tr" cm="1">
        <f t="array" ref="U1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4" t="str" cm="1">
        <f t="array" ref="V1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  <c r="AF1534">
        <f>AVERAGE(Table1[[#This Row],[Range2_Low]:[Range2_High]])</f>
        <v>0</v>
      </c>
      <c r="AG1534">
        <f>AVERAGE(Table1[[#This Row],[Range1_Low]:[Range1_High]])</f>
        <v>1372.05</v>
      </c>
      <c r="AH1534">
        <v>1</v>
      </c>
    </row>
    <row r="1535" spans="1:34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163</v>
      </c>
      <c r="U1535" t="str" cm="1">
        <f t="array" ref="U1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35" t="str" cm="1">
        <f t="array" ref="V1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  <c r="AF1535">
        <f>AVERAGE(Table1[[#This Row],[Range2_Low]:[Range2_High]])</f>
        <v>0</v>
      </c>
      <c r="AG1535">
        <f>AVERAGE(Table1[[#This Row],[Range1_Low]:[Range1_High]])</f>
        <v>-154.94999999999999</v>
      </c>
      <c r="AH1535">
        <v>1</v>
      </c>
    </row>
    <row r="1536" spans="1:34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163</v>
      </c>
      <c r="U1536" t="str" cm="1">
        <f t="array" ref="U1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536" t="str" cm="1">
        <f t="array" ref="V1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  <c r="AF1536">
        <f>AVERAGE(Table1[[#This Row],[Range2_Low]:[Range2_High]])</f>
        <v>0</v>
      </c>
      <c r="AG1536">
        <f>AVERAGE(Table1[[#This Row],[Range1_Low]:[Range1_High]])</f>
        <v>-154.94999999999999</v>
      </c>
      <c r="AH1536">
        <v>1</v>
      </c>
    </row>
    <row r="1537" spans="1:34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163</v>
      </c>
      <c r="U1537" t="str" cm="1">
        <f t="array" ref="U1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37" t="str" cm="1">
        <f t="array" ref="V1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  <c r="AF1537">
        <f>AVERAGE(Table1[[#This Row],[Range2_Low]:[Range2_High]])</f>
        <v>0</v>
      </c>
      <c r="AG1537">
        <f>AVERAGE(Table1[[#This Row],[Range1_Low]:[Range1_High]])</f>
        <v>-64.95</v>
      </c>
      <c r="AH1537">
        <v>1</v>
      </c>
    </row>
    <row r="1538" spans="1:34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163</v>
      </c>
      <c r="U1538" t="str" cm="1">
        <f t="array" ref="U1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38" t="str" cm="1">
        <f t="array" ref="V1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  <c r="AF1538">
        <f>AVERAGE(Table1[[#This Row],[Range2_Low]:[Range2_High]])</f>
        <v>0</v>
      </c>
      <c r="AG1538">
        <f>AVERAGE(Table1[[#This Row],[Range1_Low]:[Range1_High]])</f>
        <v>-64.95</v>
      </c>
      <c r="AH1538">
        <v>1</v>
      </c>
    </row>
    <row r="1539" spans="1:34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163</v>
      </c>
      <c r="U1539" t="str" cm="1">
        <f t="array" ref="U1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39" t="str" cm="1">
        <f t="array" ref="V1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  <c r="AF1539">
        <f>AVERAGE(Table1[[#This Row],[Range2_Low]:[Range2_High]])</f>
        <v>0</v>
      </c>
      <c r="AG1539">
        <f>AVERAGE(Table1[[#This Row],[Range1_Low]:[Range1_High]])</f>
        <v>60.05</v>
      </c>
      <c r="AH1539">
        <v>1</v>
      </c>
    </row>
    <row r="1540" spans="1:34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163</v>
      </c>
      <c r="U1540" t="str" cm="1">
        <f t="array" ref="U1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0" t="str" cm="1">
        <f t="array" ref="V1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  <c r="AF1540">
        <f>AVERAGE(Table1[[#This Row],[Range2_Low]:[Range2_High]])</f>
        <v>0</v>
      </c>
      <c r="AG1540">
        <f>AVERAGE(Table1[[#This Row],[Range1_Low]:[Range1_High]])</f>
        <v>60.05</v>
      </c>
      <c r="AH1540">
        <v>1</v>
      </c>
    </row>
    <row r="1541" spans="1:34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163</v>
      </c>
      <c r="U1541" t="str" cm="1">
        <f t="array" ref="U1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V1541" t="str" cm="1">
        <f t="array" ref="V1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  <c r="AF1541">
        <f>AVERAGE(Table1[[#This Row],[Range2_Low]:[Range2_High]])</f>
        <v>0</v>
      </c>
      <c r="AG1541">
        <f>AVERAGE(Table1[[#This Row],[Range1_Low]:[Range1_High]])</f>
        <v>455.05</v>
      </c>
      <c r="AH1541">
        <v>1</v>
      </c>
    </row>
    <row r="1542" spans="1:34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163</v>
      </c>
      <c r="U1542" t="str" cm="1">
        <f t="array" ref="U1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2" t="str" cm="1">
        <f t="array" ref="V1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  <c r="AF1542">
        <f>AVERAGE(Table1[[#This Row],[Range2_Low]:[Range2_High]])</f>
        <v>0</v>
      </c>
      <c r="AG1542">
        <f>AVERAGE(Table1[[#This Row],[Range1_Low]:[Range1_High]])</f>
        <v>455.05</v>
      </c>
      <c r="AH1542">
        <v>1</v>
      </c>
    </row>
    <row r="1543" spans="1:34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163</v>
      </c>
      <c r="U1543" t="str" cm="1">
        <f t="array" ref="U1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3" t="str" cm="1">
        <f t="array" ref="V1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  <c r="AF1543">
        <f>AVERAGE(Table1[[#This Row],[Range2_Low]:[Range2_High]])</f>
        <v>0</v>
      </c>
      <c r="AG1543">
        <f>AVERAGE(Table1[[#This Row],[Range1_Low]:[Range1_High]])</f>
        <v>980</v>
      </c>
      <c r="AH1543">
        <v>1</v>
      </c>
    </row>
    <row r="1544" spans="1:34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163</v>
      </c>
      <c r="U1544" t="str" cm="1">
        <f t="array" ref="U1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4" t="str" cm="1">
        <f t="array" ref="V1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  <c r="AF1544">
        <f>AVERAGE(Table1[[#This Row],[Range2_Low]:[Range2_High]])</f>
        <v>0</v>
      </c>
      <c r="AG1544">
        <f>AVERAGE(Table1[[#This Row],[Range1_Low]:[Range1_High]])</f>
        <v>980</v>
      </c>
      <c r="AH1544">
        <v>1</v>
      </c>
    </row>
    <row r="1545" spans="1:34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163</v>
      </c>
      <c r="U1545" t="str" cm="1">
        <f t="array" ref="U1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5" t="str" cm="1">
        <f t="array" ref="V1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  <c r="AF1545">
        <f>AVERAGE(Table1[[#This Row],[Range2_Low]:[Range2_High]])</f>
        <v>0</v>
      </c>
      <c r="AG1545">
        <f>AVERAGE(Table1[[#This Row],[Range1_Low]:[Range1_High]])</f>
        <v>1200.05</v>
      </c>
      <c r="AH1545">
        <v>1</v>
      </c>
    </row>
    <row r="1546" spans="1:34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163</v>
      </c>
      <c r="U1546" t="str" cm="1">
        <f t="array" ref="U1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6" t="str" cm="1">
        <f t="array" ref="V1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  <c r="AF1546">
        <f>AVERAGE(Table1[[#This Row],[Range2_Low]:[Range2_High]])</f>
        <v>0</v>
      </c>
      <c r="AG1546">
        <f>AVERAGE(Table1[[#This Row],[Range1_Low]:[Range1_High]])</f>
        <v>1200.05</v>
      </c>
      <c r="AH1546">
        <v>1</v>
      </c>
    </row>
    <row r="1547" spans="1:34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162</v>
      </c>
      <c r="U1547" t="str" cm="1">
        <f t="array" ref="U1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1547" t="str" cm="1">
        <f t="array" ref="V1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  <c r="AF1547">
        <f>AVERAGE(Table1[[#This Row],[Range2_Low]:[Range2_High]])</f>
        <v>0</v>
      </c>
      <c r="AG1547">
        <f>AVERAGE(Table1[[#This Row],[Range1_Low]:[Range1_High]])</f>
        <v>-174.95</v>
      </c>
      <c r="AH1547">
        <v>1</v>
      </c>
    </row>
    <row r="1548" spans="1:34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162</v>
      </c>
      <c r="U1548" t="str" cm="1">
        <f t="array" ref="U1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V1548" t="str" cm="1">
        <f t="array" ref="V1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  <c r="AF1548">
        <f>AVERAGE(Table1[[#This Row],[Range2_Low]:[Range2_High]])</f>
        <v>0</v>
      </c>
      <c r="AG1548">
        <f>AVERAGE(Table1[[#This Row],[Range1_Low]:[Range1_High]])</f>
        <v>-174.95</v>
      </c>
      <c r="AH1548">
        <v>1</v>
      </c>
    </row>
    <row r="1549" spans="1:34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162</v>
      </c>
      <c r="U1549" t="str" cm="1">
        <f t="array" ref="U1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49" t="str" cm="1">
        <f t="array" ref="V1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  <c r="AF1549">
        <f>AVERAGE(Table1[[#This Row],[Range2_Low]:[Range2_High]])</f>
        <v>0</v>
      </c>
      <c r="AG1549">
        <f>AVERAGE(Table1[[#This Row],[Range1_Low]:[Range1_High]])</f>
        <v>-62.45</v>
      </c>
      <c r="AH1549">
        <v>1</v>
      </c>
    </row>
    <row r="1550" spans="1:34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162</v>
      </c>
      <c r="U1550" t="str" cm="1">
        <f t="array" ref="U1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0" t="str" cm="1">
        <f t="array" ref="V1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  <c r="AF1550">
        <f>AVERAGE(Table1[[#This Row],[Range2_Low]:[Range2_High]])</f>
        <v>0</v>
      </c>
      <c r="AG1550">
        <f>AVERAGE(Table1[[#This Row],[Range1_Low]:[Range1_High]])</f>
        <v>-62.45</v>
      </c>
      <c r="AH1550">
        <v>1</v>
      </c>
    </row>
    <row r="1551" spans="1:34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162</v>
      </c>
      <c r="U1551" t="str" cm="1">
        <f t="array" ref="U1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51" t="str" cm="1">
        <f t="array" ref="V1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  <c r="AF1551">
        <f>AVERAGE(Table1[[#This Row],[Range2_Low]:[Range2_High]])</f>
        <v>0</v>
      </c>
      <c r="AG1551">
        <f>AVERAGE(Table1[[#This Row],[Range1_Low]:[Range1_High]])</f>
        <v>162.55000000000001</v>
      </c>
      <c r="AH1551">
        <v>1</v>
      </c>
    </row>
    <row r="1552" spans="1:34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162</v>
      </c>
      <c r="U1552" t="str" cm="1">
        <f t="array" ref="U1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552" t="str" cm="1">
        <f t="array" ref="V1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  <c r="AF1552">
        <f>AVERAGE(Table1[[#This Row],[Range2_Low]:[Range2_High]])</f>
        <v>0</v>
      </c>
      <c r="AG1552">
        <f>AVERAGE(Table1[[#This Row],[Range1_Low]:[Range1_High]])</f>
        <v>162.55000000000001</v>
      </c>
      <c r="AH1552">
        <v>1</v>
      </c>
    </row>
    <row r="1553" spans="1:34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162</v>
      </c>
      <c r="U1553" t="str" cm="1">
        <f t="array" ref="U1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53" t="str" cm="1">
        <f t="array" ref="V1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  <c r="AF1553">
        <f>AVERAGE(Table1[[#This Row],[Range2_Low]:[Range2_High]])</f>
        <v>0</v>
      </c>
      <c r="AG1553">
        <f>AVERAGE(Table1[[#This Row],[Range1_Low]:[Range1_High]])</f>
        <v>500.05</v>
      </c>
      <c r="AH1553">
        <v>1</v>
      </c>
    </row>
    <row r="1554" spans="1:34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162</v>
      </c>
      <c r="U1554" t="str" cm="1">
        <f t="array" ref="U1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4" t="str" cm="1">
        <f t="array" ref="V1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  <c r="AF1554">
        <f>AVERAGE(Table1[[#This Row],[Range2_Low]:[Range2_High]])</f>
        <v>0</v>
      </c>
      <c r="AG1554">
        <f>AVERAGE(Table1[[#This Row],[Range1_Low]:[Range1_High]])</f>
        <v>500.05</v>
      </c>
      <c r="AH1554">
        <v>1</v>
      </c>
    </row>
    <row r="1555" spans="1:34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162</v>
      </c>
      <c r="U1555" t="str" cm="1">
        <f t="array" ref="U1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5" t="str" cm="1">
        <f t="array" ref="V1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  <c r="AF1555">
        <f>AVERAGE(Table1[[#This Row],[Range2_Low]:[Range2_High]])</f>
        <v>0</v>
      </c>
      <c r="AG1555">
        <f>AVERAGE(Table1[[#This Row],[Range1_Low]:[Range1_High]])</f>
        <v>825</v>
      </c>
      <c r="AH1555">
        <v>1</v>
      </c>
    </row>
    <row r="1556" spans="1:34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162</v>
      </c>
      <c r="U1556" t="str" cm="1">
        <f t="array" ref="U1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6" t="str" cm="1">
        <f t="array" ref="V1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  <c r="AF1556">
        <f>AVERAGE(Table1[[#This Row],[Range2_Low]:[Range2_High]])</f>
        <v>0</v>
      </c>
      <c r="AG1556">
        <f>AVERAGE(Table1[[#This Row],[Range1_Low]:[Range1_High]])</f>
        <v>825</v>
      </c>
      <c r="AH1556">
        <v>1</v>
      </c>
    </row>
    <row r="1557" spans="1:34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162</v>
      </c>
      <c r="U1557" t="str" cm="1">
        <f t="array" ref="U1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7" t="str" cm="1">
        <f t="array" ref="V1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  <c r="AF1557">
        <f>AVERAGE(Table1[[#This Row],[Range2_Low]:[Range2_High]])</f>
        <v>0</v>
      </c>
      <c r="AG1557">
        <f>AVERAGE(Table1[[#This Row],[Range1_Low]:[Range1_High]])</f>
        <v>1000.05</v>
      </c>
      <c r="AH1557">
        <v>1</v>
      </c>
    </row>
    <row r="1558" spans="1:34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162</v>
      </c>
      <c r="U1558" t="str" cm="1">
        <f t="array" ref="U1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8" t="str" cm="1">
        <f t="array" ref="V1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  <c r="AF1558">
        <f>AVERAGE(Table1[[#This Row],[Range2_Low]:[Range2_High]])</f>
        <v>0</v>
      </c>
      <c r="AG1558">
        <f>AVERAGE(Table1[[#This Row],[Range1_Low]:[Range1_High]])</f>
        <v>1000.05</v>
      </c>
      <c r="AH1558">
        <v>1</v>
      </c>
    </row>
    <row r="1559" spans="1:34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tr" cm="1">
        <f t="array" ref="U1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59" t="str" cm="1">
        <f t="array" ref="V1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  <c r="AF1559">
        <f>AVERAGE(Table1[[#This Row],[Range2_Low]:[Range2_High]])</f>
        <v>0</v>
      </c>
      <c r="AG1559">
        <f>AVERAGE(Table1[[#This Row],[Range1_Low]:[Range1_High]])</f>
        <v>1.7600000000000001E-9</v>
      </c>
      <c r="AH1559">
        <v>1</v>
      </c>
    </row>
    <row r="1560" spans="1:34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tr" cm="1">
        <f t="array" ref="U1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60" t="str" cm="1">
        <f t="array" ref="V1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  <c r="AF1560">
        <f>AVERAGE(Table1[[#This Row],[Range2_Low]:[Range2_High]])</f>
        <v>0</v>
      </c>
      <c r="AG1560">
        <f>AVERAGE(Table1[[#This Row],[Range1_Low]:[Range1_High]])</f>
        <v>1.7600000000000001E-9</v>
      </c>
      <c r="AH1560">
        <v>1</v>
      </c>
    </row>
    <row r="1561" spans="1:34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tr" cm="1">
        <f t="array" ref="U1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nF</v>
      </c>
      <c r="V1561" t="str" cm="1">
        <f t="array" ref="V1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  <c r="AF1561">
        <f>AVERAGE(Table1[[#This Row],[Range2_Low]:[Range2_High]])</f>
        <v>0</v>
      </c>
      <c r="AG1561">
        <f>AVERAGE(Table1[[#This Row],[Range1_Low]:[Range1_High]])</f>
        <v>1.7600000000000001E-9</v>
      </c>
      <c r="AH1561">
        <v>1</v>
      </c>
    </row>
    <row r="1562" spans="1:34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tr" cm="1">
        <f t="array" ref="U1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nF</v>
      </c>
      <c r="V1562" t="str" cm="1">
        <f t="array" ref="V1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nF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  <c r="AF1562">
        <f>AVERAGE(Table1[[#This Row],[Range2_Low]:[Range2_High]])</f>
        <v>0</v>
      </c>
      <c r="AG1562">
        <f>AVERAGE(Table1[[#This Row],[Range1_Low]:[Range1_High]])</f>
        <v>1.7600000000000001E-9</v>
      </c>
      <c r="AH1562">
        <v>1</v>
      </c>
    </row>
    <row r="1563" spans="1:34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tr" cm="1">
        <f t="array" ref="U1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3" t="str" cm="1">
        <f t="array" ref="V1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  <c r="AF1563">
        <f>AVERAGE(Table1[[#This Row],[Range2_Low]:[Range2_High]])</f>
        <v>0</v>
      </c>
      <c r="AG1563">
        <f>AVERAGE(Table1[[#This Row],[Range1_Low]:[Range1_High]])</f>
        <v>1.7600000000000001E-9</v>
      </c>
      <c r="AH1563">
        <v>1</v>
      </c>
    </row>
    <row r="1564" spans="1:34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tr" cm="1">
        <f t="array" ref="U1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4" t="str" cm="1">
        <f t="array" ref="V1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  <c r="AF1564">
        <f>AVERAGE(Table1[[#This Row],[Range2_Low]:[Range2_High]])</f>
        <v>0</v>
      </c>
      <c r="AG1564">
        <f>AVERAGE(Table1[[#This Row],[Range1_Low]:[Range1_High]])</f>
        <v>7.1499999999999995E-9</v>
      </c>
      <c r="AH1564">
        <v>1</v>
      </c>
    </row>
    <row r="1565" spans="1:34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tr" cm="1">
        <f t="array" ref="U1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5" t="str" cm="1">
        <f t="array" ref="V1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  <c r="AF1565">
        <f>AVERAGE(Table1[[#This Row],[Range2_Low]:[Range2_High]])</f>
        <v>0</v>
      </c>
      <c r="AG1565">
        <f>AVERAGE(Table1[[#This Row],[Range1_Low]:[Range1_High]])</f>
        <v>7.1499999999999995E-9</v>
      </c>
      <c r="AH1565">
        <v>1</v>
      </c>
    </row>
    <row r="1566" spans="1:34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tr" cm="1">
        <f t="array" ref="U1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nF</v>
      </c>
      <c r="V1566" t="str" cm="1">
        <f t="array" ref="V1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nF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  <c r="AF1566">
        <f>AVERAGE(Table1[[#This Row],[Range2_Low]:[Range2_High]])</f>
        <v>0</v>
      </c>
      <c r="AG1566">
        <f>AVERAGE(Table1[[#This Row],[Range1_Low]:[Range1_High]])</f>
        <v>7.1499999999999995E-9</v>
      </c>
      <c r="AH1566">
        <v>1</v>
      </c>
    </row>
    <row r="1567" spans="1:34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tr" cm="1">
        <f t="array" ref="U1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7" t="str" cm="1">
        <f t="array" ref="V1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  <c r="AF1567">
        <f>AVERAGE(Table1[[#This Row],[Range2_Low]:[Range2_High]])</f>
        <v>0</v>
      </c>
      <c r="AG1567">
        <f>AVERAGE(Table1[[#This Row],[Range1_Low]:[Range1_High]])</f>
        <v>7.1499999999999995E-9</v>
      </c>
      <c r="AH1567">
        <v>1</v>
      </c>
    </row>
    <row r="1568" spans="1:34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tr" cm="1">
        <f t="array" ref="U1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8" t="str" cm="1">
        <f t="array" ref="V1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  <c r="AF1568">
        <f>AVERAGE(Table1[[#This Row],[Range2_Low]:[Range2_High]])</f>
        <v>0</v>
      </c>
      <c r="AG1568">
        <f>AVERAGE(Table1[[#This Row],[Range1_Low]:[Range1_High]])</f>
        <v>2.1999999999999998E-8</v>
      </c>
      <c r="AH1568">
        <v>1</v>
      </c>
    </row>
    <row r="1569" spans="1:34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tr" cm="1">
        <f t="array" ref="U1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9" t="str" cm="1">
        <f t="array" ref="V1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  <c r="AF1569">
        <f>AVERAGE(Table1[[#This Row],[Range2_Low]:[Range2_High]])</f>
        <v>0</v>
      </c>
      <c r="AG1569">
        <f>AVERAGE(Table1[[#This Row],[Range1_Low]:[Range1_High]])</f>
        <v>2.1999999999999998E-8</v>
      </c>
      <c r="AH1569">
        <v>1</v>
      </c>
    </row>
    <row r="1570" spans="1:34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tr" cm="1">
        <f t="array" ref="U1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nF</v>
      </c>
      <c r="V1570" t="str" cm="1">
        <f t="array" ref="V1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  <c r="AF1570">
        <f>AVERAGE(Table1[[#This Row],[Range2_Low]:[Range2_High]])</f>
        <v>0</v>
      </c>
      <c r="AG1570">
        <f>AVERAGE(Table1[[#This Row],[Range1_Low]:[Range1_High]])</f>
        <v>2.1999999999999998E-8</v>
      </c>
      <c r="AH1570">
        <v>1</v>
      </c>
    </row>
    <row r="1571" spans="1:34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tr" cm="1">
        <f t="array" ref="U1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nF</v>
      </c>
      <c r="V1571" t="str" cm="1">
        <f t="array" ref="V1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nF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  <c r="AF1571">
        <f>AVERAGE(Table1[[#This Row],[Range2_Low]:[Range2_High]])</f>
        <v>0</v>
      </c>
      <c r="AG1571">
        <f>AVERAGE(Table1[[#This Row],[Range1_Low]:[Range1_High]])</f>
        <v>2.1999999999999998E-8</v>
      </c>
      <c r="AH1571">
        <v>1</v>
      </c>
    </row>
    <row r="1572" spans="1:34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tr" cm="1">
        <f t="array" ref="U1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2" t="str" cm="1">
        <f t="array" ref="V1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  <c r="AF1572">
        <f>AVERAGE(Table1[[#This Row],[Range2_Low]:[Range2_High]])</f>
        <v>0</v>
      </c>
      <c r="AG1572">
        <f>AVERAGE(Table1[[#This Row],[Range1_Low]:[Range1_High]])</f>
        <v>2.1999999999999998E-8</v>
      </c>
      <c r="AH1572">
        <v>1</v>
      </c>
    </row>
    <row r="1573" spans="1:34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tr" cm="1">
        <f t="array" ref="U1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3" t="str" cm="1">
        <f t="array" ref="V1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  <c r="AF1573">
        <f>AVERAGE(Table1[[#This Row],[Range2_Low]:[Range2_High]])</f>
        <v>0</v>
      </c>
      <c r="AG1573">
        <f>AVERAGE(Table1[[#This Row],[Range1_Low]:[Range1_High]])</f>
        <v>7.1499999999999998E-8</v>
      </c>
      <c r="AH1573">
        <v>1</v>
      </c>
    </row>
    <row r="1574" spans="1:34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tr" cm="1">
        <f t="array" ref="U1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4" t="str" cm="1">
        <f t="array" ref="V1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  <c r="AF1574">
        <f>AVERAGE(Table1[[#This Row],[Range2_Low]:[Range2_High]])</f>
        <v>0</v>
      </c>
      <c r="AG1574">
        <f>AVERAGE(Table1[[#This Row],[Range1_Low]:[Range1_High]])</f>
        <v>7.1499999999999998E-8</v>
      </c>
      <c r="AH1574">
        <v>1</v>
      </c>
    </row>
    <row r="1575" spans="1:34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tr" cm="1">
        <f t="array" ref="U1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nF</v>
      </c>
      <c r="V1575" t="str" cm="1">
        <f t="array" ref="V1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nF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  <c r="AF1575">
        <f>AVERAGE(Table1[[#This Row],[Range2_Low]:[Range2_High]])</f>
        <v>0</v>
      </c>
      <c r="AG1575">
        <f>AVERAGE(Table1[[#This Row],[Range1_Low]:[Range1_High]])</f>
        <v>7.1499999999999998E-8</v>
      </c>
      <c r="AH1575">
        <v>1</v>
      </c>
    </row>
    <row r="1576" spans="1:34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tr" cm="1">
        <f t="array" ref="U1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6" t="str" cm="1">
        <f t="array" ref="V1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  <c r="AF1576">
        <f>AVERAGE(Table1[[#This Row],[Range2_Low]:[Range2_High]])</f>
        <v>0</v>
      </c>
      <c r="AG1576">
        <f>AVERAGE(Table1[[#This Row],[Range1_Low]:[Range1_High]])</f>
        <v>7.1499999999999998E-8</v>
      </c>
      <c r="AH1576">
        <v>1</v>
      </c>
    </row>
    <row r="1577" spans="1:34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tr" cm="1">
        <f t="array" ref="U1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7" t="str" cm="1">
        <f t="array" ref="V1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  <c r="AF1577">
        <f>AVERAGE(Table1[[#This Row],[Range2_Low]:[Range2_High]])</f>
        <v>0</v>
      </c>
      <c r="AG1577">
        <f>AVERAGE(Table1[[#This Row],[Range1_Low]:[Range1_High]])</f>
        <v>2.2000000000000001E-7</v>
      </c>
      <c r="AH1577">
        <v>1</v>
      </c>
    </row>
    <row r="1578" spans="1:34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tr" cm="1">
        <f t="array" ref="U1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8" t="str" cm="1">
        <f t="array" ref="V1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  <c r="AF1578">
        <f>AVERAGE(Table1[[#This Row],[Range2_Low]:[Range2_High]])</f>
        <v>0</v>
      </c>
      <c r="AG1578">
        <f>AVERAGE(Table1[[#This Row],[Range1_Low]:[Range1_High]])</f>
        <v>2.2000000000000001E-7</v>
      </c>
      <c r="AH1578">
        <v>1</v>
      </c>
    </row>
    <row r="1579" spans="1:34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tr" cm="1">
        <f t="array" ref="U1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V1579" t="str" cm="1">
        <f t="array" ref="V1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nF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  <c r="AF1579">
        <f>AVERAGE(Table1[[#This Row],[Range2_Low]:[Range2_High]])</f>
        <v>0</v>
      </c>
      <c r="AG1579">
        <f>AVERAGE(Table1[[#This Row],[Range1_Low]:[Range1_High]])</f>
        <v>2.2000000000000001E-7</v>
      </c>
      <c r="AH1579">
        <v>1</v>
      </c>
    </row>
    <row r="1580" spans="1:34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tr" cm="1">
        <f t="array" ref="U1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80" t="str" cm="1">
        <f t="array" ref="V1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  <c r="AF1580">
        <f>AVERAGE(Table1[[#This Row],[Range2_Low]:[Range2_High]])</f>
        <v>0</v>
      </c>
      <c r="AG1580">
        <f>AVERAGE(Table1[[#This Row],[Range1_Low]:[Range1_High]])</f>
        <v>2.2000000000000001E-7</v>
      </c>
      <c r="AH1580">
        <v>1</v>
      </c>
    </row>
    <row r="1581" spans="1:34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tr" cm="1">
        <f t="array" ref="U1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1" t="str" cm="1">
        <f t="array" ref="V1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  <c r="AF1581">
        <f>AVERAGE(Table1[[#This Row],[Range2_Low]:[Range2_High]])</f>
        <v>0</v>
      </c>
      <c r="AG1581">
        <f>AVERAGE(Table1[[#This Row],[Range1_Low]:[Range1_High]])</f>
        <v>7.1500000000000004E-7</v>
      </c>
      <c r="AH1581">
        <v>1</v>
      </c>
    </row>
    <row r="1582" spans="1:34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tr" cm="1">
        <f t="array" ref="U1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2" t="str" cm="1">
        <f t="array" ref="V1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  <c r="AF1582">
        <f>AVERAGE(Table1[[#This Row],[Range2_Low]:[Range2_High]])</f>
        <v>0</v>
      </c>
      <c r="AG1582">
        <f>AVERAGE(Table1[[#This Row],[Range1_Low]:[Range1_High]])</f>
        <v>7.1500000000000004E-7</v>
      </c>
      <c r="AH1582">
        <v>1</v>
      </c>
    </row>
    <row r="1583" spans="1:34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tr" cm="1">
        <f t="array" ref="U1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nF</v>
      </c>
      <c r="V1583" t="str" cm="1">
        <f t="array" ref="V1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nF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  <c r="AF1583">
        <f>AVERAGE(Table1[[#This Row],[Range2_Low]:[Range2_High]])</f>
        <v>0</v>
      </c>
      <c r="AG1583">
        <f>AVERAGE(Table1[[#This Row],[Range1_Low]:[Range1_High]])</f>
        <v>7.1500000000000004E-7</v>
      </c>
      <c r="AH1583">
        <v>1</v>
      </c>
    </row>
    <row r="1584" spans="1:34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tr" cm="1">
        <f t="array" ref="U1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4" t="str" cm="1">
        <f t="array" ref="V1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  <c r="AF1584">
        <f>AVERAGE(Table1[[#This Row],[Range2_Low]:[Range2_High]])</f>
        <v>0</v>
      </c>
      <c r="AG1584">
        <f>AVERAGE(Table1[[#This Row],[Range1_Low]:[Range1_High]])</f>
        <v>7.1505000000000004E-7</v>
      </c>
      <c r="AH1584">
        <v>1</v>
      </c>
    </row>
    <row r="1585" spans="1:34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tr" cm="1">
        <f t="array" ref="U1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5" t="str" cm="1">
        <f t="array" ref="V1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  <c r="AF1585">
        <f>AVERAGE(Table1[[#This Row],[Range2_Low]:[Range2_High]])</f>
        <v>0</v>
      </c>
      <c r="AG1585">
        <f>AVERAGE(Table1[[#This Row],[Range1_Low]:[Range1_High]])</f>
        <v>2.2000500000000002E-6</v>
      </c>
      <c r="AH1585">
        <v>1</v>
      </c>
    </row>
    <row r="1586" spans="1:34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tr" cm="1">
        <f t="array" ref="U1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6" t="str" cm="1">
        <f t="array" ref="V1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  <c r="AF1586">
        <f>AVERAGE(Table1[[#This Row],[Range2_Low]:[Range2_High]])</f>
        <v>0</v>
      </c>
      <c r="AG1586">
        <f>AVERAGE(Table1[[#This Row],[Range1_Low]:[Range1_High]])</f>
        <v>2.2000500000000002E-6</v>
      </c>
      <c r="AH1586">
        <v>1</v>
      </c>
    </row>
    <row r="1587" spans="1:34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tr" cm="1">
        <f t="array" ref="U1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V1587" t="str" cm="1">
        <f t="array" ref="V1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nF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  <c r="AF1587">
        <f>AVERAGE(Table1[[#This Row],[Range2_Low]:[Range2_High]])</f>
        <v>0</v>
      </c>
      <c r="AG1587">
        <f>AVERAGE(Table1[[#This Row],[Range1_Low]:[Range1_High]])</f>
        <v>2.2000500000000002E-6</v>
      </c>
      <c r="AH1587">
        <v>1</v>
      </c>
    </row>
    <row r="1588" spans="1:34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tr" cm="1">
        <f t="array" ref="U1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8" t="str" cm="1">
        <f t="array" ref="V1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  <c r="AF1588">
        <f>AVERAGE(Table1[[#This Row],[Range2_Low]:[Range2_High]])</f>
        <v>0</v>
      </c>
      <c r="AG1588">
        <f>AVERAGE(Table1[[#This Row],[Range1_Low]:[Range1_High]])</f>
        <v>2.2000500000000002E-6</v>
      </c>
      <c r="AH1588">
        <v>1</v>
      </c>
    </row>
    <row r="1589" spans="1:34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tr" cm="1">
        <f t="array" ref="U1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89" t="str" cm="1">
        <f t="array" ref="V1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  <c r="AF1589">
        <f>AVERAGE(Table1[[#This Row],[Range2_Low]:[Range2_High]])</f>
        <v>0</v>
      </c>
      <c r="AG1589">
        <f>AVERAGE(Table1[[#This Row],[Range1_Low]:[Range1_High]])</f>
        <v>7.1505000000000004E-6</v>
      </c>
      <c r="AH1589">
        <v>1</v>
      </c>
    </row>
    <row r="1590" spans="1:34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tr" cm="1">
        <f t="array" ref="U1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90" t="str" cm="1">
        <f t="array" ref="V1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  <c r="AF1590">
        <f>AVERAGE(Table1[[#This Row],[Range2_Low]:[Range2_High]])</f>
        <v>0</v>
      </c>
      <c r="AG1590">
        <f>AVERAGE(Table1[[#This Row],[Range1_Low]:[Range1_High]])</f>
        <v>7.1505000000000004E-6</v>
      </c>
      <c r="AH1590">
        <v>1</v>
      </c>
    </row>
    <row r="1591" spans="1:34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tr" cm="1">
        <f t="array" ref="U1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nF</v>
      </c>
      <c r="V1591" t="str" cm="1">
        <f t="array" ref="V1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nF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  <c r="AF1591">
        <f>AVERAGE(Table1[[#This Row],[Range2_Low]:[Range2_High]])</f>
        <v>0</v>
      </c>
      <c r="AG1591">
        <f>AVERAGE(Table1[[#This Row],[Range1_Low]:[Range1_High]])</f>
        <v>7.1505000000000004E-6</v>
      </c>
      <c r="AH1591">
        <v>1</v>
      </c>
    </row>
    <row r="1592" spans="1:34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tr" cm="1">
        <f t="array" ref="U1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1592" t="str" cm="1">
        <f t="array" ref="V1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  <c r="AF1592">
        <f>AVERAGE(Table1[[#This Row],[Range2_Low]:[Range2_High]])</f>
        <v>0</v>
      </c>
      <c r="AG1592">
        <f>AVERAGE(Table1[[#This Row],[Range1_Low]:[Range1_High]])</f>
        <v>7.1505000000000004E-6</v>
      </c>
      <c r="AH1592">
        <v>1</v>
      </c>
    </row>
    <row r="1593" spans="1:34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tr" cm="1">
        <f t="array" ref="U1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3" t="str" cm="1">
        <f t="array" ref="V1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  <c r="AF1593">
        <f>AVERAGE(Table1[[#This Row],[Range2_Low]:[Range2_High]])</f>
        <v>0</v>
      </c>
      <c r="AG1593">
        <f>AVERAGE(Table1[[#This Row],[Range1_Low]:[Range1_High]])</f>
        <v>2.2000500000000001E-5</v>
      </c>
      <c r="AH1593">
        <v>1</v>
      </c>
    </row>
    <row r="1594" spans="1:34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tr" cm="1">
        <f t="array" ref="U1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4" t="str" cm="1">
        <f t="array" ref="V1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  <c r="AF1594">
        <f>AVERAGE(Table1[[#This Row],[Range2_Low]:[Range2_High]])</f>
        <v>0</v>
      </c>
      <c r="AG1594">
        <f>AVERAGE(Table1[[#This Row],[Range1_Low]:[Range1_High]])</f>
        <v>2.2000500000000001E-5</v>
      </c>
      <c r="AH1594">
        <v>1</v>
      </c>
    </row>
    <row r="1595" spans="1:34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tr" cm="1">
        <f t="array" ref="U1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nF</v>
      </c>
      <c r="V1595" t="str" cm="1">
        <f t="array" ref="V1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nF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  <c r="AF1595">
        <f>AVERAGE(Table1[[#This Row],[Range2_Low]:[Range2_High]])</f>
        <v>0</v>
      </c>
      <c r="AG1595">
        <f>AVERAGE(Table1[[#This Row],[Range1_Low]:[Range1_High]])</f>
        <v>2.2000500000000001E-5</v>
      </c>
      <c r="AH1595">
        <v>1</v>
      </c>
    </row>
    <row r="1596" spans="1:34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tr" cm="1">
        <f t="array" ref="U1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nF</v>
      </c>
      <c r="V1596" t="str" cm="1">
        <f t="array" ref="V1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nF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  <c r="AF1596">
        <f>AVERAGE(Table1[[#This Row],[Range2_Low]:[Range2_High]])</f>
        <v>0</v>
      </c>
      <c r="AG1596">
        <f>AVERAGE(Table1[[#This Row],[Range1_Low]:[Range1_High]])</f>
        <v>2.2000500000000001E-5</v>
      </c>
      <c r="AH1596">
        <v>1</v>
      </c>
    </row>
    <row r="1597" spans="1:34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tr" cm="1">
        <f t="array" ref="U1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7" t="str" cm="1">
        <f t="array" ref="V1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  <c r="AF1597">
        <f>AVERAGE(Table1[[#This Row],[Range2_Low]:[Range2_High]])</f>
        <v>0</v>
      </c>
      <c r="AG1597">
        <f>AVERAGE(Table1[[#This Row],[Range1_Low]:[Range1_High]])</f>
        <v>7.1505000000000001E-5</v>
      </c>
      <c r="AH1597">
        <v>1</v>
      </c>
    </row>
    <row r="1598" spans="1:34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tr" cm="1">
        <f t="array" ref="U1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8" t="str" cm="1">
        <f t="array" ref="V1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  <c r="AF1598">
        <f>AVERAGE(Table1[[#This Row],[Range2_Low]:[Range2_High]])</f>
        <v>0</v>
      </c>
      <c r="AG1598">
        <f>AVERAGE(Table1[[#This Row],[Range1_Low]:[Range1_High]])</f>
        <v>7.1505000000000001E-5</v>
      </c>
      <c r="AH1598">
        <v>1</v>
      </c>
    </row>
    <row r="1599" spans="1:34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tr" cm="1">
        <f t="array" ref="U1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nF</v>
      </c>
      <c r="V1599" t="str" cm="1">
        <f t="array" ref="V1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nF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  <c r="AF1599">
        <f>AVERAGE(Table1[[#This Row],[Range2_Low]:[Range2_High]])</f>
        <v>0</v>
      </c>
      <c r="AG1599">
        <f>AVERAGE(Table1[[#This Row],[Range1_Low]:[Range1_High]])</f>
        <v>7.1505000000000001E-5</v>
      </c>
      <c r="AH1599">
        <v>1</v>
      </c>
    </row>
    <row r="1600" spans="1:34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tr" cm="1">
        <f t="array" ref="U1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V1600" t="str" cm="1">
        <f t="array" ref="V1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  <c r="AF1600">
        <f>AVERAGE(Table1[[#This Row],[Range2_Low]:[Range2_High]])</f>
        <v>0</v>
      </c>
      <c r="AG1600">
        <f>AVERAGE(Table1[[#This Row],[Range1_Low]:[Range1_High]])</f>
        <v>7.1505000000000001E-5</v>
      </c>
      <c r="AH1600">
        <v>1</v>
      </c>
    </row>
    <row r="1601" spans="1:34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tr" cm="1">
        <f t="array" ref="U1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1" t="str" cm="1">
        <f t="array" ref="V1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  <c r="AF1601">
        <f>AVERAGE(Table1[[#This Row],[Range2_Low]:[Range2_High]])</f>
        <v>0</v>
      </c>
      <c r="AG1601">
        <f>AVERAGE(Table1[[#This Row],[Range1_Low]:[Range1_High]])</f>
        <v>2.2000500000000001E-4</v>
      </c>
      <c r="AH1601">
        <v>1</v>
      </c>
    </row>
    <row r="1602" spans="1:34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tr" cm="1">
        <f t="array" ref="U1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2" t="str" cm="1">
        <f t="array" ref="V1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  <c r="AF1602">
        <f>AVERAGE(Table1[[#This Row],[Range2_Low]:[Range2_High]])</f>
        <v>0</v>
      </c>
      <c r="AG1602">
        <f>AVERAGE(Table1[[#This Row],[Range1_Low]:[Range1_High]])</f>
        <v>2.2000500000000001E-4</v>
      </c>
      <c r="AH1602">
        <v>1</v>
      </c>
    </row>
    <row r="1603" spans="1:34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tr" cm="1">
        <f t="array" ref="U1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µF</v>
      </c>
      <c r="V1603" t="str" cm="1">
        <f t="array" ref="V1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µF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  <c r="AF1603">
        <f>AVERAGE(Table1[[#This Row],[Range2_Low]:[Range2_High]])</f>
        <v>0</v>
      </c>
      <c r="AG1603">
        <f>AVERAGE(Table1[[#This Row],[Range1_Low]:[Range1_High]])</f>
        <v>2.2000500000000001E-4</v>
      </c>
      <c r="AH1603">
        <v>1</v>
      </c>
    </row>
    <row r="1604" spans="1:34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tr" cm="1">
        <f t="array" ref="U1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µF</v>
      </c>
      <c r="V1604" t="str" cm="1">
        <f t="array" ref="V1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µF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  <c r="AF1604">
        <f>AVERAGE(Table1[[#This Row],[Range2_Low]:[Range2_High]])</f>
        <v>0</v>
      </c>
      <c r="AG1604">
        <f>AVERAGE(Table1[[#This Row],[Range1_Low]:[Range1_High]])</f>
        <v>2.2000500000000001E-4</v>
      </c>
      <c r="AH1604">
        <v>1</v>
      </c>
    </row>
    <row r="1605" spans="1:34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tr" cm="1">
        <f t="array" ref="U1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5" t="str" cm="1">
        <f t="array" ref="V1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  <c r="AF1605">
        <f>AVERAGE(Table1[[#This Row],[Range2_Low]:[Range2_High]])</f>
        <v>0</v>
      </c>
      <c r="AG1605">
        <f>AVERAGE(Table1[[#This Row],[Range1_Low]:[Range1_High]])</f>
        <v>7.1504999999999995E-4</v>
      </c>
      <c r="AH1605">
        <v>1</v>
      </c>
    </row>
    <row r="1606" spans="1:34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tr" cm="1">
        <f t="array" ref="U1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6" t="str" cm="1">
        <f t="array" ref="V1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  <c r="AF1606">
        <f>AVERAGE(Table1[[#This Row],[Range2_Low]:[Range2_High]])</f>
        <v>0</v>
      </c>
      <c r="AG1606">
        <f>AVERAGE(Table1[[#This Row],[Range1_Low]:[Range1_High]])</f>
        <v>7.1504999999999995E-4</v>
      </c>
      <c r="AH1606">
        <v>1</v>
      </c>
    </row>
    <row r="1607" spans="1:34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tr" cm="1">
        <f t="array" ref="U1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µF</v>
      </c>
      <c r="V1607" t="str" cm="1">
        <f t="array" ref="V1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µF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  <c r="AF1607">
        <f>AVERAGE(Table1[[#This Row],[Range2_Low]:[Range2_High]])</f>
        <v>0</v>
      </c>
      <c r="AG1607">
        <f>AVERAGE(Table1[[#This Row],[Range1_Low]:[Range1_High]])</f>
        <v>7.1504999999999995E-4</v>
      </c>
      <c r="AH1607">
        <v>1</v>
      </c>
    </row>
    <row r="1608" spans="1:34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tr" cm="1">
        <f t="array" ref="U1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V1608" t="str" cm="1">
        <f t="array" ref="V1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  <c r="AF1608">
        <f>AVERAGE(Table1[[#This Row],[Range2_Low]:[Range2_High]])</f>
        <v>0</v>
      </c>
      <c r="AG1608">
        <f>AVERAGE(Table1[[#This Row],[Range1_Low]:[Range1_High]])</f>
        <v>7.1504999999999995E-4</v>
      </c>
      <c r="AH1608">
        <v>1</v>
      </c>
    </row>
    <row r="1609" spans="1:34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tr" cm="1">
        <f t="array" ref="U1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09" t="str" cm="1">
        <f t="array" ref="V1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  <c r="AF1609">
        <f>AVERAGE(Table1[[#This Row],[Range2_Low]:[Range2_High]])</f>
        <v>0</v>
      </c>
      <c r="AG1609">
        <f>AVERAGE(Table1[[#This Row],[Range1_Low]:[Range1_High]])</f>
        <v>2.2000499999999998E-3</v>
      </c>
      <c r="AH1609">
        <v>1</v>
      </c>
    </row>
    <row r="1610" spans="1:34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tr" cm="1">
        <f t="array" ref="U1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10" t="str" cm="1">
        <f t="array" ref="V1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  <c r="AF1610">
        <f>AVERAGE(Table1[[#This Row],[Range2_Low]:[Range2_High]])</f>
        <v>0</v>
      </c>
      <c r="AG1610">
        <f>AVERAGE(Table1[[#This Row],[Range1_Low]:[Range1_High]])</f>
        <v>2.2000499999999998E-3</v>
      </c>
      <c r="AH1610">
        <v>1</v>
      </c>
    </row>
    <row r="1611" spans="1:34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tr" cm="1">
        <f t="array" ref="U1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µF</v>
      </c>
      <c r="V1611" t="str" cm="1">
        <f t="array" ref="V1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µF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  <c r="AF1611">
        <f>AVERAGE(Table1[[#This Row],[Range2_Low]:[Range2_High]])</f>
        <v>0</v>
      </c>
      <c r="AG1611">
        <f>AVERAGE(Table1[[#This Row],[Range1_Low]:[Range1_High]])</f>
        <v>2.2000499999999998E-3</v>
      </c>
      <c r="AH1611">
        <v>1</v>
      </c>
    </row>
    <row r="1612" spans="1:34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tr" cm="1">
        <f t="array" ref="U1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µF</v>
      </c>
      <c r="V1612" t="str" cm="1">
        <f t="array" ref="V1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µF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  <c r="AF1612">
        <f>AVERAGE(Table1[[#This Row],[Range2_Low]:[Range2_High]])</f>
        <v>0</v>
      </c>
      <c r="AG1612">
        <f>AVERAGE(Table1[[#This Row],[Range1_Low]:[Range1_High]])</f>
        <v>2.2000499999999998E-3</v>
      </c>
      <c r="AH1612">
        <v>1</v>
      </c>
    </row>
    <row r="1613" spans="1:34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tr" cm="1">
        <f t="array" ref="U1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3" t="str" cm="1">
        <f t="array" ref="V1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  <c r="AF1613">
        <f>AVERAGE(Table1[[#This Row],[Range2_Low]:[Range2_High]])</f>
        <v>0</v>
      </c>
      <c r="AG1613">
        <f>AVERAGE(Table1[[#This Row],[Range1_Low]:[Range1_High]])</f>
        <v>7.1505000000000006E-3</v>
      </c>
      <c r="AH1613">
        <v>1</v>
      </c>
    </row>
    <row r="1614" spans="1:34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tr" cm="1">
        <f t="array" ref="U1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4" t="str" cm="1">
        <f t="array" ref="V1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  <c r="AF1614">
        <f>AVERAGE(Table1[[#This Row],[Range2_Low]:[Range2_High]])</f>
        <v>0</v>
      </c>
      <c r="AG1614">
        <f>AVERAGE(Table1[[#This Row],[Range1_Low]:[Range1_High]])</f>
        <v>7.1505000000000006E-3</v>
      </c>
      <c r="AH1614">
        <v>1</v>
      </c>
    </row>
    <row r="1615" spans="1:34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tr" cm="1">
        <f t="array" ref="U1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µF</v>
      </c>
      <c r="V1615" t="str" cm="1">
        <f t="array" ref="V1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µF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  <c r="AF1615">
        <f>AVERAGE(Table1[[#This Row],[Range2_Low]:[Range2_High]])</f>
        <v>0</v>
      </c>
      <c r="AG1615">
        <f>AVERAGE(Table1[[#This Row],[Range1_Low]:[Range1_High]])</f>
        <v>7.1505000000000006E-3</v>
      </c>
      <c r="AH1615">
        <v>1</v>
      </c>
    </row>
    <row r="1616" spans="1:34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tr" cm="1">
        <f t="array" ref="U1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V1616" t="str" cm="1">
        <f t="array" ref="V1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  <c r="AF1616">
        <f>AVERAGE(Table1[[#This Row],[Range2_Low]:[Range2_High]])</f>
        <v>0</v>
      </c>
      <c r="AG1616">
        <f>AVERAGE(Table1[[#This Row],[Range1_Low]:[Range1_High]])</f>
        <v>7.1505000000000006E-3</v>
      </c>
      <c r="AH1616">
        <v>1</v>
      </c>
    </row>
    <row r="1617" spans="1:34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tr" cm="1">
        <f t="array" ref="U1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7" t="str" cm="1">
        <f t="array" ref="V1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  <c r="AF1617">
        <f>AVERAGE(Table1[[#This Row],[Range2_Low]:[Range2_High]])</f>
        <v>0</v>
      </c>
      <c r="AG1617">
        <f>AVERAGE(Table1[[#This Row],[Range1_Low]:[Range1_High]])</f>
        <v>2.2000499999999999E-2</v>
      </c>
      <c r="AH1617">
        <v>1</v>
      </c>
    </row>
    <row r="1618" spans="1:34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tr" cm="1">
        <f t="array" ref="U1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8" t="str" cm="1">
        <f t="array" ref="V1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  <c r="AF1618">
        <f>AVERAGE(Table1[[#This Row],[Range2_Low]:[Range2_High]])</f>
        <v>0</v>
      </c>
      <c r="AG1618">
        <f>AVERAGE(Table1[[#This Row],[Range1_Low]:[Range1_High]])</f>
        <v>2.2000499999999999E-2</v>
      </c>
      <c r="AH1618">
        <v>1</v>
      </c>
    </row>
    <row r="1619" spans="1:34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tr" cm="1">
        <f t="array" ref="U1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µF</v>
      </c>
      <c r="V1619" t="str" cm="1">
        <f t="array" ref="V1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µF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  <c r="AF1619">
        <f>AVERAGE(Table1[[#This Row],[Range2_Low]:[Range2_High]])</f>
        <v>0</v>
      </c>
      <c r="AG1619">
        <f>AVERAGE(Table1[[#This Row],[Range1_Low]:[Range1_High]])</f>
        <v>2.2000499999999999E-2</v>
      </c>
      <c r="AH1619">
        <v>1</v>
      </c>
    </row>
    <row r="1620" spans="1:34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tr" cm="1">
        <f t="array" ref="U1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µF</v>
      </c>
      <c r="V1620" t="str" cm="1">
        <f t="array" ref="V1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µF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  <c r="AF1620">
        <f>AVERAGE(Table1[[#This Row],[Range2_Low]:[Range2_High]])</f>
        <v>0</v>
      </c>
      <c r="AG1620">
        <f>AVERAGE(Table1[[#This Row],[Range1_Low]:[Range1_High]])</f>
        <v>2.2000499999999999E-2</v>
      </c>
      <c r="AH1620">
        <v>1</v>
      </c>
    </row>
    <row r="1621" spans="1:34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tr" cm="1">
        <f t="array" ref="U1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1" t="str" cm="1">
        <f t="array" ref="V1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  <c r="AF1621">
        <f>AVERAGE(Table1[[#This Row],[Range2_Low]:[Range2_High]])</f>
        <v>0</v>
      </c>
      <c r="AG1621">
        <f>AVERAGE(Table1[[#This Row],[Range1_Low]:[Range1_High]])</f>
        <v>7.1504999999999999E-2</v>
      </c>
      <c r="AH1621">
        <v>1</v>
      </c>
    </row>
    <row r="1622" spans="1:34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tr" cm="1">
        <f t="array" ref="U1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2" t="str" cm="1">
        <f t="array" ref="V1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  <c r="AF1622">
        <f>AVERAGE(Table1[[#This Row],[Range2_Low]:[Range2_High]])</f>
        <v>0</v>
      </c>
      <c r="AG1622">
        <f>AVERAGE(Table1[[#This Row],[Range1_Low]:[Range1_High]])</f>
        <v>7.1504999999999999E-2</v>
      </c>
      <c r="AH1622">
        <v>1</v>
      </c>
    </row>
    <row r="1623" spans="1:34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tr" cm="1">
        <f t="array" ref="U1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µF*</v>
      </c>
      <c r="V1623" t="str" cm="1">
        <f t="array" ref="V1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µF*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  <c r="AF1623">
        <f>AVERAGE(Table1[[#This Row],[Range2_Low]:[Range2_High]])</f>
        <v>0</v>
      </c>
      <c r="AG1623">
        <f>AVERAGE(Table1[[#This Row],[Range1_Low]:[Range1_High]])</f>
        <v>7.1504999999999999E-2</v>
      </c>
      <c r="AH1623">
        <v>1</v>
      </c>
    </row>
    <row r="1624" spans="1:34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tr" cm="1">
        <f t="array" ref="U1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V1624" t="str" cm="1">
        <f t="array" ref="V1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  <c r="AF1624">
        <f>AVERAGE(Table1[[#This Row],[Range2_Low]:[Range2_High]])</f>
        <v>0</v>
      </c>
      <c r="AG1624">
        <f>AVERAGE(Table1[[#This Row],[Range1_Low]:[Range1_High]])</f>
        <v>7.1504999999999999E-2</v>
      </c>
      <c r="AH1624">
        <v>1</v>
      </c>
    </row>
    <row r="1625" spans="1:34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tr" cm="1">
        <f t="array" ref="U1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5" t="str" cm="1">
        <f t="array" ref="V1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  <c r="AF1625">
        <f>AVERAGE(Table1[[#This Row],[Range2_Low]:[Range2_High]])</f>
        <v>0</v>
      </c>
      <c r="AG1625">
        <f>AVERAGE(Table1[[#This Row],[Range1_Low]:[Range1_High]])</f>
        <v>0.11005000000000001</v>
      </c>
      <c r="AH1625">
        <v>1</v>
      </c>
    </row>
    <row r="1626" spans="1:34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tr" cm="1">
        <f t="array" ref="U1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6" t="str" cm="1">
        <f t="array" ref="V1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  <c r="AF1626">
        <f>AVERAGE(Table1[[#This Row],[Range2_Low]:[Range2_High]])</f>
        <v>0</v>
      </c>
      <c r="AG1626">
        <f>AVERAGE(Table1[[#This Row],[Range1_Low]:[Range1_High]])</f>
        <v>0.11005000000000001</v>
      </c>
      <c r="AH1626">
        <v>1</v>
      </c>
    </row>
    <row r="1627" spans="1:34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tr" cm="1">
        <f t="array" ref="U1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7" t="str" cm="1">
        <f t="array" ref="V1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  <c r="AF1627">
        <f>AVERAGE(Table1[[#This Row],[Range2_Low]:[Range2_High]])</f>
        <v>0</v>
      </c>
      <c r="AG1627">
        <f>AVERAGE(Table1[[#This Row],[Range1_Low]:[Range1_High]])</f>
        <v>0.11005000000000001</v>
      </c>
      <c r="AH1627">
        <v>1</v>
      </c>
    </row>
    <row r="1628" spans="1:34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tr" cm="1">
        <f t="array" ref="U1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V1628" t="str" cm="1">
        <f t="array" ref="V1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  <c r="AF1628">
        <f>AVERAGE(Table1[[#This Row],[Range2_Low]:[Range2_High]])</f>
        <v>0</v>
      </c>
      <c r="AG1628">
        <f>AVERAGE(Table1[[#This Row],[Range1_Low]:[Range1_High]])</f>
        <v>0.11005000000000001</v>
      </c>
      <c r="AH1628">
        <v>1</v>
      </c>
    </row>
    <row r="1629" spans="1:34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tr" cm="1">
        <f t="array" ref="U1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29" t="str" cm="1">
        <f t="array" ref="V1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  <c r="AF1629">
        <f>AVERAGE(Table1[[#This Row],[Range2_Low]:[Range2_High]])</f>
        <v>0</v>
      </c>
      <c r="AG1629">
        <f>AVERAGE(Table1[[#This Row],[Range1_Low]:[Range1_High]])</f>
        <v>5.4500499999999996E-6</v>
      </c>
      <c r="AH1629">
        <v>1</v>
      </c>
    </row>
    <row r="1630" spans="1:34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tr" cm="1">
        <f t="array" ref="U1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30" t="str" cm="1">
        <f t="array" ref="V1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  <c r="AF1630">
        <f>AVERAGE(Table1[[#This Row],[Range2_Low]:[Range2_High]])</f>
        <v>0</v>
      </c>
      <c r="AG1630">
        <f>AVERAGE(Table1[[#This Row],[Range1_Low]:[Range1_High]])</f>
        <v>5.4500499999999996E-6</v>
      </c>
      <c r="AH1630">
        <v>1</v>
      </c>
    </row>
    <row r="1631" spans="1:34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tr" cm="1">
        <f t="array" ref="U1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WAC</v>
      </c>
      <c r="V1631" t="str" cm="1">
        <f t="array" ref="V1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0.00000044 WAC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  <c r="AF1631">
        <f>AVERAGE(Table1[[#This Row],[Range2_Low]:[Range2_High]])</f>
        <v>0</v>
      </c>
      <c r="AG1631">
        <f>AVERAGE(Table1[[#This Row],[Range1_Low]:[Range1_High]])</f>
        <v>5.4500499999999996E-6</v>
      </c>
      <c r="AH1631">
        <v>1</v>
      </c>
    </row>
    <row r="1632" spans="1:34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tr" cm="1">
        <f t="array" ref="U1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2" t="str" cm="1">
        <f t="array" ref="V1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  <c r="AF1632">
        <f>AVERAGE(Table1[[#This Row],[Range2_Low]:[Range2_High]])</f>
        <v>0</v>
      </c>
      <c r="AG1632">
        <f>AVERAGE(Table1[[#This Row],[Range1_Low]:[Range1_High]])</f>
        <v>5.4500499999999996E-6</v>
      </c>
      <c r="AH1632">
        <v>1</v>
      </c>
    </row>
    <row r="1633" spans="1:34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tr" cm="1">
        <f t="array" ref="U1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3" t="str" cm="1">
        <f t="array" ref="V1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  <c r="AF1633">
        <f>AVERAGE(Table1[[#This Row],[Range2_Low]:[Range2_High]])</f>
        <v>0</v>
      </c>
      <c r="AG1633">
        <f>AVERAGE(Table1[[#This Row],[Range1_Low]:[Range1_High]])</f>
        <v>5.4500499999999996E-6</v>
      </c>
      <c r="AH1633">
        <v>1</v>
      </c>
    </row>
    <row r="1634" spans="1:34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tr" cm="1">
        <f t="array" ref="U1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4" t="str" cm="1">
        <f t="array" ref="V1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  <c r="AF1634">
        <f>AVERAGE(Table1[[#This Row],[Range2_Low]:[Range2_High]])</f>
        <v>0</v>
      </c>
      <c r="AG1634">
        <f>AVERAGE(Table1[[#This Row],[Range1_Low]:[Range1_High]])</f>
        <v>5.9950000000000007E-5</v>
      </c>
      <c r="AH1634">
        <v>1</v>
      </c>
    </row>
    <row r="1635" spans="1:34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tr" cm="1">
        <f t="array" ref="U1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5" t="str" cm="1">
        <f t="array" ref="V1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  <c r="AF1635">
        <f>AVERAGE(Table1[[#This Row],[Range2_Low]:[Range2_High]])</f>
        <v>0</v>
      </c>
      <c r="AG1635">
        <f>AVERAGE(Table1[[#This Row],[Range1_Low]:[Range1_High]])</f>
        <v>5.9950000000000007E-5</v>
      </c>
      <c r="AH1635">
        <v>1</v>
      </c>
    </row>
    <row r="1636" spans="1:34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tr" cm="1">
        <f t="array" ref="U1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0.00000026 WAC</v>
      </c>
      <c r="V1636" t="str" cm="1">
        <f t="array" ref="V1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0.00000045 WAC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  <c r="AF1636">
        <f>AVERAGE(Table1[[#This Row],[Range2_Low]:[Range2_High]])</f>
        <v>0</v>
      </c>
      <c r="AG1636">
        <f>AVERAGE(Table1[[#This Row],[Range1_Low]:[Range1_High]])</f>
        <v>5.9950000000000007E-5</v>
      </c>
      <c r="AH1636">
        <v>1</v>
      </c>
    </row>
    <row r="1637" spans="1:34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tr" cm="1">
        <f t="array" ref="U1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7" t="str" cm="1">
        <f t="array" ref="V1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  <c r="AF1637">
        <f>AVERAGE(Table1[[#This Row],[Range2_Low]:[Range2_High]])</f>
        <v>0</v>
      </c>
      <c r="AG1637">
        <f>AVERAGE(Table1[[#This Row],[Range1_Low]:[Range1_High]])</f>
        <v>5.9950000000000007E-5</v>
      </c>
      <c r="AH1637">
        <v>1</v>
      </c>
    </row>
    <row r="1638" spans="1:34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tr" cm="1">
        <f t="array" ref="U1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8" t="str" cm="1">
        <f t="array" ref="V1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  <c r="AF1638">
        <f>AVERAGE(Table1[[#This Row],[Range2_Low]:[Range2_High]])</f>
        <v>0</v>
      </c>
      <c r="AG1638">
        <f>AVERAGE(Table1[[#This Row],[Range1_Low]:[Range1_High]])</f>
        <v>5.9950000000000007E-5</v>
      </c>
      <c r="AH1638">
        <v>1</v>
      </c>
    </row>
    <row r="1639" spans="1:34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tr" cm="1">
        <f t="array" ref="U1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39" t="str" cm="1">
        <f t="array" ref="V1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  <c r="AF1639">
        <f>AVERAGE(Table1[[#This Row],[Range2_Low]:[Range2_High]])</f>
        <v>0</v>
      </c>
      <c r="AG1639">
        <f>AVERAGE(Table1[[#This Row],[Range1_Low]:[Range1_High]])</f>
        <v>5.9955000000000002E-4</v>
      </c>
      <c r="AH1639">
        <v>1</v>
      </c>
    </row>
    <row r="1640" spans="1:34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tr" cm="1">
        <f t="array" ref="U1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40" t="str" cm="1">
        <f t="array" ref="V1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  <c r="AF1640">
        <f>AVERAGE(Table1[[#This Row],[Range2_Low]:[Range2_High]])</f>
        <v>0</v>
      </c>
      <c r="AG1640">
        <f>AVERAGE(Table1[[#This Row],[Range1_Low]:[Range1_High]])</f>
        <v>5.9955000000000002E-4</v>
      </c>
      <c r="AH1640">
        <v>1</v>
      </c>
    </row>
    <row r="1641" spans="1:34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tr" cm="1">
        <f t="array" ref="U1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0.0000024 WAC</v>
      </c>
      <c r="V1641" t="str" cm="1">
        <f t="array" ref="V1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WAC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  <c r="AF1641">
        <f>AVERAGE(Table1[[#This Row],[Range2_Low]:[Range2_High]])</f>
        <v>0</v>
      </c>
      <c r="AG1641">
        <f>AVERAGE(Table1[[#This Row],[Range1_Low]:[Range1_High]])</f>
        <v>5.9955000000000002E-4</v>
      </c>
      <c r="AH1641">
        <v>1</v>
      </c>
    </row>
    <row r="1642" spans="1:34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tr" cm="1">
        <f t="array" ref="U1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42" t="str" cm="1">
        <f t="array" ref="V1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  <c r="AF1642">
        <f>AVERAGE(Table1[[#This Row],[Range2_Low]:[Range2_High]])</f>
        <v>0</v>
      </c>
      <c r="AG1642">
        <f>AVERAGE(Table1[[#This Row],[Range1_Low]:[Range1_High]])</f>
        <v>5.9955000000000002E-4</v>
      </c>
      <c r="AH1642">
        <v>1</v>
      </c>
    </row>
    <row r="1643" spans="1:34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tr" cm="1">
        <f t="array" ref="U1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3" t="str" cm="1">
        <f t="array" ref="V1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  <c r="AF1643">
        <f>AVERAGE(Table1[[#This Row],[Range2_Low]:[Range2_High]])</f>
        <v>0</v>
      </c>
      <c r="AG1643">
        <f>AVERAGE(Table1[[#This Row],[Range1_Low]:[Range1_High]])</f>
        <v>5.9955000000000002E-4</v>
      </c>
      <c r="AH1643">
        <v>1</v>
      </c>
    </row>
    <row r="1644" spans="1:34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tr" cm="1">
        <f t="array" ref="U1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0.0000057 WAC</v>
      </c>
      <c r="V1644" t="str" cm="1">
        <f t="array" ref="V1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0.0000099 WAC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  <c r="AF1644">
        <f>AVERAGE(Table1[[#This Row],[Range2_Low]:[Range2_High]])</f>
        <v>0</v>
      </c>
      <c r="AG1644">
        <f>AVERAGE(Table1[[#This Row],[Range1_Low]:[Range1_High]])</f>
        <v>5.99505E-3</v>
      </c>
      <c r="AH1644">
        <v>1</v>
      </c>
    </row>
    <row r="1645" spans="1:34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tr" cm="1">
        <f t="array" ref="U1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0.0000059 WAC</v>
      </c>
      <c r="V1645" t="str" cm="1">
        <f t="array" ref="V1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 WAC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  <c r="AF1645">
        <f>AVERAGE(Table1[[#This Row],[Range2_Low]:[Range2_High]])</f>
        <v>0</v>
      </c>
      <c r="AG1645">
        <f>AVERAGE(Table1[[#This Row],[Range1_Low]:[Range1_High]])</f>
        <v>5.99505E-3</v>
      </c>
      <c r="AH1645">
        <v>1</v>
      </c>
    </row>
    <row r="1646" spans="1:34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tr" cm="1">
        <f t="array" ref="U1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0.000024 WAC</v>
      </c>
      <c r="V1646" t="str" cm="1">
        <f t="array" ref="V1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WAC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  <c r="AF1646">
        <f>AVERAGE(Table1[[#This Row],[Range2_Low]:[Range2_High]])</f>
        <v>0</v>
      </c>
      <c r="AG1646">
        <f>AVERAGE(Table1[[#This Row],[Range1_Low]:[Range1_High]])</f>
        <v>5.99505E-3</v>
      </c>
      <c r="AH1646">
        <v>1</v>
      </c>
    </row>
    <row r="1647" spans="1:34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tr" cm="1">
        <f t="array" ref="U1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7" t="str" cm="1">
        <f t="array" ref="V1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  <c r="AF1647">
        <f>AVERAGE(Table1[[#This Row],[Range2_Low]:[Range2_High]])</f>
        <v>0</v>
      </c>
      <c r="AG1647">
        <f>AVERAGE(Table1[[#This Row],[Range1_Low]:[Range1_High]])</f>
        <v>5.99505E-3</v>
      </c>
      <c r="AH1647">
        <v>1</v>
      </c>
    </row>
    <row r="1648" spans="1:34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tr" cm="1">
        <f t="array" ref="U1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48" t="str" cm="1">
        <f t="array" ref="V1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  <c r="AF1648">
        <f>AVERAGE(Table1[[#This Row],[Range2_Low]:[Range2_High]])</f>
        <v>0</v>
      </c>
      <c r="AG1648">
        <f>AVERAGE(Table1[[#This Row],[Range1_Low]:[Range1_High]])</f>
        <v>5.99505E-3</v>
      </c>
      <c r="AH1648">
        <v>1</v>
      </c>
    </row>
    <row r="1649" spans="1:34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tr" cm="1">
        <f t="array" ref="U1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0.000034 WAC</v>
      </c>
      <c r="V1649" t="str" cm="1">
        <f t="array" ref="V1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0.000059 WAC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  <c r="AF1649">
        <f>AVERAGE(Table1[[#This Row],[Range2_Low]:[Range2_High]])</f>
        <v>0</v>
      </c>
      <c r="AG1649">
        <f>AVERAGE(Table1[[#This Row],[Range1_Low]:[Range1_High]])</f>
        <v>5.9950050000000005E-2</v>
      </c>
      <c r="AH1649">
        <v>1</v>
      </c>
    </row>
    <row r="1650" spans="1:34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tr" cm="1">
        <f t="array" ref="U1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V1650" t="str" cm="1">
        <f t="array" ref="V1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0.000072 WAC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  <c r="AF1650">
        <f>AVERAGE(Table1[[#This Row],[Range2_Low]:[Range2_High]])</f>
        <v>0</v>
      </c>
      <c r="AG1650">
        <f>AVERAGE(Table1[[#This Row],[Range1_Low]:[Range1_High]])</f>
        <v>5.9950050000000005E-2</v>
      </c>
      <c r="AH1650">
        <v>1</v>
      </c>
    </row>
    <row r="1651" spans="1:34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tr" cm="1">
        <f t="array" ref="U1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0.00024 WAC</v>
      </c>
      <c r="V1651" t="str" cm="1">
        <f t="array" ref="V1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  <c r="AF1651">
        <f>AVERAGE(Table1[[#This Row],[Range2_Low]:[Range2_High]])</f>
        <v>0</v>
      </c>
      <c r="AG1651">
        <f>AVERAGE(Table1[[#This Row],[Range1_Low]:[Range1_High]])</f>
        <v>5.9950050000000005E-2</v>
      </c>
      <c r="AH1651">
        <v>1</v>
      </c>
    </row>
    <row r="1652" spans="1:34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tr" cm="1">
        <f t="array" ref="U1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52" t="str" cm="1">
        <f t="array" ref="V1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  <c r="AF1652">
        <f>AVERAGE(Table1[[#This Row],[Range2_Low]:[Range2_High]])</f>
        <v>0</v>
      </c>
      <c r="AG1652">
        <f>AVERAGE(Table1[[#This Row],[Range1_Low]:[Range1_High]])</f>
        <v>5.9950050000000005E-2</v>
      </c>
      <c r="AH1652">
        <v>1</v>
      </c>
    </row>
    <row r="1653" spans="1:34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tr" cm="1">
        <f t="array" ref="U1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3" t="str" cm="1">
        <f t="array" ref="V1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  <c r="AF1653">
        <f>AVERAGE(Table1[[#This Row],[Range2_Low]:[Range2_High]])</f>
        <v>0</v>
      </c>
      <c r="AG1653">
        <f>AVERAGE(Table1[[#This Row],[Range1_Low]:[Range1_High]])</f>
        <v>5.9950050000000005E-2</v>
      </c>
      <c r="AH1653">
        <v>1</v>
      </c>
    </row>
    <row r="1654" spans="1:34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tr" cm="1">
        <f t="array" ref="U1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0.00034 WAC</v>
      </c>
      <c r="V1654" t="str" cm="1">
        <f t="array" ref="V1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0.00059 WAC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  <c r="AF1654">
        <f>AVERAGE(Table1[[#This Row],[Range2_Low]:[Range2_High]])</f>
        <v>0</v>
      </c>
      <c r="AG1654">
        <f>AVERAGE(Table1[[#This Row],[Range1_Low]:[Range1_High]])</f>
        <v>0.59955000000000003</v>
      </c>
      <c r="AH1654">
        <v>1</v>
      </c>
    </row>
    <row r="1655" spans="1:34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tr" cm="1">
        <f t="array" ref="U1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V1655" t="str" cm="1">
        <f t="array" ref="V1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0.00072 WAC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  <c r="AF1655">
        <f>AVERAGE(Table1[[#This Row],[Range2_Low]:[Range2_High]])</f>
        <v>0</v>
      </c>
      <c r="AG1655">
        <f>AVERAGE(Table1[[#This Row],[Range1_Low]:[Range1_High]])</f>
        <v>0.59955000000000003</v>
      </c>
      <c r="AH1655">
        <v>1</v>
      </c>
    </row>
    <row r="1656" spans="1:34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tr" cm="1">
        <f t="array" ref="U1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0.0024 WAC</v>
      </c>
      <c r="V1656" t="str" cm="1">
        <f t="array" ref="V1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WAC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  <c r="AF1656">
        <f>AVERAGE(Table1[[#This Row],[Range2_Low]:[Range2_High]])</f>
        <v>0</v>
      </c>
      <c r="AG1656">
        <f>AVERAGE(Table1[[#This Row],[Range1_Low]:[Range1_High]])</f>
        <v>0.59955000000000003</v>
      </c>
      <c r="AH1656">
        <v>1</v>
      </c>
    </row>
    <row r="1657" spans="1:34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tr" cm="1">
        <f t="array" ref="U1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7" t="str" cm="1">
        <f t="array" ref="V1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  <c r="AF1657">
        <f>AVERAGE(Table1[[#This Row],[Range2_Low]:[Range2_High]])</f>
        <v>0</v>
      </c>
      <c r="AG1657">
        <f>AVERAGE(Table1[[#This Row],[Range1_Low]:[Range1_High]])</f>
        <v>0.59955000000000003</v>
      </c>
      <c r="AH1657">
        <v>1</v>
      </c>
    </row>
    <row r="1658" spans="1:34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tr" cm="1">
        <f t="array" ref="U1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58" t="str" cm="1">
        <f t="array" ref="V1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  <c r="AF1658">
        <f>AVERAGE(Table1[[#This Row],[Range2_Low]:[Range2_High]])</f>
        <v>0</v>
      </c>
      <c r="AG1658">
        <f>AVERAGE(Table1[[#This Row],[Range1_Low]:[Range1_High]])</f>
        <v>0.59955000000000003</v>
      </c>
      <c r="AH1658">
        <v>1</v>
      </c>
    </row>
    <row r="1659" spans="1:34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tr" cm="1">
        <f t="array" ref="U1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0.0057 WAC</v>
      </c>
      <c r="V1659" t="str" cm="1">
        <f t="array" ref="V1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0.0099 WAC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  <c r="AF1659">
        <f>AVERAGE(Table1[[#This Row],[Range2_Low]:[Range2_High]])</f>
        <v>0</v>
      </c>
      <c r="AG1659">
        <f>AVERAGE(Table1[[#This Row],[Range1_Low]:[Range1_High]])</f>
        <v>5.99505</v>
      </c>
      <c r="AH1659">
        <v>1</v>
      </c>
    </row>
    <row r="1660" spans="1:34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tr" cm="1">
        <f t="array" ref="U1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WAC</v>
      </c>
      <c r="V1660" t="str" cm="1">
        <f t="array" ref="V1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WAC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  <c r="AF1660">
        <f>AVERAGE(Table1[[#This Row],[Range2_Low]:[Range2_High]])</f>
        <v>0</v>
      </c>
      <c r="AG1660">
        <f>AVERAGE(Table1[[#This Row],[Range1_Low]:[Range1_High]])</f>
        <v>5.99505</v>
      </c>
      <c r="AH1660">
        <v>1</v>
      </c>
    </row>
    <row r="1661" spans="1:34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tr" cm="1">
        <f t="array" ref="U1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0.024 WAC</v>
      </c>
      <c r="V1661" t="str" cm="1">
        <f t="array" ref="V1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0.042 WAC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  <c r="AF1661">
        <f>AVERAGE(Table1[[#This Row],[Range2_Low]:[Range2_High]])</f>
        <v>0</v>
      </c>
      <c r="AG1661">
        <f>AVERAGE(Table1[[#This Row],[Range1_Low]:[Range1_High]])</f>
        <v>5.99505</v>
      </c>
      <c r="AH1661">
        <v>1</v>
      </c>
    </row>
    <row r="1662" spans="1:34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tr" cm="1">
        <f t="array" ref="U1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2" t="str" cm="1">
        <f t="array" ref="V1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  <c r="AF1662">
        <f>AVERAGE(Table1[[#This Row],[Range2_Low]:[Range2_High]])</f>
        <v>0</v>
      </c>
      <c r="AG1662">
        <f>AVERAGE(Table1[[#This Row],[Range1_Low]:[Range1_High]])</f>
        <v>5.99505</v>
      </c>
      <c r="AH1662">
        <v>1</v>
      </c>
    </row>
    <row r="1663" spans="1:34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tr" cm="1">
        <f t="array" ref="U1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3" t="str" cm="1">
        <f t="array" ref="V1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  <c r="AF1663">
        <f>AVERAGE(Table1[[#This Row],[Range2_Low]:[Range2_High]])</f>
        <v>0</v>
      </c>
      <c r="AG1663">
        <f>AVERAGE(Table1[[#This Row],[Range1_Low]:[Range1_High]])</f>
        <v>5.99505</v>
      </c>
      <c r="AH1663">
        <v>1</v>
      </c>
    </row>
    <row r="1664" spans="1:34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tr" cm="1">
        <f t="array" ref="U1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WAC</v>
      </c>
      <c r="V1664" t="str" cm="1">
        <f t="array" ref="V1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WAC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  <c r="AF1664">
        <f>AVERAGE(Table1[[#This Row],[Range2_Low]:[Range2_High]])</f>
        <v>0</v>
      </c>
      <c r="AG1664">
        <f>AVERAGE(Table1[[#This Row],[Range1_Low]:[Range1_High]])</f>
        <v>59.950050000000005</v>
      </c>
      <c r="AH1664">
        <v>1</v>
      </c>
    </row>
    <row r="1665" spans="1:34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tr" cm="1">
        <f t="array" ref="U1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0.045 WAC</v>
      </c>
      <c r="V1665" t="str" cm="1">
        <f t="array" ref="V1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0.078 WAC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  <c r="AF1665">
        <f>AVERAGE(Table1[[#This Row],[Range2_Low]:[Range2_High]])</f>
        <v>0</v>
      </c>
      <c r="AG1665">
        <f>AVERAGE(Table1[[#This Row],[Range1_Low]:[Range1_High]])</f>
        <v>59.950050000000005</v>
      </c>
      <c r="AH1665">
        <v>1</v>
      </c>
    </row>
    <row r="1666" spans="1:34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tr" cm="1">
        <f t="array" ref="U1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WAC</v>
      </c>
      <c r="V1666" t="str" cm="1">
        <f t="array" ref="V1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WAC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  <c r="AF1666">
        <f>AVERAGE(Table1[[#This Row],[Range2_Low]:[Range2_High]])</f>
        <v>0</v>
      </c>
      <c r="AG1666">
        <f>AVERAGE(Table1[[#This Row],[Range1_Low]:[Range1_High]])</f>
        <v>59.950050000000005</v>
      </c>
      <c r="AH1666">
        <v>1</v>
      </c>
    </row>
    <row r="1667" spans="1:34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tr" cm="1">
        <f t="array" ref="U1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7" t="str" cm="1">
        <f t="array" ref="V1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  <c r="AF1667">
        <f>AVERAGE(Table1[[#This Row],[Range2_Low]:[Range2_High]])</f>
        <v>0</v>
      </c>
      <c r="AG1667">
        <f>AVERAGE(Table1[[#This Row],[Range1_Low]:[Range1_High]])</f>
        <v>59.950050000000005</v>
      </c>
      <c r="AH1667">
        <v>1</v>
      </c>
    </row>
    <row r="1668" spans="1:34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tr" cm="1">
        <f t="array" ref="U1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WAC</v>
      </c>
      <c r="V1668" t="str" cm="1">
        <f t="array" ref="V1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WAC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  <c r="AF1668">
        <f>AVERAGE(Table1[[#This Row],[Range2_Low]:[Range2_High]])</f>
        <v>0</v>
      </c>
      <c r="AG1668">
        <f>AVERAGE(Table1[[#This Row],[Range1_Low]:[Range1_High]])</f>
        <v>59.950050000000005</v>
      </c>
      <c r="AH1668">
        <v>1</v>
      </c>
    </row>
    <row r="1669" spans="1:34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tr" cm="1">
        <f t="array" ref="U1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9" t="str" cm="1">
        <f t="array" ref="V1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  <c r="AF1669">
        <f>AVERAGE(Table1[[#This Row],[Range2_Low]:[Range2_High]])</f>
        <v>0</v>
      </c>
      <c r="AG1669">
        <f>AVERAGE(Table1[[#This Row],[Range1_Low]:[Range1_High]])</f>
        <v>236.00004999999999</v>
      </c>
      <c r="AH1669">
        <v>1</v>
      </c>
    </row>
    <row r="1670" spans="1:34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tr" cm="1">
        <f t="array" ref="U1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70" t="str" cm="1">
        <f t="array" ref="V1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  <c r="AF1670">
        <f>AVERAGE(Table1[[#This Row],[Range2_Low]:[Range2_High]])</f>
        <v>0</v>
      </c>
      <c r="AG1670">
        <f>AVERAGE(Table1[[#This Row],[Range1_Low]:[Range1_High]])</f>
        <v>236.00004999999999</v>
      </c>
      <c r="AH1670">
        <v>1</v>
      </c>
    </row>
    <row r="1671" spans="1:34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tr" cm="1">
        <f t="array" ref="U1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WAC</v>
      </c>
      <c r="V1671" t="str" cm="1">
        <f t="array" ref="V1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  <c r="AF1671">
        <f>AVERAGE(Table1[[#This Row],[Range2_Low]:[Range2_High]])</f>
        <v>0</v>
      </c>
      <c r="AG1671">
        <f>AVERAGE(Table1[[#This Row],[Range1_Low]:[Range1_High]])</f>
        <v>236.00004999999999</v>
      </c>
      <c r="AH1671">
        <v>1</v>
      </c>
    </row>
    <row r="1672" spans="1:34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tr" cm="1">
        <f t="array" ref="U1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WAC</v>
      </c>
      <c r="V1672" t="str" cm="1">
        <f t="array" ref="V1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WAC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  <c r="AF1672">
        <f>AVERAGE(Table1[[#This Row],[Range2_Low]:[Range2_High]])</f>
        <v>0</v>
      </c>
      <c r="AG1672">
        <f>AVERAGE(Table1[[#This Row],[Range1_Low]:[Range1_High]])</f>
        <v>236.00004999999999</v>
      </c>
      <c r="AH1672">
        <v>1</v>
      </c>
    </row>
    <row r="1673" spans="1:34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tr" cm="1">
        <f t="array" ref="U1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3" t="str" cm="1">
        <f t="array" ref="V1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WAC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  <c r="AF1673">
        <f>AVERAGE(Table1[[#This Row],[Range2_Low]:[Range2_High]])</f>
        <v>0</v>
      </c>
      <c r="AG1673">
        <f>AVERAGE(Table1[[#This Row],[Range1_Low]:[Range1_High]])</f>
        <v>676.50004999999999</v>
      </c>
      <c r="AH1673">
        <v>1</v>
      </c>
    </row>
    <row r="1674" spans="1:34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tr" cm="1">
        <f t="array" ref="U1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4" t="str" cm="1">
        <f t="array" ref="V1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WAC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  <c r="AF1674">
        <f>AVERAGE(Table1[[#This Row],[Range2_Low]:[Range2_High]])</f>
        <v>0</v>
      </c>
      <c r="AG1674">
        <f>AVERAGE(Table1[[#This Row],[Range1_Low]:[Range1_High]])</f>
        <v>676.50004999999999</v>
      </c>
      <c r="AH1674">
        <v>1</v>
      </c>
    </row>
    <row r="1675" spans="1:34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tr" cm="1">
        <f t="array" ref="U1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WAC</v>
      </c>
      <c r="V1675" t="str" cm="1">
        <f t="array" ref="V1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  <c r="AF1675">
        <f>AVERAGE(Table1[[#This Row],[Range2_Low]:[Range2_High]])</f>
        <v>0</v>
      </c>
      <c r="AG1675">
        <f>AVERAGE(Table1[[#This Row],[Range1_Low]:[Range1_High]])</f>
        <v>676.50004999999999</v>
      </c>
      <c r="AH1675">
        <v>1</v>
      </c>
    </row>
    <row r="1676" spans="1:34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tr" cm="1">
        <f t="array" ref="U1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WAC</v>
      </c>
      <c r="V1676" t="str" cm="1">
        <f t="array" ref="V1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  <c r="AF1676">
        <f>AVERAGE(Table1[[#This Row],[Range2_Low]:[Range2_High]])</f>
        <v>0</v>
      </c>
      <c r="AG1676">
        <f>AVERAGE(Table1[[#This Row],[Range1_Low]:[Range1_High]])</f>
        <v>676.50004999999999</v>
      </c>
      <c r="AH1676">
        <v>1</v>
      </c>
    </row>
    <row r="1677" spans="1:34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tr" cm="1">
        <f t="array" ref="U1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WAC</v>
      </c>
      <c r="V1677" t="str" cm="1">
        <f t="array" ref="V1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  <c r="AF1677">
        <f>AVERAGE(Table1[[#This Row],[Range2_Low]:[Range2_High]])</f>
        <v>0</v>
      </c>
      <c r="AG1677">
        <f>AVERAGE(Table1[[#This Row],[Range1_Low]:[Range1_High]])</f>
        <v>676.50004999999999</v>
      </c>
      <c r="AH1677">
        <v>1</v>
      </c>
    </row>
    <row r="1678" spans="1:34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tr" cm="1">
        <f t="array" ref="U1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8" t="str" cm="1">
        <f t="array" ref="V1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  <c r="AF1678">
        <f>AVERAGE(Table1[[#This Row],[Range2_Low]:[Range2_High]])</f>
        <v>0</v>
      </c>
      <c r="AG1678">
        <f>AVERAGE(Table1[[#This Row],[Range1_Low]:[Range1_High]])</f>
        <v>2310.0500000000002</v>
      </c>
      <c r="AH1678">
        <v>1</v>
      </c>
    </row>
    <row r="1679" spans="1:34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tr" cm="1">
        <f t="array" ref="U1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9" t="str" cm="1">
        <f t="array" ref="V1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  <c r="AF1679">
        <f>AVERAGE(Table1[[#This Row],[Range2_Low]:[Range2_High]])</f>
        <v>0</v>
      </c>
      <c r="AG1679">
        <f>AVERAGE(Table1[[#This Row],[Range1_Low]:[Range1_High]])</f>
        <v>2310.0500000000002</v>
      </c>
      <c r="AH1679">
        <v>1</v>
      </c>
    </row>
    <row r="1680" spans="1:34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tr" cm="1">
        <f t="array" ref="U1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V1680" t="str" cm="1">
        <f t="array" ref="V1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WAC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  <c r="AF1680">
        <f>AVERAGE(Table1[[#This Row],[Range2_Low]:[Range2_High]])</f>
        <v>0</v>
      </c>
      <c r="AG1680">
        <f>AVERAGE(Table1[[#This Row],[Range1_Low]:[Range1_High]])</f>
        <v>2310.0500000000002</v>
      </c>
      <c r="AH1680">
        <v>1</v>
      </c>
    </row>
    <row r="1681" spans="1:34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tr" cm="1">
        <f t="array" ref="U1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WAC</v>
      </c>
      <c r="V1681" t="str" cm="1">
        <f t="array" ref="V1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WAC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  <c r="AF1681">
        <f>AVERAGE(Table1[[#This Row],[Range2_Low]:[Range2_High]])</f>
        <v>0</v>
      </c>
      <c r="AG1681">
        <f>AVERAGE(Table1[[#This Row],[Range1_Low]:[Range1_High]])</f>
        <v>2310.0500000000002</v>
      </c>
      <c r="AH1681">
        <v>1</v>
      </c>
    </row>
    <row r="1682" spans="1:34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tr" cm="1">
        <f t="array" ref="U1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82" t="str" cm="1">
        <f t="array" ref="V1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WAC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  <c r="AF1682">
        <f>AVERAGE(Table1[[#This Row],[Range2_Low]:[Range2_High]])</f>
        <v>0</v>
      </c>
      <c r="AG1682">
        <f>AVERAGE(Table1[[#This Row],[Range1_Low]:[Range1_High]])</f>
        <v>2310.0500000000002</v>
      </c>
      <c r="AH1682">
        <v>1</v>
      </c>
    </row>
    <row r="1683" spans="1:34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tr" cm="1">
        <f t="array" ref="U1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3" t="str" cm="1">
        <f t="array" ref="V1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  <c r="AF1683">
        <f>AVERAGE(Table1[[#This Row],[Range2_Low]:[Range2_High]])</f>
        <v>0</v>
      </c>
      <c r="AG1683">
        <f>AVERAGE(Table1[[#This Row],[Range1_Low]:[Range1_High]])</f>
        <v>7415.05</v>
      </c>
      <c r="AH1683">
        <v>1</v>
      </c>
    </row>
    <row r="1684" spans="1:34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tr" cm="1">
        <f t="array" ref="U1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4" t="str" cm="1">
        <f t="array" ref="V1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  <c r="AF1684">
        <f>AVERAGE(Table1[[#This Row],[Range2_Low]:[Range2_High]])</f>
        <v>0</v>
      </c>
      <c r="AG1684">
        <f>AVERAGE(Table1[[#This Row],[Range1_Low]:[Range1_High]])</f>
        <v>7415.05</v>
      </c>
      <c r="AH1684">
        <v>1</v>
      </c>
    </row>
    <row r="1685" spans="1:34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tr" cm="1">
        <f t="array" ref="U1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V1685" t="str" cm="1">
        <f t="array" ref="V1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WAC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  <c r="AF1685">
        <f>AVERAGE(Table1[[#This Row],[Range2_Low]:[Range2_High]])</f>
        <v>0</v>
      </c>
      <c r="AG1685">
        <f>AVERAGE(Table1[[#This Row],[Range1_Low]:[Range1_High]])</f>
        <v>7415.05</v>
      </c>
      <c r="AH1685">
        <v>1</v>
      </c>
    </row>
    <row r="1686" spans="1:34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tr" cm="1">
        <f t="array" ref="U1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WAC</v>
      </c>
      <c r="V1686" t="str" cm="1">
        <f t="array" ref="V1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WAC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  <c r="AF1686">
        <f>AVERAGE(Table1[[#This Row],[Range2_Low]:[Range2_High]])</f>
        <v>0</v>
      </c>
      <c r="AG1686">
        <f>AVERAGE(Table1[[#This Row],[Range1_Low]:[Range1_High]])</f>
        <v>7415.05</v>
      </c>
      <c r="AH1686">
        <v>1</v>
      </c>
    </row>
    <row r="1687" spans="1:34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tr" cm="1">
        <f t="array" ref="U1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 WAC</v>
      </c>
      <c r="V1687" t="str" cm="1">
        <f t="array" ref="V1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WAC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  <c r="AF1687">
        <f>AVERAGE(Table1[[#This Row],[Range2_Low]:[Range2_High]])</f>
        <v>0</v>
      </c>
      <c r="AG1687">
        <f>AVERAGE(Table1[[#This Row],[Range1_Low]:[Range1_High]])</f>
        <v>7415.05</v>
      </c>
      <c r="AH1687">
        <v>1</v>
      </c>
    </row>
    <row r="1688" spans="1:34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tr" cm="1">
        <f t="array" ref="U1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WAC</v>
      </c>
      <c r="V1688" t="str" cm="1">
        <f t="array" ref="V1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WAC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  <c r="AF1688">
        <f>AVERAGE(Table1[[#This Row],[Range2_Low]:[Range2_High]])</f>
        <v>0</v>
      </c>
      <c r="AG1688">
        <f>AVERAGE(Table1[[#This Row],[Range1_Low]:[Range1_High]])</f>
        <v>16050</v>
      </c>
      <c r="AH1688">
        <v>1</v>
      </c>
    </row>
    <row r="1689" spans="1:34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tr" cm="1">
        <f t="array" ref="U1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89" t="str" cm="1">
        <f t="array" ref="V1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  <c r="AF1689">
        <f>AVERAGE(Table1[[#This Row],[Range2_Low]:[Range2_High]])</f>
        <v>0</v>
      </c>
      <c r="AG1689">
        <f>AVERAGE(Table1[[#This Row],[Range1_Low]:[Range1_High]])</f>
        <v>16050</v>
      </c>
      <c r="AH1689">
        <v>1</v>
      </c>
    </row>
    <row r="1690" spans="1:34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tr" cm="1">
        <f t="array" ref="U1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90" t="str" cm="1">
        <f t="array" ref="V1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  <c r="AF1690">
        <f>AVERAGE(Table1[[#This Row],[Range2_Low]:[Range2_High]])</f>
        <v>0</v>
      </c>
      <c r="AG1690">
        <f>AVERAGE(Table1[[#This Row],[Range1_Low]:[Range1_High]])</f>
        <v>16050</v>
      </c>
      <c r="AH1690">
        <v>1</v>
      </c>
    </row>
    <row r="1691" spans="1:34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tr" cm="1">
        <f t="array" ref="U1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WAC</v>
      </c>
      <c r="V1691" t="str" cm="1">
        <f t="array" ref="V1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WAC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  <c r="AF1691">
        <f>AVERAGE(Table1[[#This Row],[Range2_Low]:[Range2_High]])</f>
        <v>0</v>
      </c>
      <c r="AG1691">
        <f>AVERAGE(Table1[[#This Row],[Range1_Low]:[Range1_High]])</f>
        <v>16050</v>
      </c>
      <c r="AH1691">
        <v>1</v>
      </c>
    </row>
    <row r="1692" spans="1:34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tr" cm="1">
        <f t="array" ref="U1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WAC</v>
      </c>
      <c r="V1692" t="str" cm="1">
        <f t="array" ref="V1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WAC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  <c r="AF1692">
        <f>AVERAGE(Table1[[#This Row],[Range2_Low]:[Range2_High]])</f>
        <v>0</v>
      </c>
      <c r="AG1692">
        <f>AVERAGE(Table1[[#This Row],[Range1_Low]:[Range1_High]])</f>
        <v>16050</v>
      </c>
      <c r="AH1692">
        <v>1</v>
      </c>
    </row>
    <row r="1693" spans="1:34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tr" cm="1">
        <f t="array" ref="U1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V1693" t="str" cm="1">
        <f t="array" ref="V1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  <c r="AF1693">
        <f>AVERAGE(Table1[[#This Row],[Range2_Low]:[Range2_High]])</f>
        <v>0</v>
      </c>
      <c r="AG1693">
        <f>AVERAGE(Table1[[#This Row],[Range1_Low]:[Range1_High]])</f>
        <v>20900.5</v>
      </c>
      <c r="AH1693">
        <v>1</v>
      </c>
    </row>
    <row r="1694" spans="1:34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tr" cm="1">
        <f t="array" ref="U1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4" t="str" cm="1">
        <f t="array" ref="V1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  <c r="AF1694">
        <f>AVERAGE(Table1[[#This Row],[Range2_Low]:[Range2_High]])</f>
        <v>0</v>
      </c>
      <c r="AG1694">
        <f>AVERAGE(Table1[[#This Row],[Range1_Low]:[Range1_High]])</f>
        <v>20900.5</v>
      </c>
      <c r="AH1694">
        <v>1</v>
      </c>
    </row>
    <row r="1695" spans="1:34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tr" cm="1">
        <f t="array" ref="U1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5" t="str" cm="1">
        <f t="array" ref="V1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  <c r="AF1695">
        <f>AVERAGE(Table1[[#This Row],[Range2_Low]:[Range2_High]])</f>
        <v>0</v>
      </c>
      <c r="AG1695">
        <f>AVERAGE(Table1[[#This Row],[Range1_Low]:[Range1_High]])</f>
        <v>20900.5</v>
      </c>
      <c r="AH1695">
        <v>1</v>
      </c>
    </row>
    <row r="1696" spans="1:34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tr" cm="1">
        <f t="array" ref="U1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V1696" t="str" cm="1">
        <f t="array" ref="V1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  <c r="AF1696">
        <f>AVERAGE(Table1[[#This Row],[Range2_Low]:[Range2_High]])</f>
        <v>0</v>
      </c>
      <c r="AG1696">
        <f>AVERAGE(Table1[[#This Row],[Range1_Low]:[Range1_High]])</f>
        <v>20900.5</v>
      </c>
      <c r="AH1696">
        <v>1</v>
      </c>
    </row>
    <row r="1697" spans="1:34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tr" cm="1">
        <f t="array" ref="U1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97" t="str" cm="1">
        <f t="array" ref="V1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  <c r="AF1697">
        <f>AVERAGE(Table1[[#This Row],[Range2_Low]:[Range2_High]])</f>
        <v>0</v>
      </c>
      <c r="AG1697">
        <f>AVERAGE(Table1[[#This Row],[Range1_Low]:[Range1_High]])</f>
        <v>20900.5</v>
      </c>
      <c r="AH1697">
        <v>1</v>
      </c>
    </row>
    <row r="1698" spans="1:34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tr" cm="1">
        <f t="array" ref="U1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698" t="str" cm="1">
        <f t="array" ref="V1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  <c r="AF1698">
        <f>AVERAGE(Table1[[#This Row],[Range2_Low]:[Range2_High]])</f>
        <v>15.005000000000001</v>
      </c>
      <c r="AG1698">
        <f>AVERAGE(Table1[[#This Row],[Range1_Low]:[Range1_High]])</f>
        <v>1.6504999999999999E-2</v>
      </c>
      <c r="AH1698">
        <v>1</v>
      </c>
    </row>
    <row r="1699" spans="1:34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tr" cm="1">
        <f t="array" ref="U1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699" t="str" cm="1">
        <f t="array" ref="V1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µV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  <c r="AF1699">
        <f>AVERAGE(Table1[[#This Row],[Range2_Low]:[Range2_High]])</f>
        <v>5.0225049999999998</v>
      </c>
      <c r="AG1699">
        <f>AVERAGE(Table1[[#This Row],[Range1_Low]:[Range1_High]])</f>
        <v>1.6504999999999999E-2</v>
      </c>
      <c r="AH1699">
        <v>1</v>
      </c>
    </row>
    <row r="1700" spans="1:34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tr" cm="1">
        <f t="array" ref="U1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0" t="str" cm="1">
        <f t="array" ref="V1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  <c r="AF1700">
        <f>AVERAGE(Table1[[#This Row],[Range2_Low]:[Range2_High]])</f>
        <v>75</v>
      </c>
      <c r="AG1700">
        <f>AVERAGE(Table1[[#This Row],[Range1_Low]:[Range1_High]])</f>
        <v>1.6504999999999999E-2</v>
      </c>
      <c r="AH1700">
        <v>1</v>
      </c>
    </row>
    <row r="1701" spans="1:34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tr" cm="1">
        <f t="array" ref="U1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1" t="str" cm="1">
        <f t="array" ref="V1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  <c r="AF1701">
        <f>AVERAGE(Table1[[#This Row],[Range2_Low]:[Range2_High]])</f>
        <v>300</v>
      </c>
      <c r="AG1701">
        <f>AVERAGE(Table1[[#This Row],[Range1_Low]:[Range1_High]])</f>
        <v>1.6504999999999999E-2</v>
      </c>
      <c r="AH1701">
        <v>1</v>
      </c>
    </row>
    <row r="1702" spans="1:34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tr" cm="1">
        <f t="array" ref="U1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2" t="str" cm="1">
        <f t="array" ref="V1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  <c r="AF1702">
        <f>AVERAGE(Table1[[#This Row],[Range2_Low]:[Range2_High]])</f>
        <v>2.7505000000000002E-2</v>
      </c>
      <c r="AG1702">
        <f>AVERAGE(Table1[[#This Row],[Range1_Low]:[Range1_High]])</f>
        <v>1.6504999999999999E-2</v>
      </c>
      <c r="AH1702">
        <v>1</v>
      </c>
    </row>
    <row r="1703" spans="1:34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tr" cm="1">
        <f t="array" ref="U1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3" t="str" cm="1">
        <f t="array" ref="V1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  <c r="AF1703">
        <f>AVERAGE(Table1[[#This Row],[Range2_Low]:[Range2_High]])</f>
        <v>500.5</v>
      </c>
      <c r="AG1703">
        <f>AVERAGE(Table1[[#This Row],[Range1_Low]:[Range1_High]])</f>
        <v>1.6504999999999999E-2</v>
      </c>
      <c r="AH1703">
        <v>1</v>
      </c>
    </row>
    <row r="1704" spans="1:34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tr" cm="1">
        <f t="array" ref="U1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4" t="str" cm="1">
        <f t="array" ref="V1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  <c r="AF1704">
        <f>AVERAGE(Table1[[#This Row],[Range2_Low]:[Range2_High]])</f>
        <v>35.004999999999995</v>
      </c>
      <c r="AG1704">
        <f>AVERAGE(Table1[[#This Row],[Range1_Low]:[Range1_High]])</f>
        <v>1.6504999999999999E-2</v>
      </c>
      <c r="AH1704">
        <v>1</v>
      </c>
    </row>
    <row r="1705" spans="1:34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tr" cm="1">
        <f t="array" ref="U1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5" t="str" cm="1">
        <f t="array" ref="V1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  <c r="AF1705">
        <f>AVERAGE(Table1[[#This Row],[Range2_Low]:[Range2_High]])</f>
        <v>15.005000000000001</v>
      </c>
      <c r="AG1705">
        <f>AVERAGE(Table1[[#This Row],[Range1_Low]:[Range1_High]])</f>
        <v>1.6504999999999999E-2</v>
      </c>
      <c r="AH1705">
        <v>1</v>
      </c>
    </row>
    <row r="1706" spans="1:34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tr" cm="1">
        <f t="array" ref="U1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6" t="str" cm="1">
        <f t="array" ref="V1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  <c r="AF1706">
        <f>AVERAGE(Table1[[#This Row],[Range2_Low]:[Range2_High]])</f>
        <v>75.004999999999995</v>
      </c>
      <c r="AG1706">
        <f>AVERAGE(Table1[[#This Row],[Range1_Low]:[Range1_High]])</f>
        <v>1.6504999999999999E-2</v>
      </c>
      <c r="AH1706">
        <v>1</v>
      </c>
    </row>
    <row r="1707" spans="1:34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tr" cm="1">
        <f t="array" ref="U1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7" t="str" cm="1">
        <f t="array" ref="V1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  <c r="AF1707">
        <f>AVERAGE(Table1[[#This Row],[Range2_Low]:[Range2_High]])</f>
        <v>2.7505000000000002E-2</v>
      </c>
      <c r="AG1707">
        <f>AVERAGE(Table1[[#This Row],[Range1_Low]:[Range1_High]])</f>
        <v>1.6504999999999999E-2</v>
      </c>
      <c r="AH1707">
        <v>1</v>
      </c>
    </row>
    <row r="1708" spans="1:34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tr" cm="1">
        <f t="array" ref="U1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08" t="str" cm="1">
        <f t="array" ref="V1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  <c r="AF1708">
        <f>AVERAGE(Table1[[#This Row],[Range2_Low]:[Range2_High]])</f>
        <v>500.5</v>
      </c>
      <c r="AG1708">
        <f>AVERAGE(Table1[[#This Row],[Range1_Low]:[Range1_High]])</f>
        <v>1.6504999999999999E-2</v>
      </c>
      <c r="AH1708">
        <v>1</v>
      </c>
    </row>
    <row r="1709" spans="1:34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tr" cm="1">
        <f t="array" ref="U1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9" t="str" cm="1">
        <f t="array" ref="V1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  <c r="AF1709">
        <f>AVERAGE(Table1[[#This Row],[Range2_Low]:[Range2_High]])</f>
        <v>35.004999999999995</v>
      </c>
      <c r="AG1709">
        <f>AVERAGE(Table1[[#This Row],[Range1_Low]:[Range1_High]])</f>
        <v>1.6504999999999999E-2</v>
      </c>
      <c r="AH1709">
        <v>1</v>
      </c>
    </row>
    <row r="1710" spans="1:34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tr" cm="1">
        <f t="array" ref="U1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710" t="str" cm="1">
        <f t="array" ref="V1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  <c r="AF1710">
        <f>AVERAGE(Table1[[#This Row],[Range2_Low]:[Range2_High]])</f>
        <v>5.0225049999999998</v>
      </c>
      <c r="AG1710">
        <f>AVERAGE(Table1[[#This Row],[Range1_Low]:[Range1_High]])</f>
        <v>1.6504999999999999E-2</v>
      </c>
      <c r="AH1710">
        <v>1</v>
      </c>
    </row>
    <row r="1711" spans="1:34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tr" cm="1">
        <f t="array" ref="U1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11" t="str" cm="1">
        <f t="array" ref="V1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  <c r="AF1711">
        <f>AVERAGE(Table1[[#This Row],[Range2_Low]:[Range2_High]])</f>
        <v>300</v>
      </c>
      <c r="AG1711">
        <f>AVERAGE(Table1[[#This Row],[Range1_Low]:[Range1_High]])</f>
        <v>1.6504999999999999E-2</v>
      </c>
      <c r="AH1711">
        <v>1</v>
      </c>
    </row>
    <row r="1712" spans="1:34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tr" cm="1">
        <f t="array" ref="U1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2" t="str" cm="1">
        <f t="array" ref="V1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  <c r="AF1712">
        <f>AVERAGE(Table1[[#This Row],[Range2_Low]:[Range2_High]])</f>
        <v>300</v>
      </c>
      <c r="AG1712">
        <f>AVERAGE(Table1[[#This Row],[Range1_Low]:[Range1_High]])</f>
        <v>1.6504999999999999E-2</v>
      </c>
      <c r="AH1712">
        <v>1</v>
      </c>
    </row>
    <row r="1713" spans="1:34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tr" cm="1">
        <f t="array" ref="U1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3" t="str" cm="1">
        <f t="array" ref="V1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  <c r="AF1713">
        <f>AVERAGE(Table1[[#This Row],[Range2_Low]:[Range2_High]])</f>
        <v>15.005000000000001</v>
      </c>
      <c r="AG1713">
        <f>AVERAGE(Table1[[#This Row],[Range1_Low]:[Range1_High]])</f>
        <v>1.6504999999999999E-2</v>
      </c>
      <c r="AH1713">
        <v>1</v>
      </c>
    </row>
    <row r="1714" spans="1:34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tr" cm="1">
        <f t="array" ref="U1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4" t="str" cm="1">
        <f t="array" ref="V1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  <c r="AF1714">
        <f>AVERAGE(Table1[[#This Row],[Range2_Low]:[Range2_High]])</f>
        <v>500.5</v>
      </c>
      <c r="AG1714">
        <f>AVERAGE(Table1[[#This Row],[Range1_Low]:[Range1_High]])</f>
        <v>1.6504999999999999E-2</v>
      </c>
      <c r="AH1714">
        <v>1</v>
      </c>
    </row>
    <row r="1715" spans="1:34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tr" cm="1">
        <f t="array" ref="U1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15" t="str" cm="1">
        <f t="array" ref="V1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  <c r="AF1715">
        <f>AVERAGE(Table1[[#This Row],[Range2_Low]:[Range2_High]])</f>
        <v>5.0225049999999998</v>
      </c>
      <c r="AG1715">
        <f>AVERAGE(Table1[[#This Row],[Range1_Low]:[Range1_High]])</f>
        <v>1.6504999999999999E-2</v>
      </c>
      <c r="AH1715">
        <v>1</v>
      </c>
    </row>
    <row r="1716" spans="1:34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tr" cm="1">
        <f t="array" ref="U1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16" t="str" cm="1">
        <f t="array" ref="V1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  <c r="AF1716">
        <f>AVERAGE(Table1[[#This Row],[Range2_Low]:[Range2_High]])</f>
        <v>75.004999999999995</v>
      </c>
      <c r="AG1716">
        <f>AVERAGE(Table1[[#This Row],[Range1_Low]:[Range1_High]])</f>
        <v>1.6504999999999999E-2</v>
      </c>
      <c r="AH1716">
        <v>1</v>
      </c>
    </row>
    <row r="1717" spans="1:34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tr" cm="1">
        <f t="array" ref="U1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1717" t="str" cm="1">
        <f t="array" ref="V1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 µV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  <c r="AF1717">
        <f>AVERAGE(Table1[[#This Row],[Range2_Low]:[Range2_High]])</f>
        <v>35.004999999999995</v>
      </c>
      <c r="AG1717">
        <f>AVERAGE(Table1[[#This Row],[Range1_Low]:[Range1_High]])</f>
        <v>1.6504999999999999E-2</v>
      </c>
      <c r="AH1717">
        <v>1</v>
      </c>
    </row>
    <row r="1718" spans="1:34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tr" cm="1">
        <f t="array" ref="U1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8" t="str" cm="1">
        <f t="array" ref="V1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  <c r="AF1718">
        <f>AVERAGE(Table1[[#This Row],[Range2_Low]:[Range2_High]])</f>
        <v>2.7505000000000002E-2</v>
      </c>
      <c r="AG1718">
        <f>AVERAGE(Table1[[#This Row],[Range1_Low]:[Range1_High]])</f>
        <v>1.6504999999999999E-2</v>
      </c>
      <c r="AH1718">
        <v>1</v>
      </c>
    </row>
    <row r="1719" spans="1:34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tr" cm="1">
        <f t="array" ref="U1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19" t="str" cm="1">
        <f t="array" ref="V1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  <c r="AF1719">
        <f>AVERAGE(Table1[[#This Row],[Range2_Low]:[Range2_High]])</f>
        <v>300</v>
      </c>
      <c r="AG1719">
        <f>AVERAGE(Table1[[#This Row],[Range1_Low]:[Range1_High]])</f>
        <v>1.6504999999999999E-2</v>
      </c>
      <c r="AH1719">
        <v>1</v>
      </c>
    </row>
    <row r="1720" spans="1:34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tr" cm="1">
        <f t="array" ref="U1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0" t="str" cm="1">
        <f t="array" ref="V1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  <c r="AF1720">
        <f>AVERAGE(Table1[[#This Row],[Range2_Low]:[Range2_High]])</f>
        <v>35.004999999999995</v>
      </c>
      <c r="AG1720">
        <f>AVERAGE(Table1[[#This Row],[Range1_Low]:[Range1_High]])</f>
        <v>1.6504999999999999E-2</v>
      </c>
      <c r="AH1720">
        <v>1</v>
      </c>
    </row>
    <row r="1721" spans="1:34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tr" cm="1">
        <f t="array" ref="U1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21" t="str" cm="1">
        <f t="array" ref="V1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  <c r="AF1721">
        <f>AVERAGE(Table1[[#This Row],[Range2_Low]:[Range2_High]])</f>
        <v>500.5</v>
      </c>
      <c r="AG1721">
        <f>AVERAGE(Table1[[#This Row],[Range1_Low]:[Range1_High]])</f>
        <v>1.6504999999999999E-2</v>
      </c>
      <c r="AH1721">
        <v>1</v>
      </c>
    </row>
    <row r="1722" spans="1:34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tr" cm="1">
        <f t="array" ref="U1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2" t="str" cm="1">
        <f t="array" ref="V1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  <c r="AF1722">
        <f>AVERAGE(Table1[[#This Row],[Range2_Low]:[Range2_High]])</f>
        <v>5.0225049999999998</v>
      </c>
      <c r="AG1722">
        <f>AVERAGE(Table1[[#This Row],[Range1_Low]:[Range1_High]])</f>
        <v>1.6504999999999999E-2</v>
      </c>
      <c r="AH1722">
        <v>1</v>
      </c>
    </row>
    <row r="1723" spans="1:34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tr" cm="1">
        <f t="array" ref="U1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3" t="str" cm="1">
        <f t="array" ref="V1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  <c r="AF1723">
        <f>AVERAGE(Table1[[#This Row],[Range2_Low]:[Range2_High]])</f>
        <v>2.7505000000000002E-2</v>
      </c>
      <c r="AG1723">
        <f>AVERAGE(Table1[[#This Row],[Range1_Low]:[Range1_High]])</f>
        <v>1.6504999999999999E-2</v>
      </c>
      <c r="AH1723">
        <v>1</v>
      </c>
    </row>
    <row r="1724" spans="1:34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tr" cm="1">
        <f t="array" ref="U1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4" t="str" cm="1">
        <f t="array" ref="V1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  <c r="AF1724">
        <f>AVERAGE(Table1[[#This Row],[Range2_Low]:[Range2_High]])</f>
        <v>15.005000000000001</v>
      </c>
      <c r="AG1724">
        <f>AVERAGE(Table1[[#This Row],[Range1_Low]:[Range1_High]])</f>
        <v>1.6504999999999999E-2</v>
      </c>
      <c r="AH1724">
        <v>1</v>
      </c>
    </row>
    <row r="1725" spans="1:34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tr" cm="1">
        <f t="array" ref="U1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25" t="str" cm="1">
        <f t="array" ref="V1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  <c r="AF1725">
        <f>AVERAGE(Table1[[#This Row],[Range2_Low]:[Range2_High]])</f>
        <v>75.004999999999995</v>
      </c>
      <c r="AG1725">
        <f>AVERAGE(Table1[[#This Row],[Range1_Low]:[Range1_High]])</f>
        <v>1.6504999999999999E-2</v>
      </c>
      <c r="AH1725">
        <v>1</v>
      </c>
    </row>
    <row r="1726" spans="1:34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tr" cm="1">
        <f t="array" ref="U1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6" t="str" cm="1">
        <f t="array" ref="V1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  <c r="AF1726">
        <f>AVERAGE(Table1[[#This Row],[Range2_Low]:[Range2_High]])</f>
        <v>500.5</v>
      </c>
      <c r="AG1726">
        <f>AVERAGE(Table1[[#This Row],[Range1_Low]:[Range1_High]])</f>
        <v>1.6504999999999999E-2</v>
      </c>
      <c r="AH1726">
        <v>1</v>
      </c>
    </row>
    <row r="1727" spans="1:34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tr" cm="1">
        <f t="array" ref="U1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7" t="str" cm="1">
        <f t="array" ref="V1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  <c r="AF1727">
        <f>AVERAGE(Table1[[#This Row],[Range2_Low]:[Range2_High]])</f>
        <v>15.005000000000001</v>
      </c>
      <c r="AG1727">
        <f>AVERAGE(Table1[[#This Row],[Range1_Low]:[Range1_High]])</f>
        <v>1.6504999999999999E-2</v>
      </c>
      <c r="AH1727">
        <v>1</v>
      </c>
    </row>
    <row r="1728" spans="1:34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tr" cm="1">
        <f t="array" ref="U1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8" t="str" cm="1">
        <f t="array" ref="V1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  <c r="AF1728">
        <f>AVERAGE(Table1[[#This Row],[Range2_Low]:[Range2_High]])</f>
        <v>2.7505000000000002E-2</v>
      </c>
      <c r="AG1728">
        <f>AVERAGE(Table1[[#This Row],[Range1_Low]:[Range1_High]])</f>
        <v>1.6504999999999999E-2</v>
      </c>
      <c r="AH1728">
        <v>1</v>
      </c>
    </row>
    <row r="1729" spans="1:34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tr" cm="1">
        <f t="array" ref="U1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9" t="str" cm="1">
        <f t="array" ref="V1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  <c r="AF1729">
        <f>AVERAGE(Table1[[#This Row],[Range2_Low]:[Range2_High]])</f>
        <v>75.004999999999995</v>
      </c>
      <c r="AG1729">
        <f>AVERAGE(Table1[[#This Row],[Range1_Low]:[Range1_High]])</f>
        <v>1.6504999999999999E-2</v>
      </c>
      <c r="AH1729">
        <v>1</v>
      </c>
    </row>
    <row r="1730" spans="1:34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tr" cm="1">
        <f t="array" ref="U1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0" t="str" cm="1">
        <f t="array" ref="V1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  <c r="AF1730">
        <f>AVERAGE(Table1[[#This Row],[Range2_Low]:[Range2_High]])</f>
        <v>35.004999999999995</v>
      </c>
      <c r="AG1730">
        <f>AVERAGE(Table1[[#This Row],[Range1_Low]:[Range1_High]])</f>
        <v>1.6504999999999999E-2</v>
      </c>
      <c r="AH1730">
        <v>1</v>
      </c>
    </row>
    <row r="1731" spans="1:34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tr" cm="1">
        <f t="array" ref="U1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1" t="str" cm="1">
        <f t="array" ref="V1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  <c r="AF1731">
        <f>AVERAGE(Table1[[#This Row],[Range2_Low]:[Range2_High]])</f>
        <v>5.0225049999999998</v>
      </c>
      <c r="AG1731">
        <f>AVERAGE(Table1[[#This Row],[Range1_Low]:[Range1_High]])</f>
        <v>1.6504999999999999E-2</v>
      </c>
      <c r="AH1731">
        <v>1</v>
      </c>
    </row>
    <row r="1732" spans="1:34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tr" cm="1">
        <f t="array" ref="U1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2" t="str" cm="1">
        <f t="array" ref="V1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  <c r="AF1732">
        <f>AVERAGE(Table1[[#This Row],[Range2_Low]:[Range2_High]])</f>
        <v>300</v>
      </c>
      <c r="AG1732">
        <f>AVERAGE(Table1[[#This Row],[Range1_Low]:[Range1_High]])</f>
        <v>1.6504999999999999E-2</v>
      </c>
      <c r="AH1732">
        <v>1</v>
      </c>
    </row>
    <row r="1733" spans="1:34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tr" cm="1">
        <f t="array" ref="U1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3" t="str" cm="1">
        <f t="array" ref="V1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  <c r="AF1733">
        <f>AVERAGE(Table1[[#This Row],[Range2_Low]:[Range2_High]])</f>
        <v>35.004999999999995</v>
      </c>
      <c r="AG1733">
        <f>AVERAGE(Table1[[#This Row],[Range1_Low]:[Range1_High]])</f>
        <v>1.6504999999999999E-2</v>
      </c>
      <c r="AH1733">
        <v>1</v>
      </c>
    </row>
    <row r="1734" spans="1:34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tr" cm="1">
        <f t="array" ref="U1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4" t="str" cm="1">
        <f t="array" ref="V1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  <c r="AF1734">
        <f>AVERAGE(Table1[[#This Row],[Range2_Low]:[Range2_High]])</f>
        <v>2.7505000000000002E-2</v>
      </c>
      <c r="AG1734">
        <f>AVERAGE(Table1[[#This Row],[Range1_Low]:[Range1_High]])</f>
        <v>1.6504999999999999E-2</v>
      </c>
      <c r="AH1734">
        <v>1</v>
      </c>
    </row>
    <row r="1735" spans="1:34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tr" cm="1">
        <f t="array" ref="U1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5" t="str" cm="1">
        <f t="array" ref="V1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  <c r="AF1735">
        <f>AVERAGE(Table1[[#This Row],[Range2_Low]:[Range2_High]])</f>
        <v>15.005000000000001</v>
      </c>
      <c r="AG1735">
        <f>AVERAGE(Table1[[#This Row],[Range1_Low]:[Range1_High]])</f>
        <v>1.6504999999999999E-2</v>
      </c>
      <c r="AH1735">
        <v>1</v>
      </c>
    </row>
    <row r="1736" spans="1:34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tr" cm="1">
        <f t="array" ref="U1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6" t="str" cm="1">
        <f t="array" ref="V1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  <c r="AF1736">
        <f>AVERAGE(Table1[[#This Row],[Range2_Low]:[Range2_High]])</f>
        <v>500.5</v>
      </c>
      <c r="AG1736">
        <f>AVERAGE(Table1[[#This Row],[Range1_Low]:[Range1_High]])</f>
        <v>1.6504999999999999E-2</v>
      </c>
      <c r="AH1736">
        <v>1</v>
      </c>
    </row>
    <row r="1737" spans="1:34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tr" cm="1">
        <f t="array" ref="U1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7" t="str" cm="1">
        <f t="array" ref="V1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  <c r="AF1737">
        <f>AVERAGE(Table1[[#This Row],[Range2_Low]:[Range2_High]])</f>
        <v>300</v>
      </c>
      <c r="AG1737">
        <f>AVERAGE(Table1[[#This Row],[Range1_Low]:[Range1_High]])</f>
        <v>1.6504999999999999E-2</v>
      </c>
      <c r="AH1737">
        <v>1</v>
      </c>
    </row>
    <row r="1738" spans="1:34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tr" cm="1">
        <f t="array" ref="U1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8" t="str" cm="1">
        <f t="array" ref="V1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  <c r="AF1738">
        <f>AVERAGE(Table1[[#This Row],[Range2_Low]:[Range2_High]])</f>
        <v>5.0225049999999998</v>
      </c>
      <c r="AG1738">
        <f>AVERAGE(Table1[[#This Row],[Range1_Low]:[Range1_High]])</f>
        <v>1.6504999999999999E-2</v>
      </c>
      <c r="AH1738">
        <v>1</v>
      </c>
    </row>
    <row r="1739" spans="1:34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tr" cm="1">
        <f t="array" ref="U1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9" t="str" cm="1">
        <f t="array" ref="V1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  <c r="AF1739">
        <f>AVERAGE(Table1[[#This Row],[Range2_Low]:[Range2_High]])</f>
        <v>75.004999999999995</v>
      </c>
      <c r="AG1739">
        <f>AVERAGE(Table1[[#This Row],[Range1_Low]:[Range1_High]])</f>
        <v>1.6504999999999999E-2</v>
      </c>
      <c r="AH1739">
        <v>1</v>
      </c>
    </row>
    <row r="1740" spans="1:34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tr" cm="1">
        <f t="array" ref="U1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0" t="str" cm="1">
        <f t="array" ref="V1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  <c r="AF1740">
        <f>AVERAGE(Table1[[#This Row],[Range2_Low]:[Range2_High]])</f>
        <v>15.005000000000001</v>
      </c>
      <c r="AG1740">
        <f>AVERAGE(Table1[[#This Row],[Range1_Low]:[Range1_High]])</f>
        <v>1.6504999999999999E-2</v>
      </c>
      <c r="AH1740">
        <v>1</v>
      </c>
    </row>
    <row r="1741" spans="1:34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tr" cm="1">
        <f t="array" ref="U1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1" t="str" cm="1">
        <f t="array" ref="V1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  <c r="AF1741">
        <f>AVERAGE(Table1[[#This Row],[Range2_Low]:[Range2_High]])</f>
        <v>5.0225049999999998</v>
      </c>
      <c r="AG1741">
        <f>AVERAGE(Table1[[#This Row],[Range1_Low]:[Range1_High]])</f>
        <v>1.6504999999999999E-2</v>
      </c>
      <c r="AH1741">
        <v>1</v>
      </c>
    </row>
    <row r="1742" spans="1:34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tr" cm="1">
        <f t="array" ref="U1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2" t="str" cm="1">
        <f t="array" ref="V1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  <c r="AF1742">
        <f>AVERAGE(Table1[[#This Row],[Range2_Low]:[Range2_High]])</f>
        <v>500.5</v>
      </c>
      <c r="AG1742">
        <f>AVERAGE(Table1[[#This Row],[Range1_Low]:[Range1_High]])</f>
        <v>1.6504999999999999E-2</v>
      </c>
      <c r="AH1742">
        <v>1</v>
      </c>
    </row>
    <row r="1743" spans="1:34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tr" cm="1">
        <f t="array" ref="U1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3" t="str" cm="1">
        <f t="array" ref="V1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  <c r="AF1743">
        <f>AVERAGE(Table1[[#This Row],[Range2_Low]:[Range2_High]])</f>
        <v>2.7505000000000002E-2</v>
      </c>
      <c r="AG1743">
        <f>AVERAGE(Table1[[#This Row],[Range1_Low]:[Range1_High]])</f>
        <v>1.6504999999999999E-2</v>
      </c>
      <c r="AH1743">
        <v>1</v>
      </c>
    </row>
    <row r="1744" spans="1:34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tr" cm="1">
        <f t="array" ref="U1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4" t="str" cm="1">
        <f t="array" ref="V1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  <c r="AF1744">
        <f>AVERAGE(Table1[[#This Row],[Range2_Low]:[Range2_High]])</f>
        <v>75.004999999999995</v>
      </c>
      <c r="AG1744">
        <f>AVERAGE(Table1[[#This Row],[Range1_Low]:[Range1_High]])</f>
        <v>1.6504999999999999E-2</v>
      </c>
      <c r="AH1744">
        <v>1</v>
      </c>
    </row>
    <row r="1745" spans="1:34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tr" cm="1">
        <f t="array" ref="U1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5" t="str" cm="1">
        <f t="array" ref="V1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  <c r="AF1745">
        <f>AVERAGE(Table1[[#This Row],[Range2_Low]:[Range2_High]])</f>
        <v>300</v>
      </c>
      <c r="AG1745">
        <f>AVERAGE(Table1[[#This Row],[Range1_Low]:[Range1_High]])</f>
        <v>1.6504999999999999E-2</v>
      </c>
      <c r="AH1745">
        <v>1</v>
      </c>
    </row>
    <row r="1746" spans="1:34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tr" cm="1">
        <f t="array" ref="U1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6" t="str" cm="1">
        <f t="array" ref="V1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  <c r="AF1746">
        <f>AVERAGE(Table1[[#This Row],[Range2_Low]:[Range2_High]])</f>
        <v>35.004999999999995</v>
      </c>
      <c r="AG1746">
        <f>AVERAGE(Table1[[#This Row],[Range1_Low]:[Range1_High]])</f>
        <v>1.6504999999999999E-2</v>
      </c>
      <c r="AH1746">
        <v>1</v>
      </c>
    </row>
    <row r="1747" spans="1:34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tr" cm="1">
        <f t="array" ref="U1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7" t="str" cm="1">
        <f t="array" ref="V1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  <c r="AF1747">
        <f>AVERAGE(Table1[[#This Row],[Range2_Low]:[Range2_High]])</f>
        <v>15.005000000000001</v>
      </c>
      <c r="AG1747">
        <f>AVERAGE(Table1[[#This Row],[Range1_Low]:[Range1_High]])</f>
        <v>1.6504999999999999E-2</v>
      </c>
      <c r="AH1747">
        <v>1</v>
      </c>
    </row>
    <row r="1748" spans="1:34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tr" cm="1">
        <f t="array" ref="U1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8" t="str" cm="1">
        <f t="array" ref="V1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  <c r="AF1748">
        <f>AVERAGE(Table1[[#This Row],[Range2_Low]:[Range2_High]])</f>
        <v>300.005</v>
      </c>
      <c r="AG1748">
        <f>AVERAGE(Table1[[#This Row],[Range1_Low]:[Range1_High]])</f>
        <v>1.6504999999999999E-2</v>
      </c>
      <c r="AH1748">
        <v>1</v>
      </c>
    </row>
    <row r="1749" spans="1:34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tr" cm="1">
        <f t="array" ref="U1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9" t="str" cm="1">
        <f t="array" ref="V1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  <c r="AF1749">
        <f>AVERAGE(Table1[[#This Row],[Range2_Low]:[Range2_High]])</f>
        <v>35.004999999999995</v>
      </c>
      <c r="AG1749">
        <f>AVERAGE(Table1[[#This Row],[Range1_Low]:[Range1_High]])</f>
        <v>1.6504999999999999E-2</v>
      </c>
      <c r="AH1749">
        <v>1</v>
      </c>
    </row>
    <row r="1750" spans="1:34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tr" cm="1">
        <f t="array" ref="U1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0" t="str" cm="1">
        <f t="array" ref="V1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  <c r="AF1750">
        <f>AVERAGE(Table1[[#This Row],[Range2_Low]:[Range2_High]])</f>
        <v>5.0225049999999998</v>
      </c>
      <c r="AG1750">
        <f>AVERAGE(Table1[[#This Row],[Range1_Low]:[Range1_High]])</f>
        <v>1.6504999999999999E-2</v>
      </c>
      <c r="AH1750">
        <v>1</v>
      </c>
    </row>
    <row r="1751" spans="1:34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tr" cm="1">
        <f t="array" ref="U1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1" t="str" cm="1">
        <f t="array" ref="V1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  <c r="AF1751">
        <f>AVERAGE(Table1[[#This Row],[Range2_Low]:[Range2_High]])</f>
        <v>75.004999999999995</v>
      </c>
      <c r="AG1751">
        <f>AVERAGE(Table1[[#This Row],[Range1_Low]:[Range1_High]])</f>
        <v>1.6504999999999999E-2</v>
      </c>
      <c r="AH1751">
        <v>1</v>
      </c>
    </row>
    <row r="1752" spans="1:34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tr" cm="1">
        <f t="array" ref="U1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2" t="str" cm="1">
        <f t="array" ref="V1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  <c r="AF1752">
        <f>AVERAGE(Table1[[#This Row],[Range2_Low]:[Range2_High]])</f>
        <v>2.7505000000000002E-2</v>
      </c>
      <c r="AG1752">
        <f>AVERAGE(Table1[[#This Row],[Range1_Low]:[Range1_High]])</f>
        <v>1.6504999999999999E-2</v>
      </c>
      <c r="AH1752">
        <v>1</v>
      </c>
    </row>
    <row r="1753" spans="1:34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tr" cm="1">
        <f t="array" ref="U1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53" t="str" cm="1">
        <f t="array" ref="V1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  <c r="AF1753">
        <f>AVERAGE(Table1[[#This Row],[Range2_Low]:[Range2_High]])</f>
        <v>15.005000000000001</v>
      </c>
      <c r="AG1753">
        <f>AVERAGE(Table1[[#This Row],[Range1_Low]:[Range1_High]])</f>
        <v>0.18150500000000003</v>
      </c>
      <c r="AH1753">
        <v>1</v>
      </c>
    </row>
    <row r="1754" spans="1:34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tr" cm="1">
        <f t="array" ref="U1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54" t="str" cm="1">
        <f t="array" ref="V1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  <c r="AF1754">
        <f>AVERAGE(Table1[[#This Row],[Range2_Low]:[Range2_High]])</f>
        <v>5.0225049999999998</v>
      </c>
      <c r="AG1754">
        <f>AVERAGE(Table1[[#This Row],[Range1_Low]:[Range1_High]])</f>
        <v>0.18150500000000003</v>
      </c>
      <c r="AH1754">
        <v>1</v>
      </c>
    </row>
    <row r="1755" spans="1:34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tr" cm="1">
        <f t="array" ref="U1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µV</v>
      </c>
      <c r="V1755" t="str" cm="1">
        <f t="array" ref="V1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µV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  <c r="AF1755">
        <f>AVERAGE(Table1[[#This Row],[Range2_Low]:[Range2_High]])</f>
        <v>75.004999999999995</v>
      </c>
      <c r="AG1755">
        <f>AVERAGE(Table1[[#This Row],[Range1_Low]:[Range1_High]])</f>
        <v>0.18150500000000003</v>
      </c>
      <c r="AH1755">
        <v>1</v>
      </c>
    </row>
    <row r="1756" spans="1:34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tr" cm="1">
        <f t="array" ref="U1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6" t="str" cm="1">
        <f t="array" ref="V1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  <c r="AF1756">
        <f>AVERAGE(Table1[[#This Row],[Range2_Low]:[Range2_High]])</f>
        <v>300</v>
      </c>
      <c r="AG1756">
        <f>AVERAGE(Table1[[#This Row],[Range1_Low]:[Range1_High]])</f>
        <v>0.18150500000000003</v>
      </c>
      <c r="AH1756">
        <v>1</v>
      </c>
    </row>
    <row r="1757" spans="1:34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tr" cm="1">
        <f t="array" ref="U1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7" t="str" cm="1">
        <f t="array" ref="V1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  <c r="AF1757">
        <f>AVERAGE(Table1[[#This Row],[Range2_Low]:[Range2_High]])</f>
        <v>500.5</v>
      </c>
      <c r="AG1757">
        <f>AVERAGE(Table1[[#This Row],[Range1_Low]:[Range1_High]])</f>
        <v>0.18150500000000003</v>
      </c>
      <c r="AH1757">
        <v>1</v>
      </c>
    </row>
    <row r="1758" spans="1:34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tr" cm="1">
        <f t="array" ref="U1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58" t="str" cm="1">
        <f t="array" ref="V1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  <c r="AF1758">
        <f>AVERAGE(Table1[[#This Row],[Range2_Low]:[Range2_High]])</f>
        <v>35.004999999999995</v>
      </c>
      <c r="AG1758">
        <f>AVERAGE(Table1[[#This Row],[Range1_Low]:[Range1_High]])</f>
        <v>0.18150500000000003</v>
      </c>
      <c r="AH1758">
        <v>1</v>
      </c>
    </row>
    <row r="1759" spans="1:34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tr" cm="1">
        <f t="array" ref="U1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59" t="str" cm="1">
        <f t="array" ref="V1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  <c r="AF1759">
        <f>AVERAGE(Table1[[#This Row],[Range2_Low]:[Range2_High]])</f>
        <v>2.7505000000000002E-2</v>
      </c>
      <c r="AG1759">
        <f>AVERAGE(Table1[[#This Row],[Range1_Low]:[Range1_High]])</f>
        <v>0.18150500000000003</v>
      </c>
      <c r="AH1759">
        <v>1</v>
      </c>
    </row>
    <row r="1760" spans="1:34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tr" cm="1">
        <f t="array" ref="U1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60" t="str" cm="1">
        <f t="array" ref="V1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  <c r="AF1760">
        <f>AVERAGE(Table1[[#This Row],[Range2_Low]:[Range2_High]])</f>
        <v>2.7505000000000002E-2</v>
      </c>
      <c r="AG1760">
        <f>AVERAGE(Table1[[#This Row],[Range1_Low]:[Range1_High]])</f>
        <v>0.18150500000000003</v>
      </c>
      <c r="AH1760">
        <v>1</v>
      </c>
    </row>
    <row r="1761" spans="1:34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tr" cm="1">
        <f t="array" ref="U1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1" t="str" cm="1">
        <f t="array" ref="V1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  <c r="AF1761">
        <f>AVERAGE(Table1[[#This Row],[Range2_Low]:[Range2_High]])</f>
        <v>75.004999999999995</v>
      </c>
      <c r="AG1761">
        <f>AVERAGE(Table1[[#This Row],[Range1_Low]:[Range1_High]])</f>
        <v>0.18150500000000003</v>
      </c>
      <c r="AH1761">
        <v>1</v>
      </c>
    </row>
    <row r="1762" spans="1:34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tr" cm="1">
        <f t="array" ref="U1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2" t="str" cm="1">
        <f t="array" ref="V1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  <c r="AF1762">
        <f>AVERAGE(Table1[[#This Row],[Range2_Low]:[Range2_High]])</f>
        <v>500.5</v>
      </c>
      <c r="AG1762">
        <f>AVERAGE(Table1[[#This Row],[Range1_Low]:[Range1_High]])</f>
        <v>0.18150500000000003</v>
      </c>
      <c r="AH1762">
        <v>1</v>
      </c>
    </row>
    <row r="1763" spans="1:34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tr" cm="1">
        <f t="array" ref="U1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63" t="str" cm="1">
        <f t="array" ref="V1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  <c r="AF1763">
        <f>AVERAGE(Table1[[#This Row],[Range2_Low]:[Range2_High]])</f>
        <v>5.0225049999999998</v>
      </c>
      <c r="AG1763">
        <f>AVERAGE(Table1[[#This Row],[Range1_Low]:[Range1_High]])</f>
        <v>0.18150500000000003</v>
      </c>
      <c r="AH1763">
        <v>1</v>
      </c>
    </row>
    <row r="1764" spans="1:34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tr" cm="1">
        <f t="array" ref="U1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64" t="str" cm="1">
        <f t="array" ref="V1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  <c r="AF1764">
        <f>AVERAGE(Table1[[#This Row],[Range2_Low]:[Range2_High]])</f>
        <v>15.005000000000001</v>
      </c>
      <c r="AG1764">
        <f>AVERAGE(Table1[[#This Row],[Range1_Low]:[Range1_High]])</f>
        <v>0.18150500000000003</v>
      </c>
      <c r="AH1764">
        <v>1</v>
      </c>
    </row>
    <row r="1765" spans="1:34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tr" cm="1">
        <f t="array" ref="U1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1765" t="str" cm="1">
        <f t="array" ref="V1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µV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  <c r="AF1765">
        <f>AVERAGE(Table1[[#This Row],[Range2_Low]:[Range2_High]])</f>
        <v>35.004999999999995</v>
      </c>
      <c r="AG1765">
        <f>AVERAGE(Table1[[#This Row],[Range1_Low]:[Range1_High]])</f>
        <v>0.18150500000000003</v>
      </c>
      <c r="AH1765">
        <v>1</v>
      </c>
    </row>
    <row r="1766" spans="1:34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tr" cm="1">
        <f t="array" ref="U1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6" t="str" cm="1">
        <f t="array" ref="V1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  <c r="AF1766">
        <f>AVERAGE(Table1[[#This Row],[Range2_Low]:[Range2_High]])</f>
        <v>300</v>
      </c>
      <c r="AG1766">
        <f>AVERAGE(Table1[[#This Row],[Range1_Low]:[Range1_High]])</f>
        <v>0.18150500000000003</v>
      </c>
      <c r="AH1766">
        <v>1</v>
      </c>
    </row>
    <row r="1767" spans="1:34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tr" cm="1">
        <f t="array" ref="U1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7" t="str" cm="1">
        <f t="array" ref="V1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  <c r="AF1767">
        <f>AVERAGE(Table1[[#This Row],[Range2_Low]:[Range2_High]])</f>
        <v>75.004999999999995</v>
      </c>
      <c r="AG1767">
        <f>AVERAGE(Table1[[#This Row],[Range1_Low]:[Range1_High]])</f>
        <v>0.18150500000000003</v>
      </c>
      <c r="AH1767">
        <v>1</v>
      </c>
    </row>
    <row r="1768" spans="1:34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tr" cm="1">
        <f t="array" ref="U1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8" t="str" cm="1">
        <f t="array" ref="V1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  <c r="AF1768">
        <f>AVERAGE(Table1[[#This Row],[Range2_Low]:[Range2_High]])</f>
        <v>500.5</v>
      </c>
      <c r="AG1768">
        <f>AVERAGE(Table1[[#This Row],[Range1_Low]:[Range1_High]])</f>
        <v>0.18150500000000003</v>
      </c>
      <c r="AH1768">
        <v>1</v>
      </c>
    </row>
    <row r="1769" spans="1:34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tr" cm="1">
        <f t="array" ref="U1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V1769" t="str" cm="1">
        <f t="array" ref="V1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  <c r="AF1769">
        <f>AVERAGE(Table1[[#This Row],[Range2_Low]:[Range2_High]])</f>
        <v>2.7505000000000002E-2</v>
      </c>
      <c r="AG1769">
        <f>AVERAGE(Table1[[#This Row],[Range1_Low]:[Range1_High]])</f>
        <v>0.18150500000000003</v>
      </c>
      <c r="AH1769">
        <v>1</v>
      </c>
    </row>
    <row r="1770" spans="1:34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tr" cm="1">
        <f t="array" ref="U1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70" t="str" cm="1">
        <f t="array" ref="V1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  <c r="AF1770">
        <f>AVERAGE(Table1[[#This Row],[Range2_Low]:[Range2_High]])</f>
        <v>35.004999999999995</v>
      </c>
      <c r="AG1770">
        <f>AVERAGE(Table1[[#This Row],[Range1_Low]:[Range1_High]])</f>
        <v>0.18150500000000003</v>
      </c>
      <c r="AH1770">
        <v>1</v>
      </c>
    </row>
    <row r="1771" spans="1:34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tr" cm="1">
        <f t="array" ref="U1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1771" t="str" cm="1">
        <f t="array" ref="V1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  <c r="AF1771">
        <f>AVERAGE(Table1[[#This Row],[Range2_Low]:[Range2_High]])</f>
        <v>5.0225049999999998</v>
      </c>
      <c r="AG1771">
        <f>AVERAGE(Table1[[#This Row],[Range1_Low]:[Range1_High]])</f>
        <v>0.18150500000000003</v>
      </c>
      <c r="AH1771">
        <v>1</v>
      </c>
    </row>
    <row r="1772" spans="1:34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tr" cm="1">
        <f t="array" ref="U1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72" t="str" cm="1">
        <f t="array" ref="V1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  <c r="AF1772">
        <f>AVERAGE(Table1[[#This Row],[Range2_Low]:[Range2_High]])</f>
        <v>300</v>
      </c>
      <c r="AG1772">
        <f>AVERAGE(Table1[[#This Row],[Range1_Low]:[Range1_High]])</f>
        <v>0.18150500000000003</v>
      </c>
      <c r="AH1772">
        <v>1</v>
      </c>
    </row>
    <row r="1773" spans="1:34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tr" cm="1">
        <f t="array" ref="U1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1773" t="str" cm="1">
        <f t="array" ref="V1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  <c r="AF1773">
        <f>AVERAGE(Table1[[#This Row],[Range2_Low]:[Range2_High]])</f>
        <v>15.005000000000001</v>
      </c>
      <c r="AG1773">
        <f>AVERAGE(Table1[[#This Row],[Range1_Low]:[Range1_High]])</f>
        <v>0.18150500000000003</v>
      </c>
      <c r="AH1773">
        <v>1</v>
      </c>
    </row>
    <row r="1774" spans="1:34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tr" cm="1">
        <f t="array" ref="U1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4" t="str" cm="1">
        <f t="array" ref="V1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  <c r="AF1774">
        <f>AVERAGE(Table1[[#This Row],[Range2_Low]:[Range2_High]])</f>
        <v>2.7505000000000002E-2</v>
      </c>
      <c r="AG1774">
        <f>AVERAGE(Table1[[#This Row],[Range1_Low]:[Range1_High]])</f>
        <v>0.18150500000000003</v>
      </c>
      <c r="AH1774">
        <v>1</v>
      </c>
    </row>
    <row r="1775" spans="1:34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tr" cm="1">
        <f t="array" ref="U1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µV</v>
      </c>
      <c r="V1775" t="str" cm="1">
        <f t="array" ref="V1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  <c r="AF1775">
        <f>AVERAGE(Table1[[#This Row],[Range2_Low]:[Range2_High]])</f>
        <v>75.004999999999995</v>
      </c>
      <c r="AG1775">
        <f>AVERAGE(Table1[[#This Row],[Range1_Low]:[Range1_High]])</f>
        <v>0.18150500000000003</v>
      </c>
      <c r="AH1775">
        <v>1</v>
      </c>
    </row>
    <row r="1776" spans="1:34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tr" cm="1">
        <f t="array" ref="U1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6" t="str" cm="1">
        <f t="array" ref="V1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  <c r="AF1776">
        <f>AVERAGE(Table1[[#This Row],[Range2_Low]:[Range2_High]])</f>
        <v>300</v>
      </c>
      <c r="AG1776">
        <f>AVERAGE(Table1[[#This Row],[Range1_Low]:[Range1_High]])</f>
        <v>0.18150500000000003</v>
      </c>
      <c r="AH1776">
        <v>1</v>
      </c>
    </row>
    <row r="1777" spans="1:34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tr" cm="1">
        <f t="array" ref="U1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V1777" t="str" cm="1">
        <f t="array" ref="V1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  <c r="AF1777">
        <f>AVERAGE(Table1[[#This Row],[Range2_Low]:[Range2_High]])</f>
        <v>15.005000000000001</v>
      </c>
      <c r="AG1777">
        <f>AVERAGE(Table1[[#This Row],[Range1_Low]:[Range1_High]])</f>
        <v>0.18150500000000003</v>
      </c>
      <c r="AH1777">
        <v>1</v>
      </c>
    </row>
    <row r="1778" spans="1:34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tr" cm="1">
        <f t="array" ref="U1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8" t="str" cm="1">
        <f t="array" ref="V1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  <c r="AF1778">
        <f>AVERAGE(Table1[[#This Row],[Range2_Low]:[Range2_High]])</f>
        <v>500.5</v>
      </c>
      <c r="AG1778">
        <f>AVERAGE(Table1[[#This Row],[Range1_Low]:[Range1_High]])</f>
        <v>0.18150500000000003</v>
      </c>
      <c r="AH1778">
        <v>1</v>
      </c>
    </row>
    <row r="1779" spans="1:34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tr" cm="1">
        <f t="array" ref="U1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9" t="str" cm="1">
        <f t="array" ref="V1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  <c r="AF1779">
        <f>AVERAGE(Table1[[#This Row],[Range2_Low]:[Range2_High]])</f>
        <v>5.0225049999999998</v>
      </c>
      <c r="AG1779">
        <f>AVERAGE(Table1[[#This Row],[Range1_Low]:[Range1_High]])</f>
        <v>0.18150500000000003</v>
      </c>
      <c r="AH1779">
        <v>1</v>
      </c>
    </row>
    <row r="1780" spans="1:34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tr" cm="1">
        <f t="array" ref="U1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80" t="str" cm="1">
        <f t="array" ref="V1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  <c r="AF1780">
        <f>AVERAGE(Table1[[#This Row],[Range2_Low]:[Range2_High]])</f>
        <v>35.004999999999995</v>
      </c>
      <c r="AG1780">
        <f>AVERAGE(Table1[[#This Row],[Range1_Low]:[Range1_High]])</f>
        <v>0.18150500000000003</v>
      </c>
      <c r="AH1780">
        <v>1</v>
      </c>
    </row>
    <row r="1781" spans="1:34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tr" cm="1">
        <f t="array" ref="U1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1" t="str" cm="1">
        <f t="array" ref="V1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  <c r="AF1781">
        <f>AVERAGE(Table1[[#This Row],[Range2_Low]:[Range2_High]])</f>
        <v>35.004999999999995</v>
      </c>
      <c r="AG1781">
        <f>AVERAGE(Table1[[#This Row],[Range1_Low]:[Range1_High]])</f>
        <v>0.18150500000000003</v>
      </c>
      <c r="AH1781">
        <v>1</v>
      </c>
    </row>
    <row r="1782" spans="1:34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tr" cm="1">
        <f t="array" ref="U1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2" t="str" cm="1">
        <f t="array" ref="V1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  <c r="AF1782">
        <f>AVERAGE(Table1[[#This Row],[Range2_Low]:[Range2_High]])</f>
        <v>75.004999999999995</v>
      </c>
      <c r="AG1782">
        <f>AVERAGE(Table1[[#This Row],[Range1_Low]:[Range1_High]])</f>
        <v>0.18150500000000003</v>
      </c>
      <c r="AH1782">
        <v>1</v>
      </c>
    </row>
    <row r="1783" spans="1:34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tr" cm="1">
        <f t="array" ref="U1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3" t="str" cm="1">
        <f t="array" ref="V1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  <c r="AF1783">
        <f>AVERAGE(Table1[[#This Row],[Range2_Low]:[Range2_High]])</f>
        <v>2.7505000000000002E-2</v>
      </c>
      <c r="AG1783">
        <f>AVERAGE(Table1[[#This Row],[Range1_Low]:[Range1_High]])</f>
        <v>0.18150500000000003</v>
      </c>
      <c r="AH1783">
        <v>1</v>
      </c>
    </row>
    <row r="1784" spans="1:34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tr" cm="1">
        <f t="array" ref="U1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4" t="str" cm="1">
        <f t="array" ref="V1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  <c r="AF1784">
        <f>AVERAGE(Table1[[#This Row],[Range2_Low]:[Range2_High]])</f>
        <v>5.0225049999999998</v>
      </c>
      <c r="AG1784">
        <f>AVERAGE(Table1[[#This Row],[Range1_Low]:[Range1_High]])</f>
        <v>0.18150500000000003</v>
      </c>
      <c r="AH1784">
        <v>1</v>
      </c>
    </row>
    <row r="1785" spans="1:34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tr" cm="1">
        <f t="array" ref="U1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5" t="str" cm="1">
        <f t="array" ref="V1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  <c r="AF1785">
        <f>AVERAGE(Table1[[#This Row],[Range2_Low]:[Range2_High]])</f>
        <v>500.5</v>
      </c>
      <c r="AG1785">
        <f>AVERAGE(Table1[[#This Row],[Range1_Low]:[Range1_High]])</f>
        <v>0.18150500000000003</v>
      </c>
      <c r="AH1785">
        <v>1</v>
      </c>
    </row>
    <row r="1786" spans="1:34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tr" cm="1">
        <f t="array" ref="U1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6" t="str" cm="1">
        <f t="array" ref="V1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  <c r="AF1786">
        <f>AVERAGE(Table1[[#This Row],[Range2_Low]:[Range2_High]])</f>
        <v>15.005000000000001</v>
      </c>
      <c r="AG1786">
        <f>AVERAGE(Table1[[#This Row],[Range1_Low]:[Range1_High]])</f>
        <v>0.18150500000000003</v>
      </c>
      <c r="AH1786">
        <v>1</v>
      </c>
    </row>
    <row r="1787" spans="1:34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tr" cm="1">
        <f t="array" ref="U1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7" t="str" cm="1">
        <f t="array" ref="V1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  <c r="AF1787">
        <f>AVERAGE(Table1[[#This Row],[Range2_Low]:[Range2_High]])</f>
        <v>300</v>
      </c>
      <c r="AG1787">
        <f>AVERAGE(Table1[[#This Row],[Range1_Low]:[Range1_High]])</f>
        <v>0.18150500000000003</v>
      </c>
      <c r="AH1787">
        <v>1</v>
      </c>
    </row>
    <row r="1788" spans="1:34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tr" cm="1">
        <f t="array" ref="U1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8" t="str" cm="1">
        <f t="array" ref="V1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  <c r="AF1788">
        <f>AVERAGE(Table1[[#This Row],[Range2_Low]:[Range2_High]])</f>
        <v>300</v>
      </c>
      <c r="AG1788">
        <f>AVERAGE(Table1[[#This Row],[Range1_Low]:[Range1_High]])</f>
        <v>1.8150500000000001</v>
      </c>
      <c r="AH1788">
        <v>1</v>
      </c>
    </row>
    <row r="1789" spans="1:34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tr" cm="1">
        <f t="array" ref="U1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9" t="str" cm="1">
        <f t="array" ref="V1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  <c r="AF1789">
        <f>AVERAGE(Table1[[#This Row],[Range2_Low]:[Range2_High]])</f>
        <v>500.5</v>
      </c>
      <c r="AG1789">
        <f>AVERAGE(Table1[[#This Row],[Range1_Low]:[Range1_High]])</f>
        <v>1.8150500000000001</v>
      </c>
      <c r="AH1789">
        <v>1</v>
      </c>
    </row>
    <row r="1790" spans="1:34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tr" cm="1">
        <f t="array" ref="U1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0" t="str" cm="1">
        <f t="array" ref="V1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  <c r="AF1790">
        <f>AVERAGE(Table1[[#This Row],[Range2_Low]:[Range2_High]])</f>
        <v>2.7505000000000002E-2</v>
      </c>
      <c r="AG1790">
        <f>AVERAGE(Table1[[#This Row],[Range1_Low]:[Range1_High]])</f>
        <v>1.8150500000000001</v>
      </c>
      <c r="AH1790">
        <v>1</v>
      </c>
    </row>
    <row r="1791" spans="1:34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tr" cm="1">
        <f t="array" ref="U1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mV</v>
      </c>
      <c r="V1791" t="str" cm="1">
        <f t="array" ref="V1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  <c r="AF1791">
        <f>AVERAGE(Table1[[#This Row],[Range2_Low]:[Range2_High]])</f>
        <v>35.004999999999995</v>
      </c>
      <c r="AG1791">
        <f>AVERAGE(Table1[[#This Row],[Range1_Low]:[Range1_High]])</f>
        <v>1.8150500000000001</v>
      </c>
      <c r="AH1791">
        <v>1</v>
      </c>
    </row>
    <row r="1792" spans="1:34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tr" cm="1">
        <f t="array" ref="U1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792" t="str" cm="1">
        <f t="array" ref="V1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  <c r="AF1792">
        <f>AVERAGE(Table1[[#This Row],[Range2_Low]:[Range2_High]])</f>
        <v>75.004999999999995</v>
      </c>
      <c r="AG1792">
        <f>AVERAGE(Table1[[#This Row],[Range1_Low]:[Range1_High]])</f>
        <v>1.8150500000000001</v>
      </c>
      <c r="AH1792">
        <v>1</v>
      </c>
    </row>
    <row r="1793" spans="1:34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tr" cm="1">
        <f t="array" ref="U1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3" t="str" cm="1">
        <f t="array" ref="V1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  <c r="AF1793">
        <f>AVERAGE(Table1[[#This Row],[Range2_Low]:[Range2_High]])</f>
        <v>5.0225049999999998</v>
      </c>
      <c r="AG1793">
        <f>AVERAGE(Table1[[#This Row],[Range1_Low]:[Range1_High]])</f>
        <v>1.8150500000000001</v>
      </c>
      <c r="AH1793">
        <v>1</v>
      </c>
    </row>
    <row r="1794" spans="1:34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tr" cm="1">
        <f t="array" ref="U1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794" t="str" cm="1">
        <f t="array" ref="V1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  <c r="AF1794">
        <f>AVERAGE(Table1[[#This Row],[Range2_Low]:[Range2_High]])</f>
        <v>15.005000000000001</v>
      </c>
      <c r="AG1794">
        <f>AVERAGE(Table1[[#This Row],[Range1_Low]:[Range1_High]])</f>
        <v>1.8150500000000001</v>
      </c>
      <c r="AH1794">
        <v>1</v>
      </c>
    </row>
    <row r="1795" spans="1:34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tr" cm="1">
        <f t="array" ref="U1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5" t="str" cm="1">
        <f t="array" ref="V1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  <c r="AF1795">
        <f>AVERAGE(Table1[[#This Row],[Range2_Low]:[Range2_High]])</f>
        <v>500.5</v>
      </c>
      <c r="AG1795">
        <f>AVERAGE(Table1[[#This Row],[Range1_Low]:[Range1_High]])</f>
        <v>1.8150500000000001</v>
      </c>
      <c r="AH1795">
        <v>1</v>
      </c>
    </row>
    <row r="1796" spans="1:34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tr" cm="1">
        <f t="array" ref="U1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6" t="str" cm="1">
        <f t="array" ref="V1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  <c r="AF1796">
        <f>AVERAGE(Table1[[#This Row],[Range2_Low]:[Range2_High]])</f>
        <v>5.0225049999999998</v>
      </c>
      <c r="AG1796">
        <f>AVERAGE(Table1[[#This Row],[Range1_Low]:[Range1_High]])</f>
        <v>1.8150500000000001</v>
      </c>
      <c r="AH1796">
        <v>1</v>
      </c>
    </row>
    <row r="1797" spans="1:34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tr" cm="1">
        <f t="array" ref="U1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1797" t="str" cm="1">
        <f t="array" ref="V1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  <c r="AF1797">
        <f>AVERAGE(Table1[[#This Row],[Range2_Low]:[Range2_High]])</f>
        <v>35.004999999999995</v>
      </c>
      <c r="AG1797">
        <f>AVERAGE(Table1[[#This Row],[Range1_Low]:[Range1_High]])</f>
        <v>1.8150500000000001</v>
      </c>
      <c r="AH1797">
        <v>1</v>
      </c>
    </row>
    <row r="1798" spans="1:34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tr" cm="1">
        <f t="array" ref="U1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8" t="str" cm="1">
        <f t="array" ref="V1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  <c r="AF1798">
        <f>AVERAGE(Table1[[#This Row],[Range2_Low]:[Range2_High]])</f>
        <v>2.7505000000000002E-2</v>
      </c>
      <c r="AG1798">
        <f>AVERAGE(Table1[[#This Row],[Range1_Low]:[Range1_High]])</f>
        <v>1.8150500000000001</v>
      </c>
      <c r="AH1798">
        <v>1</v>
      </c>
    </row>
    <row r="1799" spans="1:34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tr" cm="1">
        <f t="array" ref="U1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9" t="str" cm="1">
        <f t="array" ref="V1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  <c r="AF1799">
        <f>AVERAGE(Table1[[#This Row],[Range2_Low]:[Range2_High]])</f>
        <v>300</v>
      </c>
      <c r="AG1799">
        <f>AVERAGE(Table1[[#This Row],[Range1_Low]:[Range1_High]])</f>
        <v>1.8150500000000001</v>
      </c>
      <c r="AH1799">
        <v>1</v>
      </c>
    </row>
    <row r="1800" spans="1:34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tr" cm="1">
        <f t="array" ref="U1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0" t="str" cm="1">
        <f t="array" ref="V1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  <c r="AF1800">
        <f>AVERAGE(Table1[[#This Row],[Range2_Low]:[Range2_High]])</f>
        <v>15.005000000000001</v>
      </c>
      <c r="AG1800">
        <f>AVERAGE(Table1[[#This Row],[Range1_Low]:[Range1_High]])</f>
        <v>1.8150500000000001</v>
      </c>
      <c r="AH1800">
        <v>1</v>
      </c>
    </row>
    <row r="1801" spans="1:34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tr" cm="1">
        <f t="array" ref="U1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1801" t="str" cm="1">
        <f t="array" ref="V1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  <c r="AF1801">
        <f>AVERAGE(Table1[[#This Row],[Range2_Low]:[Range2_High]])</f>
        <v>75.004999999999995</v>
      </c>
      <c r="AG1801">
        <f>AVERAGE(Table1[[#This Row],[Range1_Low]:[Range1_High]])</f>
        <v>1.8150500000000001</v>
      </c>
      <c r="AH1801">
        <v>1</v>
      </c>
    </row>
    <row r="1802" spans="1:34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tr" cm="1">
        <f t="array" ref="U1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V1802" t="str" cm="1">
        <f t="array" ref="V1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mV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  <c r="AF1802">
        <f>AVERAGE(Table1[[#This Row],[Range2_Low]:[Range2_High]])</f>
        <v>15.005000000000001</v>
      </c>
      <c r="AG1802">
        <f>AVERAGE(Table1[[#This Row],[Range1_Low]:[Range1_High]])</f>
        <v>1.8150500000000001</v>
      </c>
      <c r="AH1802">
        <v>1</v>
      </c>
    </row>
    <row r="1803" spans="1:34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tr" cm="1">
        <f t="array" ref="U1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3" t="str" cm="1">
        <f t="array" ref="V1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  <c r="AF1803">
        <f>AVERAGE(Table1[[#This Row],[Range2_Low]:[Range2_High]])</f>
        <v>2.7505000000000002E-2</v>
      </c>
      <c r="AG1803">
        <f>AVERAGE(Table1[[#This Row],[Range1_Low]:[Range1_High]])</f>
        <v>1.8150500000000001</v>
      </c>
      <c r="AH1803">
        <v>1</v>
      </c>
    </row>
    <row r="1804" spans="1:34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tr" cm="1">
        <f t="array" ref="U1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1804" t="str" cm="1">
        <f t="array" ref="V1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mV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  <c r="AF1804">
        <f>AVERAGE(Table1[[#This Row],[Range2_Low]:[Range2_High]])</f>
        <v>35.004999999999995</v>
      </c>
      <c r="AG1804">
        <f>AVERAGE(Table1[[#This Row],[Range1_Low]:[Range1_High]])</f>
        <v>1.8150500000000001</v>
      </c>
      <c r="AH1804">
        <v>1</v>
      </c>
    </row>
    <row r="1805" spans="1:34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tr" cm="1">
        <f t="array" ref="U1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mV</v>
      </c>
      <c r="V1805" t="str" cm="1">
        <f t="array" ref="V1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  <c r="AF1805">
        <f>AVERAGE(Table1[[#This Row],[Range2_Low]:[Range2_High]])</f>
        <v>5.0225049999999998</v>
      </c>
      <c r="AG1805">
        <f>AVERAGE(Table1[[#This Row],[Range1_Low]:[Range1_High]])</f>
        <v>1.8150500000000001</v>
      </c>
      <c r="AH1805">
        <v>1</v>
      </c>
    </row>
    <row r="1806" spans="1:34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tr" cm="1">
        <f t="array" ref="U1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6" t="str" cm="1">
        <f t="array" ref="V1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  <c r="AF1806">
        <f>AVERAGE(Table1[[#This Row],[Range2_Low]:[Range2_High]])</f>
        <v>300</v>
      </c>
      <c r="AG1806">
        <f>AVERAGE(Table1[[#This Row],[Range1_Low]:[Range1_High]])</f>
        <v>1.8150500000000001</v>
      </c>
      <c r="AH1806">
        <v>1</v>
      </c>
    </row>
    <row r="1807" spans="1:34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tr" cm="1">
        <f t="array" ref="U1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7" t="str" cm="1">
        <f t="array" ref="V1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  <c r="AF1807">
        <f>AVERAGE(Table1[[#This Row],[Range2_Low]:[Range2_High]])</f>
        <v>500.5</v>
      </c>
      <c r="AG1807">
        <f>AVERAGE(Table1[[#This Row],[Range1_Low]:[Range1_High]])</f>
        <v>1.8150500000000001</v>
      </c>
      <c r="AH1807">
        <v>1</v>
      </c>
    </row>
    <row r="1808" spans="1:34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tr" cm="1">
        <f t="array" ref="U1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808" t="str" cm="1">
        <f t="array" ref="V1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  <c r="AF1808">
        <f>AVERAGE(Table1[[#This Row],[Range2_Low]:[Range2_High]])</f>
        <v>75.004999999999995</v>
      </c>
      <c r="AG1808">
        <f>AVERAGE(Table1[[#This Row],[Range1_Low]:[Range1_High]])</f>
        <v>1.8150500000000001</v>
      </c>
      <c r="AH1808">
        <v>1</v>
      </c>
    </row>
    <row r="1809" spans="1:34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tr" cm="1">
        <f t="array" ref="U1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09" t="str" cm="1">
        <f t="array" ref="V1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  <c r="AF1809">
        <f>AVERAGE(Table1[[#This Row],[Range2_Low]:[Range2_High]])</f>
        <v>300</v>
      </c>
      <c r="AG1809">
        <f>AVERAGE(Table1[[#This Row],[Range1_Low]:[Range1_High]])</f>
        <v>1.8150500000000001</v>
      </c>
      <c r="AH1809">
        <v>1</v>
      </c>
    </row>
    <row r="1810" spans="1:34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tr" cm="1">
        <f t="array" ref="U1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10" t="str" cm="1">
        <f t="array" ref="V1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  <c r="AF1810">
        <f>AVERAGE(Table1[[#This Row],[Range2_Low]:[Range2_High]])</f>
        <v>500.5</v>
      </c>
      <c r="AG1810">
        <f>AVERAGE(Table1[[#This Row],[Range1_Low]:[Range1_High]])</f>
        <v>1.8150500000000001</v>
      </c>
      <c r="AH1810">
        <v>1</v>
      </c>
    </row>
    <row r="1811" spans="1:34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tr" cm="1">
        <f t="array" ref="U1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811" t="str" cm="1">
        <f t="array" ref="V1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  <c r="AF1811">
        <f>AVERAGE(Table1[[#This Row],[Range2_Low]:[Range2_High]])</f>
        <v>2.7505000000000002E-2</v>
      </c>
      <c r="AG1811">
        <f>AVERAGE(Table1[[#This Row],[Range1_Low]:[Range1_High]])</f>
        <v>1.8150500000000001</v>
      </c>
      <c r="AH1811">
        <v>1</v>
      </c>
    </row>
    <row r="1812" spans="1:34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tr" cm="1">
        <f t="array" ref="U1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1812" t="str" cm="1">
        <f t="array" ref="V1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mV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  <c r="AF1812">
        <f>AVERAGE(Table1[[#This Row],[Range2_Low]:[Range2_High]])</f>
        <v>35.004999999999995</v>
      </c>
      <c r="AG1812">
        <f>AVERAGE(Table1[[#This Row],[Range1_Low]:[Range1_High]])</f>
        <v>1.8150500000000001</v>
      </c>
      <c r="AH1812">
        <v>1</v>
      </c>
    </row>
    <row r="1813" spans="1:34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tr" cm="1">
        <f t="array" ref="U1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V1813" t="str" cm="1">
        <f t="array" ref="V1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  <c r="AF1813">
        <f>AVERAGE(Table1[[#This Row],[Range2_Low]:[Range2_High]])</f>
        <v>15.005000000000001</v>
      </c>
      <c r="AG1813">
        <f>AVERAGE(Table1[[#This Row],[Range1_Low]:[Range1_High]])</f>
        <v>1.8150500000000001</v>
      </c>
      <c r="AH1813">
        <v>1</v>
      </c>
    </row>
    <row r="1814" spans="1:34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tr" cm="1">
        <f t="array" ref="U1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mV</v>
      </c>
      <c r="V1814" t="str" cm="1">
        <f t="array" ref="V1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mV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  <c r="AF1814">
        <f>AVERAGE(Table1[[#This Row],[Range2_Low]:[Range2_High]])</f>
        <v>75.004999999999995</v>
      </c>
      <c r="AG1814">
        <f>AVERAGE(Table1[[#This Row],[Range1_Low]:[Range1_High]])</f>
        <v>1.8150500000000001</v>
      </c>
      <c r="AH1814">
        <v>1</v>
      </c>
    </row>
    <row r="1815" spans="1:34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tr" cm="1">
        <f t="array" ref="U1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1815" t="str" cm="1">
        <f t="array" ref="V1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  <c r="AF1815">
        <f>AVERAGE(Table1[[#This Row],[Range2_Low]:[Range2_High]])</f>
        <v>5.0225049999999998</v>
      </c>
      <c r="AG1815">
        <f>AVERAGE(Table1[[#This Row],[Range1_Low]:[Range1_High]])</f>
        <v>1.8150500000000001</v>
      </c>
      <c r="AH1815">
        <v>1</v>
      </c>
    </row>
    <row r="1816" spans="1:34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tr" cm="1">
        <f t="array" ref="U1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6" t="str" cm="1">
        <f t="array" ref="V1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  <c r="AF1816">
        <f>AVERAGE(Table1[[#This Row],[Range2_Low]:[Range2_High]])</f>
        <v>300</v>
      </c>
      <c r="AG1816">
        <f>AVERAGE(Table1[[#This Row],[Range1_Low]:[Range1_High]])</f>
        <v>1.8150500000000001</v>
      </c>
      <c r="AH1816">
        <v>1</v>
      </c>
    </row>
    <row r="1817" spans="1:34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tr" cm="1">
        <f t="array" ref="U1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7" t="str" cm="1">
        <f t="array" ref="V1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  <c r="AF1817">
        <f>AVERAGE(Table1[[#This Row],[Range2_Low]:[Range2_High]])</f>
        <v>75.004999999999995</v>
      </c>
      <c r="AG1817">
        <f>AVERAGE(Table1[[#This Row],[Range1_Low]:[Range1_High]])</f>
        <v>1.8150500000000001</v>
      </c>
      <c r="AH1817">
        <v>1</v>
      </c>
    </row>
    <row r="1818" spans="1:34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tr" cm="1">
        <f t="array" ref="U1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8" t="str" cm="1">
        <f t="array" ref="V1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  <c r="AF1818">
        <f>AVERAGE(Table1[[#This Row],[Range2_Low]:[Range2_High]])</f>
        <v>35.004999999999995</v>
      </c>
      <c r="AG1818">
        <f>AVERAGE(Table1[[#This Row],[Range1_Low]:[Range1_High]])</f>
        <v>1.8150500000000001</v>
      </c>
      <c r="AH1818">
        <v>1</v>
      </c>
    </row>
    <row r="1819" spans="1:34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tr" cm="1">
        <f t="array" ref="U1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9" t="str" cm="1">
        <f t="array" ref="V1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  <c r="AF1819">
        <f>AVERAGE(Table1[[#This Row],[Range2_Low]:[Range2_High]])</f>
        <v>500.5</v>
      </c>
      <c r="AG1819">
        <f>AVERAGE(Table1[[#This Row],[Range1_Low]:[Range1_High]])</f>
        <v>1.8150500000000001</v>
      </c>
      <c r="AH1819">
        <v>1</v>
      </c>
    </row>
    <row r="1820" spans="1:34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tr" cm="1">
        <f t="array" ref="U1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0" t="str" cm="1">
        <f t="array" ref="V1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  <c r="AF1820">
        <f>AVERAGE(Table1[[#This Row],[Range2_Low]:[Range2_High]])</f>
        <v>5.0225049999999998</v>
      </c>
      <c r="AG1820">
        <f>AVERAGE(Table1[[#This Row],[Range1_Low]:[Range1_High]])</f>
        <v>1.8150500000000001</v>
      </c>
      <c r="AH1820">
        <v>1</v>
      </c>
    </row>
    <row r="1821" spans="1:34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tr" cm="1">
        <f t="array" ref="U1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1" t="str" cm="1">
        <f t="array" ref="V1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  <c r="AF1821">
        <f>AVERAGE(Table1[[#This Row],[Range2_Low]:[Range2_High]])</f>
        <v>2.7505000000000002E-2</v>
      </c>
      <c r="AG1821">
        <f>AVERAGE(Table1[[#This Row],[Range1_Low]:[Range1_High]])</f>
        <v>1.8150500000000001</v>
      </c>
      <c r="AH1821">
        <v>1</v>
      </c>
    </row>
    <row r="1822" spans="1:34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tr" cm="1">
        <f t="array" ref="U1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2" t="str" cm="1">
        <f t="array" ref="V1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  <c r="AF1822">
        <f>AVERAGE(Table1[[#This Row],[Range2_Low]:[Range2_High]])</f>
        <v>15.005000000000001</v>
      </c>
      <c r="AG1822">
        <f>AVERAGE(Table1[[#This Row],[Range1_Low]:[Range1_High]])</f>
        <v>1.8150500000000001</v>
      </c>
      <c r="AH1822">
        <v>1</v>
      </c>
    </row>
    <row r="1823" spans="1:34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tr" cm="1">
        <f t="array" ref="U1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23" t="str" cm="1">
        <f t="array" ref="V1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  <c r="AF1823">
        <f>AVERAGE(Table1[[#This Row],[Range2_Low]:[Range2_High]])</f>
        <v>15.005000000000001</v>
      </c>
      <c r="AG1823">
        <f>AVERAGE(Table1[[#This Row],[Range1_Low]:[Range1_High]])</f>
        <v>18.150499999999997</v>
      </c>
      <c r="AH1823">
        <v>1</v>
      </c>
    </row>
    <row r="1824" spans="1:34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tr" cm="1">
        <f t="array" ref="U1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4" t="str" cm="1">
        <f t="array" ref="V1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  <c r="AF1824">
        <f>AVERAGE(Table1[[#This Row],[Range2_Low]:[Range2_High]])</f>
        <v>500.5</v>
      </c>
      <c r="AG1824">
        <f>AVERAGE(Table1[[#This Row],[Range1_Low]:[Range1_High]])</f>
        <v>18.150499999999997</v>
      </c>
      <c r="AH1824">
        <v>1</v>
      </c>
    </row>
    <row r="1825" spans="1:34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tr" cm="1">
        <f t="array" ref="U1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5" t="str" cm="1">
        <f t="array" ref="V1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  <c r="AF1825">
        <f>AVERAGE(Table1[[#This Row],[Range2_Low]:[Range2_High]])</f>
        <v>300</v>
      </c>
      <c r="AG1825">
        <f>AVERAGE(Table1[[#This Row],[Range1_Low]:[Range1_High]])</f>
        <v>18.150499999999997</v>
      </c>
      <c r="AH1825">
        <v>1</v>
      </c>
    </row>
    <row r="1826" spans="1:34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tr" cm="1">
        <f t="array" ref="U1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1826" t="str" cm="1">
        <f t="array" ref="V1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mV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  <c r="AF1826">
        <f>AVERAGE(Table1[[#This Row],[Range2_Low]:[Range2_High]])</f>
        <v>35.004999999999995</v>
      </c>
      <c r="AG1826">
        <f>AVERAGE(Table1[[#This Row],[Range1_Low]:[Range1_High]])</f>
        <v>18.150499999999997</v>
      </c>
      <c r="AH1826">
        <v>1</v>
      </c>
    </row>
    <row r="1827" spans="1:34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tr" cm="1">
        <f t="array" ref="U1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27" t="str" cm="1">
        <f t="array" ref="V1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  <c r="AF1827">
        <f>AVERAGE(Table1[[#This Row],[Range2_Low]:[Range2_High]])</f>
        <v>75.004999999999995</v>
      </c>
      <c r="AG1827">
        <f>AVERAGE(Table1[[#This Row],[Range1_Low]:[Range1_High]])</f>
        <v>18.150499999999997</v>
      </c>
      <c r="AH1827">
        <v>1</v>
      </c>
    </row>
    <row r="1828" spans="1:34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tr" cm="1">
        <f t="array" ref="U1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28" t="str" cm="1">
        <f t="array" ref="V1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  <c r="AF1828">
        <f>AVERAGE(Table1[[#This Row],[Range2_Low]:[Range2_High]])</f>
        <v>5.0225049999999998</v>
      </c>
      <c r="AG1828">
        <f>AVERAGE(Table1[[#This Row],[Range1_Low]:[Range1_High]])</f>
        <v>18.150499999999997</v>
      </c>
      <c r="AH1828">
        <v>1</v>
      </c>
    </row>
    <row r="1829" spans="1:34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tr" cm="1">
        <f t="array" ref="U1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29" t="str" cm="1">
        <f t="array" ref="V1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  <c r="AF1829">
        <f>AVERAGE(Table1[[#This Row],[Range2_Low]:[Range2_High]])</f>
        <v>2.7505000000000002E-2</v>
      </c>
      <c r="AG1829">
        <f>AVERAGE(Table1[[#This Row],[Range1_Low]:[Range1_High]])</f>
        <v>18.150499999999997</v>
      </c>
      <c r="AH1829">
        <v>1</v>
      </c>
    </row>
    <row r="1830" spans="1:34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tr" cm="1">
        <f t="array" ref="U1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0" t="str" cm="1">
        <f t="array" ref="V1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  <c r="AF1830">
        <f>AVERAGE(Table1[[#This Row],[Range2_Low]:[Range2_High]])</f>
        <v>300</v>
      </c>
      <c r="AG1830">
        <f>AVERAGE(Table1[[#This Row],[Range1_Low]:[Range1_High]])</f>
        <v>18.150499999999997</v>
      </c>
      <c r="AH1830">
        <v>1</v>
      </c>
    </row>
    <row r="1831" spans="1:34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tr" cm="1">
        <f t="array" ref="U1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1" t="str" cm="1">
        <f t="array" ref="V1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  <c r="AF1831">
        <f>AVERAGE(Table1[[#This Row],[Range2_Low]:[Range2_High]])</f>
        <v>2.7505000000000002E-2</v>
      </c>
      <c r="AG1831">
        <f>AVERAGE(Table1[[#This Row],[Range1_Low]:[Range1_High]])</f>
        <v>18.150499999999997</v>
      </c>
      <c r="AH1831">
        <v>1</v>
      </c>
    </row>
    <row r="1832" spans="1:34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tr" cm="1">
        <f t="array" ref="U1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1832" t="str" cm="1">
        <f t="array" ref="V1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  <c r="AF1832">
        <f>AVERAGE(Table1[[#This Row],[Range2_Low]:[Range2_High]])</f>
        <v>35.004999999999995</v>
      </c>
      <c r="AG1832">
        <f>AVERAGE(Table1[[#This Row],[Range1_Low]:[Range1_High]])</f>
        <v>18.150499999999997</v>
      </c>
      <c r="AH1832">
        <v>1</v>
      </c>
    </row>
    <row r="1833" spans="1:34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tr" cm="1">
        <f t="array" ref="U1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3" t="str" cm="1">
        <f t="array" ref="V1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  <c r="AF1833">
        <f>AVERAGE(Table1[[#This Row],[Range2_Low]:[Range2_High]])</f>
        <v>500.5</v>
      </c>
      <c r="AG1833">
        <f>AVERAGE(Table1[[#This Row],[Range1_Low]:[Range1_High]])</f>
        <v>18.150499999999997</v>
      </c>
      <c r="AH1833">
        <v>1</v>
      </c>
    </row>
    <row r="1834" spans="1:34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tr" cm="1">
        <f t="array" ref="U1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34" t="str" cm="1">
        <f t="array" ref="V1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  <c r="AF1834">
        <f>AVERAGE(Table1[[#This Row],[Range2_Low]:[Range2_High]])</f>
        <v>15.005000000000001</v>
      </c>
      <c r="AG1834">
        <f>AVERAGE(Table1[[#This Row],[Range1_Low]:[Range1_High]])</f>
        <v>18.150499999999997</v>
      </c>
      <c r="AH1834">
        <v>1</v>
      </c>
    </row>
    <row r="1835" spans="1:34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tr" cm="1">
        <f t="array" ref="U1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35" t="str" cm="1">
        <f t="array" ref="V1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  <c r="AF1835">
        <f>AVERAGE(Table1[[#This Row],[Range2_Low]:[Range2_High]])</f>
        <v>5.0225049999999998</v>
      </c>
      <c r="AG1835">
        <f>AVERAGE(Table1[[#This Row],[Range1_Low]:[Range1_High]])</f>
        <v>18.150499999999997</v>
      </c>
      <c r="AH1835">
        <v>1</v>
      </c>
    </row>
    <row r="1836" spans="1:34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tr" cm="1">
        <f t="array" ref="U1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836" t="str" cm="1">
        <f t="array" ref="V1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  <c r="AF1836">
        <f>AVERAGE(Table1[[#This Row],[Range2_Low]:[Range2_High]])</f>
        <v>75.004999999999995</v>
      </c>
      <c r="AG1836">
        <f>AVERAGE(Table1[[#This Row],[Range1_Low]:[Range1_High]])</f>
        <v>18.150499999999997</v>
      </c>
      <c r="AH1836">
        <v>1</v>
      </c>
    </row>
    <row r="1837" spans="1:34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tr" cm="1">
        <f t="array" ref="U1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7" t="str" cm="1">
        <f t="array" ref="V1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  <c r="AF1837">
        <f>AVERAGE(Table1[[#This Row],[Range2_Low]:[Range2_High]])</f>
        <v>5.0225049999999998</v>
      </c>
      <c r="AG1837">
        <f>AVERAGE(Table1[[#This Row],[Range1_Low]:[Range1_High]])</f>
        <v>18.150499999999997</v>
      </c>
      <c r="AH1837">
        <v>1</v>
      </c>
    </row>
    <row r="1838" spans="1:34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tr" cm="1">
        <f t="array" ref="U1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mV</v>
      </c>
      <c r="V1838" t="str" cm="1">
        <f t="array" ref="V1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mV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  <c r="AF1838">
        <f>AVERAGE(Table1[[#This Row],[Range2_Low]:[Range2_High]])</f>
        <v>35.004999999999995</v>
      </c>
      <c r="AG1838">
        <f>AVERAGE(Table1[[#This Row],[Range1_Low]:[Range1_High]])</f>
        <v>18.150499999999997</v>
      </c>
      <c r="AH1838">
        <v>1</v>
      </c>
    </row>
    <row r="1839" spans="1:34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tr" cm="1">
        <f t="array" ref="U1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9" t="str" cm="1">
        <f t="array" ref="V1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  <c r="AF1839">
        <f>AVERAGE(Table1[[#This Row],[Range2_Low]:[Range2_High]])</f>
        <v>300</v>
      </c>
      <c r="AG1839">
        <f>AVERAGE(Table1[[#This Row],[Range1_Low]:[Range1_High]])</f>
        <v>18.150499999999997</v>
      </c>
      <c r="AH1839">
        <v>1</v>
      </c>
    </row>
    <row r="1840" spans="1:34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tr" cm="1">
        <f t="array" ref="U1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1840" t="str" cm="1">
        <f t="array" ref="V1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  <c r="AF1840">
        <f>AVERAGE(Table1[[#This Row],[Range2_Low]:[Range2_High]])</f>
        <v>15.005000000000001</v>
      </c>
      <c r="AG1840">
        <f>AVERAGE(Table1[[#This Row],[Range1_Low]:[Range1_High]])</f>
        <v>18.150499999999997</v>
      </c>
      <c r="AH1840">
        <v>1</v>
      </c>
    </row>
    <row r="1841" spans="1:34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tr" cm="1">
        <f t="array" ref="U1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41" t="str" cm="1">
        <f t="array" ref="V1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  <c r="AF1841">
        <f>AVERAGE(Table1[[#This Row],[Range2_Low]:[Range2_High]])</f>
        <v>75.004999999999995</v>
      </c>
      <c r="AG1841">
        <f>AVERAGE(Table1[[#This Row],[Range1_Low]:[Range1_High]])</f>
        <v>18.150499999999997</v>
      </c>
      <c r="AH1841">
        <v>1</v>
      </c>
    </row>
    <row r="1842" spans="1:34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tr" cm="1">
        <f t="array" ref="U1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42" t="str" cm="1">
        <f t="array" ref="V1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  <c r="AF1842">
        <f>AVERAGE(Table1[[#This Row],[Range2_Low]:[Range2_High]])</f>
        <v>2.7505000000000002E-2</v>
      </c>
      <c r="AG1842">
        <f>AVERAGE(Table1[[#This Row],[Range1_Low]:[Range1_High]])</f>
        <v>18.150499999999997</v>
      </c>
      <c r="AH1842">
        <v>1</v>
      </c>
    </row>
    <row r="1843" spans="1:34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tr" cm="1">
        <f t="array" ref="U1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43" t="str" cm="1">
        <f t="array" ref="V1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  <c r="AF1843">
        <f>AVERAGE(Table1[[#This Row],[Range2_Low]:[Range2_High]])</f>
        <v>500.5</v>
      </c>
      <c r="AG1843">
        <f>AVERAGE(Table1[[#This Row],[Range1_Low]:[Range1_High]])</f>
        <v>18.150499999999997</v>
      </c>
      <c r="AH1843">
        <v>1</v>
      </c>
    </row>
    <row r="1844" spans="1:34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tr" cm="1">
        <f t="array" ref="U1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1844" t="str" cm="1">
        <f t="array" ref="V1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  <c r="AF1844">
        <f>AVERAGE(Table1[[#This Row],[Range2_Low]:[Range2_High]])</f>
        <v>75.004999999999995</v>
      </c>
      <c r="AG1844">
        <f>AVERAGE(Table1[[#This Row],[Range1_Low]:[Range1_High]])</f>
        <v>18.150499999999997</v>
      </c>
      <c r="AH1844">
        <v>1</v>
      </c>
    </row>
    <row r="1845" spans="1:34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tr" cm="1">
        <f t="array" ref="U1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1845" t="str" cm="1">
        <f t="array" ref="V1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  <c r="AF1845">
        <f>AVERAGE(Table1[[#This Row],[Range2_Low]:[Range2_High]])</f>
        <v>15.005000000000001</v>
      </c>
      <c r="AG1845">
        <f>AVERAGE(Table1[[#This Row],[Range1_Low]:[Range1_High]])</f>
        <v>18.150499999999997</v>
      </c>
      <c r="AH1845">
        <v>1</v>
      </c>
    </row>
    <row r="1846" spans="1:34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tr" cm="1">
        <f t="array" ref="U1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46" t="str" cm="1">
        <f t="array" ref="V1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  <c r="AF1846">
        <f>AVERAGE(Table1[[#This Row],[Range2_Low]:[Range2_High]])</f>
        <v>5.0225049999999998</v>
      </c>
      <c r="AG1846">
        <f>AVERAGE(Table1[[#This Row],[Range1_Low]:[Range1_High]])</f>
        <v>18.150499999999997</v>
      </c>
      <c r="AH1846">
        <v>1</v>
      </c>
    </row>
    <row r="1847" spans="1:34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tr" cm="1">
        <f t="array" ref="U1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47" t="str" cm="1">
        <f t="array" ref="V1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  <c r="AF1847">
        <f>AVERAGE(Table1[[#This Row],[Range2_Low]:[Range2_High]])</f>
        <v>2.7505000000000002E-2</v>
      </c>
      <c r="AG1847">
        <f>AVERAGE(Table1[[#This Row],[Range1_Low]:[Range1_High]])</f>
        <v>18.150499999999997</v>
      </c>
      <c r="AH1847">
        <v>1</v>
      </c>
    </row>
    <row r="1848" spans="1:34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tr" cm="1">
        <f t="array" ref="U1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8" t="str" cm="1">
        <f t="array" ref="V1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  <c r="AF1848">
        <f>AVERAGE(Table1[[#This Row],[Range2_Low]:[Range2_High]])</f>
        <v>300</v>
      </c>
      <c r="AG1848">
        <f>AVERAGE(Table1[[#This Row],[Range1_Low]:[Range1_High]])</f>
        <v>18.150499999999997</v>
      </c>
      <c r="AH1848">
        <v>1</v>
      </c>
    </row>
    <row r="1849" spans="1:34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tr" cm="1">
        <f t="array" ref="U1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9" t="str" cm="1">
        <f t="array" ref="V1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  <c r="AF1849">
        <f>AVERAGE(Table1[[#This Row],[Range2_Low]:[Range2_High]])</f>
        <v>500.5</v>
      </c>
      <c r="AG1849">
        <f>AVERAGE(Table1[[#This Row],[Range1_Low]:[Range1_High]])</f>
        <v>18.150499999999997</v>
      </c>
      <c r="AH1849">
        <v>1</v>
      </c>
    </row>
    <row r="1850" spans="1:34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tr" cm="1">
        <f t="array" ref="U1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1850" t="str" cm="1">
        <f t="array" ref="V1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  <c r="AF1850">
        <f>AVERAGE(Table1[[#This Row],[Range2_Low]:[Range2_High]])</f>
        <v>35.004999999999995</v>
      </c>
      <c r="AG1850">
        <f>AVERAGE(Table1[[#This Row],[Range1_Low]:[Range1_High]])</f>
        <v>18.150499999999997</v>
      </c>
      <c r="AH1850">
        <v>1</v>
      </c>
    </row>
    <row r="1851" spans="1:34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tr" cm="1">
        <f t="array" ref="U1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1" t="str" cm="1">
        <f t="array" ref="V1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  <c r="AF1851">
        <f>AVERAGE(Table1[[#This Row],[Range2_Low]:[Range2_High]])</f>
        <v>5.0225049999999998</v>
      </c>
      <c r="AG1851">
        <f>AVERAGE(Table1[[#This Row],[Range1_Low]:[Range1_High]])</f>
        <v>18.150499999999997</v>
      </c>
      <c r="AH1851">
        <v>1</v>
      </c>
    </row>
    <row r="1852" spans="1:34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tr" cm="1">
        <f t="array" ref="U1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2" t="str" cm="1">
        <f t="array" ref="V1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  <c r="AF1852">
        <f>AVERAGE(Table1[[#This Row],[Range2_Low]:[Range2_High]])</f>
        <v>300</v>
      </c>
      <c r="AG1852">
        <f>AVERAGE(Table1[[#This Row],[Range1_Low]:[Range1_High]])</f>
        <v>18.150499999999997</v>
      </c>
      <c r="AH1852">
        <v>1</v>
      </c>
    </row>
    <row r="1853" spans="1:34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tr" cm="1">
        <f t="array" ref="U1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3" t="str" cm="1">
        <f t="array" ref="V1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  <c r="AF1853">
        <f>AVERAGE(Table1[[#This Row],[Range2_Low]:[Range2_High]])</f>
        <v>75.004999999999995</v>
      </c>
      <c r="AG1853">
        <f>AVERAGE(Table1[[#This Row],[Range1_Low]:[Range1_High]])</f>
        <v>18.150499999999997</v>
      </c>
      <c r="AH1853">
        <v>1</v>
      </c>
    </row>
    <row r="1854" spans="1:34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tr" cm="1">
        <f t="array" ref="U1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4" t="str" cm="1">
        <f t="array" ref="V1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  <c r="AF1854">
        <f>AVERAGE(Table1[[#This Row],[Range2_Low]:[Range2_High]])</f>
        <v>35.004999999999995</v>
      </c>
      <c r="AG1854">
        <f>AVERAGE(Table1[[#This Row],[Range1_Low]:[Range1_High]])</f>
        <v>18.150499999999997</v>
      </c>
      <c r="AH1854">
        <v>1</v>
      </c>
    </row>
    <row r="1855" spans="1:34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tr" cm="1">
        <f t="array" ref="U1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5" t="str" cm="1">
        <f t="array" ref="V1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  <c r="AF1855">
        <f>AVERAGE(Table1[[#This Row],[Range2_Low]:[Range2_High]])</f>
        <v>2.7505000000000002E-2</v>
      </c>
      <c r="AG1855">
        <f>AVERAGE(Table1[[#This Row],[Range1_Low]:[Range1_High]])</f>
        <v>18.150499999999997</v>
      </c>
      <c r="AH1855">
        <v>1</v>
      </c>
    </row>
    <row r="1856" spans="1:34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tr" cm="1">
        <f t="array" ref="U1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6" t="str" cm="1">
        <f t="array" ref="V1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  <c r="AF1856">
        <f>AVERAGE(Table1[[#This Row],[Range2_Low]:[Range2_High]])</f>
        <v>500.5</v>
      </c>
      <c r="AG1856">
        <f>AVERAGE(Table1[[#This Row],[Range1_Low]:[Range1_High]])</f>
        <v>18.150499999999997</v>
      </c>
      <c r="AH1856">
        <v>1</v>
      </c>
    </row>
    <row r="1857" spans="1:34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tr" cm="1">
        <f t="array" ref="U1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7" t="str" cm="1">
        <f t="array" ref="V1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  <c r="AF1857">
        <f>AVERAGE(Table1[[#This Row],[Range2_Low]:[Range2_High]])</f>
        <v>15.005000000000001</v>
      </c>
      <c r="AG1857">
        <f>AVERAGE(Table1[[#This Row],[Range1_Low]:[Range1_High]])</f>
        <v>18.150499999999997</v>
      </c>
      <c r="AH1857">
        <v>1</v>
      </c>
    </row>
    <row r="1858" spans="1:34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tr" cm="1">
        <f t="array" ref="U1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58" t="str" cm="1">
        <f t="array" ref="V1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  <c r="AF1858">
        <f>AVERAGE(Table1[[#This Row],[Range2_Low]:[Range2_High]])</f>
        <v>2.7505000000000002E-2</v>
      </c>
      <c r="AG1858">
        <f>AVERAGE(Table1[[#This Row],[Range1_Low]:[Range1_High]])</f>
        <v>181.505</v>
      </c>
      <c r="AH1858">
        <v>1</v>
      </c>
    </row>
    <row r="1859" spans="1:34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tr" cm="1">
        <f t="array" ref="U1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59" t="str" cm="1">
        <f t="array" ref="V1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  <c r="AF1859">
        <f>AVERAGE(Table1[[#This Row],[Range2_Low]:[Range2_High]])</f>
        <v>5.0225049999999998</v>
      </c>
      <c r="AG1859">
        <f>AVERAGE(Table1[[#This Row],[Range1_Low]:[Range1_High]])</f>
        <v>181.505</v>
      </c>
      <c r="AH1859">
        <v>1</v>
      </c>
    </row>
    <row r="1860" spans="1:34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tr" cm="1">
        <f t="array" ref="U1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0" t="str" cm="1">
        <f t="array" ref="V1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  <c r="AF1860">
        <f>AVERAGE(Table1[[#This Row],[Range2_Low]:[Range2_High]])</f>
        <v>100.05</v>
      </c>
      <c r="AG1860">
        <f>AVERAGE(Table1[[#This Row],[Range1_Low]:[Range1_High]])</f>
        <v>181.505</v>
      </c>
      <c r="AH1860">
        <v>1</v>
      </c>
    </row>
    <row r="1861" spans="1:34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tr" cm="1">
        <f t="array" ref="U1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1" t="str" cm="1">
        <f t="array" ref="V1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  <c r="AF1861">
        <f>AVERAGE(Table1[[#This Row],[Range2_Low]:[Range2_High]])</f>
        <v>35.004999999999995</v>
      </c>
      <c r="AG1861">
        <f>AVERAGE(Table1[[#This Row],[Range1_Low]:[Range1_High]])</f>
        <v>181.505</v>
      </c>
      <c r="AH1861">
        <v>1</v>
      </c>
    </row>
    <row r="1862" spans="1:34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tr" cm="1">
        <f t="array" ref="U1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2" t="str" cm="1">
        <f t="array" ref="V1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  <c r="AF1862">
        <f>AVERAGE(Table1[[#This Row],[Range2_Low]:[Range2_High]])</f>
        <v>15.005000000000001</v>
      </c>
      <c r="AG1862">
        <f>AVERAGE(Table1[[#This Row],[Range1_Low]:[Range1_High]])</f>
        <v>181.505</v>
      </c>
      <c r="AH1862">
        <v>1</v>
      </c>
    </row>
    <row r="1863" spans="1:34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tr" cm="1">
        <f t="array" ref="U1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3" t="str" cm="1">
        <f t="array" ref="V1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  <c r="AF1863">
        <f>AVERAGE(Table1[[#This Row],[Range2_Low]:[Range2_High]])</f>
        <v>75</v>
      </c>
      <c r="AG1863">
        <f>AVERAGE(Table1[[#This Row],[Range1_Low]:[Range1_High]])</f>
        <v>181.505</v>
      </c>
      <c r="AH1863">
        <v>1</v>
      </c>
    </row>
    <row r="1864" spans="1:34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tr" cm="1">
        <f t="array" ref="U1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4" t="str" cm="1">
        <f t="array" ref="V1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  <c r="AF1864">
        <f>AVERAGE(Table1[[#This Row],[Range2_Low]:[Range2_High]])</f>
        <v>35.004999999999995</v>
      </c>
      <c r="AG1864">
        <f>AVERAGE(Table1[[#This Row],[Range1_Low]:[Range1_High]])</f>
        <v>181.505</v>
      </c>
      <c r="AH1864">
        <v>1</v>
      </c>
    </row>
    <row r="1865" spans="1:34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tr" cm="1">
        <f t="array" ref="U1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65" t="str" cm="1">
        <f t="array" ref="V1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  <c r="AF1865">
        <f>AVERAGE(Table1[[#This Row],[Range2_Low]:[Range2_High]])</f>
        <v>2.7505000000000002E-2</v>
      </c>
      <c r="AG1865">
        <f>AVERAGE(Table1[[#This Row],[Range1_Low]:[Range1_High]])</f>
        <v>181.505</v>
      </c>
      <c r="AH1865">
        <v>1</v>
      </c>
    </row>
    <row r="1866" spans="1:34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tr" cm="1">
        <f t="array" ref="U1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6" t="str" cm="1">
        <f t="array" ref="V1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  <c r="AF1866">
        <f>AVERAGE(Table1[[#This Row],[Range2_Low]:[Range2_High]])</f>
        <v>75</v>
      </c>
      <c r="AG1866">
        <f>AVERAGE(Table1[[#This Row],[Range1_Low]:[Range1_High]])</f>
        <v>181.505</v>
      </c>
      <c r="AH1866">
        <v>1</v>
      </c>
    </row>
    <row r="1867" spans="1:34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tr" cm="1">
        <f t="array" ref="U1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67" t="str" cm="1">
        <f t="array" ref="V1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mV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  <c r="AF1867">
        <f>AVERAGE(Table1[[#This Row],[Range2_Low]:[Range2_High]])</f>
        <v>5.0225049999999998</v>
      </c>
      <c r="AG1867">
        <f>AVERAGE(Table1[[#This Row],[Range1_Low]:[Range1_High]])</f>
        <v>181.505</v>
      </c>
      <c r="AH1867">
        <v>1</v>
      </c>
    </row>
    <row r="1868" spans="1:34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tr" cm="1">
        <f t="array" ref="U1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8" t="str" cm="1">
        <f t="array" ref="V1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  <c r="AF1868">
        <f>AVERAGE(Table1[[#This Row],[Range2_Low]:[Range2_High]])</f>
        <v>15.005000000000001</v>
      </c>
      <c r="AG1868">
        <f>AVERAGE(Table1[[#This Row],[Range1_Low]:[Range1_High]])</f>
        <v>181.505</v>
      </c>
      <c r="AH1868">
        <v>1</v>
      </c>
    </row>
    <row r="1869" spans="1:34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tr" cm="1">
        <f t="array" ref="U1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9" t="str" cm="1">
        <f t="array" ref="V1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  <c r="AF1869">
        <f>AVERAGE(Table1[[#This Row],[Range2_Low]:[Range2_High]])</f>
        <v>100.05</v>
      </c>
      <c r="AG1869">
        <f>AVERAGE(Table1[[#This Row],[Range1_Low]:[Range1_High]])</f>
        <v>181.505</v>
      </c>
      <c r="AH1869">
        <v>1</v>
      </c>
    </row>
    <row r="1870" spans="1:34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tr" cm="1">
        <f t="array" ref="U1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V1870" t="str" cm="1">
        <f t="array" ref="V1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  <c r="AF1870">
        <f>AVERAGE(Table1[[#This Row],[Range2_Low]:[Range2_High]])</f>
        <v>15.005000000000001</v>
      </c>
      <c r="AG1870">
        <f>AVERAGE(Table1[[#This Row],[Range1_Low]:[Range1_High]])</f>
        <v>181.505</v>
      </c>
      <c r="AH1870">
        <v>1</v>
      </c>
    </row>
    <row r="1871" spans="1:34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tr" cm="1">
        <f t="array" ref="U1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1871" t="str" cm="1">
        <f t="array" ref="V1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  <c r="AF1871">
        <f>AVERAGE(Table1[[#This Row],[Range2_Low]:[Range2_High]])</f>
        <v>5.0225049999999998</v>
      </c>
      <c r="AG1871">
        <f>AVERAGE(Table1[[#This Row],[Range1_Low]:[Range1_High]])</f>
        <v>181.505</v>
      </c>
      <c r="AH1871">
        <v>1</v>
      </c>
    </row>
    <row r="1872" spans="1:34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tr" cm="1">
        <f t="array" ref="U1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2" t="str" cm="1">
        <f t="array" ref="V1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  <c r="AF1872">
        <f>AVERAGE(Table1[[#This Row],[Range2_Low]:[Range2_High]])</f>
        <v>75</v>
      </c>
      <c r="AG1872">
        <f>AVERAGE(Table1[[#This Row],[Range1_Low]:[Range1_High]])</f>
        <v>181.505</v>
      </c>
      <c r="AH1872">
        <v>1</v>
      </c>
    </row>
    <row r="1873" spans="1:34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tr" cm="1">
        <f t="array" ref="U1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3" t="str" cm="1">
        <f t="array" ref="V1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  <c r="AF1873">
        <f>AVERAGE(Table1[[#This Row],[Range2_Low]:[Range2_High]])</f>
        <v>100.05</v>
      </c>
      <c r="AG1873">
        <f>AVERAGE(Table1[[#This Row],[Range1_Low]:[Range1_High]])</f>
        <v>181.505</v>
      </c>
      <c r="AH1873">
        <v>1</v>
      </c>
    </row>
    <row r="1874" spans="1:34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tr" cm="1">
        <f t="array" ref="U1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V1874" t="str" cm="1">
        <f t="array" ref="V1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  <c r="AF1874">
        <f>AVERAGE(Table1[[#This Row],[Range2_Low]:[Range2_High]])</f>
        <v>35.004999999999995</v>
      </c>
      <c r="AG1874">
        <f>AVERAGE(Table1[[#This Row],[Range1_Low]:[Range1_High]])</f>
        <v>181.505</v>
      </c>
      <c r="AH1874">
        <v>1</v>
      </c>
    </row>
    <row r="1875" spans="1:34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tr" cm="1">
        <f t="array" ref="U1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1875" t="str" cm="1">
        <f t="array" ref="V1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  <c r="AF1875">
        <f>AVERAGE(Table1[[#This Row],[Range2_Low]:[Range2_High]])</f>
        <v>2.7505000000000002E-2</v>
      </c>
      <c r="AG1875">
        <f>AVERAGE(Table1[[#This Row],[Range1_Low]:[Range1_High]])</f>
        <v>181.505</v>
      </c>
      <c r="AH1875">
        <v>1</v>
      </c>
    </row>
    <row r="1876" spans="1:34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tr" cm="1">
        <f t="array" ref="U1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1876" t="str" cm="1">
        <f t="array" ref="V1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  <c r="AF1876">
        <f>AVERAGE(Table1[[#This Row],[Range2_Low]:[Range2_High]])</f>
        <v>2.7505000000000002E-2</v>
      </c>
      <c r="AG1876">
        <f>AVERAGE(Table1[[#This Row],[Range1_Low]:[Range1_High]])</f>
        <v>181.505</v>
      </c>
      <c r="AH1876">
        <v>1</v>
      </c>
    </row>
    <row r="1877" spans="1:34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tr" cm="1">
        <f t="array" ref="U1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77" t="str" cm="1">
        <f t="array" ref="V1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  <c r="AF1877">
        <f>AVERAGE(Table1[[#This Row],[Range2_Low]:[Range2_High]])</f>
        <v>35.004999999999995</v>
      </c>
      <c r="AG1877">
        <f>AVERAGE(Table1[[#This Row],[Range1_Low]:[Range1_High]])</f>
        <v>181.505</v>
      </c>
      <c r="AH1877">
        <v>1</v>
      </c>
    </row>
    <row r="1878" spans="1:34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tr" cm="1">
        <f t="array" ref="U1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78" t="str" cm="1">
        <f t="array" ref="V1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  <c r="AF1878">
        <f>AVERAGE(Table1[[#This Row],[Range2_Low]:[Range2_High]])</f>
        <v>75</v>
      </c>
      <c r="AG1878">
        <f>AVERAGE(Table1[[#This Row],[Range1_Low]:[Range1_High]])</f>
        <v>181.505</v>
      </c>
      <c r="AH1878">
        <v>1</v>
      </c>
    </row>
    <row r="1879" spans="1:34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tr" cm="1">
        <f t="array" ref="U1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79" t="str" cm="1">
        <f t="array" ref="V1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  <c r="AF1879">
        <f>AVERAGE(Table1[[#This Row],[Range2_Low]:[Range2_High]])</f>
        <v>5.0225049999999998</v>
      </c>
      <c r="AG1879">
        <f>AVERAGE(Table1[[#This Row],[Range1_Low]:[Range1_High]])</f>
        <v>181.505</v>
      </c>
      <c r="AH1879">
        <v>1</v>
      </c>
    </row>
    <row r="1880" spans="1:34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tr" cm="1">
        <f t="array" ref="U1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80" t="str" cm="1">
        <f t="array" ref="V1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  <c r="AF1880">
        <f>AVERAGE(Table1[[#This Row],[Range2_Low]:[Range2_High]])</f>
        <v>15.005000000000001</v>
      </c>
      <c r="AG1880">
        <f>AVERAGE(Table1[[#This Row],[Range1_Low]:[Range1_High]])</f>
        <v>181.505</v>
      </c>
      <c r="AH1880">
        <v>1</v>
      </c>
    </row>
    <row r="1881" spans="1:34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tr" cm="1">
        <f t="array" ref="U1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81" t="str" cm="1">
        <f t="array" ref="V1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  <c r="AF1881">
        <f>AVERAGE(Table1[[#This Row],[Range2_Low]:[Range2_High]])</f>
        <v>100.05</v>
      </c>
      <c r="AG1881">
        <f>AVERAGE(Table1[[#This Row],[Range1_Low]:[Range1_High]])</f>
        <v>181.505</v>
      </c>
      <c r="AH1881">
        <v>1</v>
      </c>
    </row>
    <row r="1882" spans="1:34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tr" cm="1">
        <f t="array" ref="U1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2" t="str" cm="1">
        <f t="array" ref="V1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  <c r="AF1882">
        <f>AVERAGE(Table1[[#This Row],[Range2_Low]:[Range2_High]])</f>
        <v>2.7505000000000002E-2</v>
      </c>
      <c r="AG1882">
        <f>AVERAGE(Table1[[#This Row],[Range1_Low]:[Range1_High]])</f>
        <v>181.505</v>
      </c>
      <c r="AH1882">
        <v>1</v>
      </c>
    </row>
    <row r="1883" spans="1:34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tr" cm="1">
        <f t="array" ref="U1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3" t="str" cm="1">
        <f t="array" ref="V1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  <c r="AF1883">
        <f>AVERAGE(Table1[[#This Row],[Range2_Low]:[Range2_High]])</f>
        <v>75</v>
      </c>
      <c r="AG1883">
        <f>AVERAGE(Table1[[#This Row],[Range1_Low]:[Range1_High]])</f>
        <v>181.505</v>
      </c>
      <c r="AH1883">
        <v>1</v>
      </c>
    </row>
    <row r="1884" spans="1:34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tr" cm="1">
        <f t="array" ref="U1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4" t="str" cm="1">
        <f t="array" ref="V1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  <c r="AF1884">
        <f>AVERAGE(Table1[[#This Row],[Range2_Low]:[Range2_High]])</f>
        <v>100.05</v>
      </c>
      <c r="AG1884">
        <f>AVERAGE(Table1[[#This Row],[Range1_Low]:[Range1_High]])</f>
        <v>181.505</v>
      </c>
      <c r="AH1884">
        <v>1</v>
      </c>
    </row>
    <row r="1885" spans="1:34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tr" cm="1">
        <f t="array" ref="U1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5" t="str" cm="1">
        <f t="array" ref="V1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  <c r="AF1885">
        <f>AVERAGE(Table1[[#This Row],[Range2_Low]:[Range2_High]])</f>
        <v>5.0225049999999998</v>
      </c>
      <c r="AG1885">
        <f>AVERAGE(Table1[[#This Row],[Range1_Low]:[Range1_High]])</f>
        <v>181.505</v>
      </c>
      <c r="AH1885">
        <v>1</v>
      </c>
    </row>
    <row r="1886" spans="1:34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tr" cm="1">
        <f t="array" ref="U1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6" t="str" cm="1">
        <f t="array" ref="V1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  <c r="AF1886">
        <f>AVERAGE(Table1[[#This Row],[Range2_Low]:[Range2_High]])</f>
        <v>35.004999999999995</v>
      </c>
      <c r="AG1886">
        <f>AVERAGE(Table1[[#This Row],[Range1_Low]:[Range1_High]])</f>
        <v>181.505</v>
      </c>
      <c r="AH1886">
        <v>1</v>
      </c>
    </row>
    <row r="1887" spans="1:34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tr" cm="1">
        <f t="array" ref="U1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7" t="str" cm="1">
        <f t="array" ref="V1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  <c r="AF1887">
        <f>AVERAGE(Table1[[#This Row],[Range2_Low]:[Range2_High]])</f>
        <v>15.005000000000001</v>
      </c>
      <c r="AG1887">
        <f>AVERAGE(Table1[[#This Row],[Range1_Low]:[Range1_High]])</f>
        <v>181.505</v>
      </c>
      <c r="AH1887">
        <v>1</v>
      </c>
    </row>
    <row r="1888" spans="1:34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tr" cm="1">
        <f t="array" ref="U1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88" t="str" cm="1">
        <f t="array" ref="V1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  <c r="AF1888">
        <f>AVERAGE(Table1[[#This Row],[Range2_Low]:[Range2_High]])</f>
        <v>0.522505</v>
      </c>
      <c r="AG1888">
        <f>AVERAGE(Table1[[#This Row],[Range1_Low]:[Range1_High]])</f>
        <v>675.005</v>
      </c>
      <c r="AH1888">
        <v>1</v>
      </c>
    </row>
    <row r="1889" spans="1:34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tr" cm="1">
        <f t="array" ref="U1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89" t="str" cm="1">
        <f t="array" ref="V1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  <c r="AF1889">
        <f>AVERAGE(Table1[[#This Row],[Range2_Low]:[Range2_High]])</f>
        <v>10.004999999999999</v>
      </c>
      <c r="AG1889">
        <f>AVERAGE(Table1[[#This Row],[Range1_Low]:[Range1_High]])</f>
        <v>675.005</v>
      </c>
      <c r="AH1889">
        <v>1</v>
      </c>
    </row>
    <row r="1890" spans="1:34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tr" cm="1">
        <f t="array" ref="U1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0" t="str" cm="1">
        <f t="array" ref="V1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  <c r="AF1890">
        <f>AVERAGE(Table1[[#This Row],[Range2_Low]:[Range2_High]])</f>
        <v>3.0049999999999999</v>
      </c>
      <c r="AG1890">
        <f>AVERAGE(Table1[[#This Row],[Range1_Low]:[Range1_High]])</f>
        <v>675.005</v>
      </c>
      <c r="AH1890">
        <v>1</v>
      </c>
    </row>
    <row r="1891" spans="1:34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tr" cm="1">
        <f t="array" ref="U1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91" t="str" cm="1">
        <f t="array" ref="V1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  <c r="AF1891">
        <f>AVERAGE(Table1[[#This Row],[Range2_Low]:[Range2_High]])</f>
        <v>7.5049999999999999</v>
      </c>
      <c r="AG1891">
        <f>AVERAGE(Table1[[#This Row],[Range1_Low]:[Range1_High]])</f>
        <v>675.005</v>
      </c>
      <c r="AH1891">
        <v>1</v>
      </c>
    </row>
    <row r="1892" spans="1:34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tr" cm="1">
        <f t="array" ref="U1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2" t="str" cm="1">
        <f t="array" ref="V1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  <c r="AF1892">
        <f>AVERAGE(Table1[[#This Row],[Range2_Low]:[Range2_High]])</f>
        <v>10.004999999999999</v>
      </c>
      <c r="AG1892">
        <f>AVERAGE(Table1[[#This Row],[Range1_Low]:[Range1_High]])</f>
        <v>675.005</v>
      </c>
      <c r="AH1892">
        <v>1</v>
      </c>
    </row>
    <row r="1893" spans="1:34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tr" cm="1">
        <f t="array" ref="U1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3" t="str" cm="1">
        <f t="array" ref="V1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  <c r="AF1893">
        <f>AVERAGE(Table1[[#This Row],[Range2_Low]:[Range2_High]])</f>
        <v>7.5049999999999999</v>
      </c>
      <c r="AG1893">
        <f>AVERAGE(Table1[[#This Row],[Range1_Low]:[Range1_High]])</f>
        <v>675.005</v>
      </c>
      <c r="AH1893">
        <v>1</v>
      </c>
    </row>
    <row r="1894" spans="1:34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tr" cm="1">
        <f t="array" ref="U1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4" t="str" cm="1">
        <f t="array" ref="V1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mV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  <c r="AF1894">
        <f>AVERAGE(Table1[[#This Row],[Range2_Low]:[Range2_High]])</f>
        <v>3.0049999999999999</v>
      </c>
      <c r="AG1894">
        <f>AVERAGE(Table1[[#This Row],[Range1_Low]:[Range1_High]])</f>
        <v>675.005</v>
      </c>
      <c r="AH1894">
        <v>1</v>
      </c>
    </row>
    <row r="1895" spans="1:34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tr" cm="1">
        <f t="array" ref="U1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95" t="str" cm="1">
        <f t="array" ref="V1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  <c r="AF1895">
        <f>AVERAGE(Table1[[#This Row],[Range2_Low]:[Range2_High]])</f>
        <v>0.522505</v>
      </c>
      <c r="AG1895">
        <f>AVERAGE(Table1[[#This Row],[Range1_Low]:[Range1_High]])</f>
        <v>675.005</v>
      </c>
      <c r="AH1895">
        <v>1</v>
      </c>
    </row>
    <row r="1896" spans="1:34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tr" cm="1">
        <f t="array" ref="U1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1896" t="str" cm="1">
        <f t="array" ref="V1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mV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  <c r="AF1896">
        <f>AVERAGE(Table1[[#This Row],[Range2_Low]:[Range2_High]])</f>
        <v>3.0049999999999999</v>
      </c>
      <c r="AG1896">
        <f>AVERAGE(Table1[[#This Row],[Range1_Low]:[Range1_High]])</f>
        <v>675.005</v>
      </c>
      <c r="AH1896">
        <v>1</v>
      </c>
    </row>
    <row r="1897" spans="1:34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tr" cm="1">
        <f t="array" ref="U1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7" t="str" cm="1">
        <f t="array" ref="V1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  <c r="AF1897">
        <f>AVERAGE(Table1[[#This Row],[Range2_Low]:[Range2_High]])</f>
        <v>10.004999999999999</v>
      </c>
      <c r="AG1897">
        <f>AVERAGE(Table1[[#This Row],[Range1_Low]:[Range1_High]])</f>
        <v>675.005</v>
      </c>
      <c r="AH1897">
        <v>1</v>
      </c>
    </row>
    <row r="1898" spans="1:34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tr" cm="1">
        <f t="array" ref="U1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8" t="str" cm="1">
        <f t="array" ref="V1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  <c r="AF1898">
        <f>AVERAGE(Table1[[#This Row],[Range2_Low]:[Range2_High]])</f>
        <v>7.5049999999999999</v>
      </c>
      <c r="AG1898">
        <f>AVERAGE(Table1[[#This Row],[Range1_Low]:[Range1_High]])</f>
        <v>675.005</v>
      </c>
      <c r="AH1898">
        <v>1</v>
      </c>
    </row>
    <row r="1899" spans="1:34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tr" cm="1">
        <f t="array" ref="U1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V1899" t="str" cm="1">
        <f t="array" ref="V1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mV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  <c r="AF1899">
        <f>AVERAGE(Table1[[#This Row],[Range2_Low]:[Range2_High]])</f>
        <v>0.522505</v>
      </c>
      <c r="AG1899">
        <f>AVERAGE(Table1[[#This Row],[Range1_Low]:[Range1_High]])</f>
        <v>675.005</v>
      </c>
      <c r="AH1899">
        <v>1</v>
      </c>
    </row>
    <row r="1900" spans="1:34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tr" cm="1">
        <f t="array" ref="U1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0" t="str" cm="1">
        <f t="array" ref="V1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  <c r="AF1900">
        <f>AVERAGE(Table1[[#This Row],[Range2_Low]:[Range2_High]])</f>
        <v>7.5049999999999999</v>
      </c>
      <c r="AG1900">
        <f>AVERAGE(Table1[[#This Row],[Range1_Low]:[Range1_High]])</f>
        <v>675.005</v>
      </c>
      <c r="AH1900">
        <v>1</v>
      </c>
    </row>
    <row r="1901" spans="1:34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tr" cm="1">
        <f t="array" ref="U1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1" t="str" cm="1">
        <f t="array" ref="V1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  <c r="AF1901">
        <f>AVERAGE(Table1[[#This Row],[Range2_Low]:[Range2_High]])</f>
        <v>3.0049999999999999</v>
      </c>
      <c r="AG1901">
        <f>AVERAGE(Table1[[#This Row],[Range1_Low]:[Range1_High]])</f>
        <v>675.005</v>
      </c>
      <c r="AH1901">
        <v>1</v>
      </c>
    </row>
    <row r="1902" spans="1:34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tr" cm="1">
        <f t="array" ref="U1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2" t="str" cm="1">
        <f t="array" ref="V1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  <c r="AF1902">
        <f>AVERAGE(Table1[[#This Row],[Range2_Low]:[Range2_High]])</f>
        <v>0.522505</v>
      </c>
      <c r="AG1902">
        <f>AVERAGE(Table1[[#This Row],[Range1_Low]:[Range1_High]])</f>
        <v>675.005</v>
      </c>
      <c r="AH1902">
        <v>1</v>
      </c>
    </row>
    <row r="1903" spans="1:34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tr" cm="1">
        <f t="array" ref="U1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3" t="str" cm="1">
        <f t="array" ref="V1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  <c r="AF1903">
        <f>AVERAGE(Table1[[#This Row],[Range2_Low]:[Range2_High]])</f>
        <v>10.004999999999999</v>
      </c>
      <c r="AG1903">
        <f>AVERAGE(Table1[[#This Row],[Range1_Low]:[Range1_High]])</f>
        <v>675.005</v>
      </c>
      <c r="AH1903">
        <v>1</v>
      </c>
    </row>
    <row r="1904" spans="1:34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tr" cm="1">
        <f t="array" ref="U1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4" t="str" cm="1">
        <f t="array" ref="V1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  <c r="AF1904">
        <f>AVERAGE(Table1[[#This Row],[Range2_Low]:[Range2_High]])</f>
        <v>7.5049999999999999</v>
      </c>
      <c r="AG1904">
        <f>AVERAGE(Table1[[#This Row],[Range1_Low]:[Range1_High]])</f>
        <v>675.005</v>
      </c>
      <c r="AH1904">
        <v>1</v>
      </c>
    </row>
    <row r="1905" spans="1:34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tr" cm="1">
        <f t="array" ref="U1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5" t="str" cm="1">
        <f t="array" ref="V1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  <c r="AF1905">
        <f>AVERAGE(Table1[[#This Row],[Range2_Low]:[Range2_High]])</f>
        <v>0.522505</v>
      </c>
      <c r="AG1905">
        <f>AVERAGE(Table1[[#This Row],[Range1_Low]:[Range1_High]])</f>
        <v>675.005</v>
      </c>
      <c r="AH1905">
        <v>1</v>
      </c>
    </row>
    <row r="1906" spans="1:34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tr" cm="1">
        <f t="array" ref="U1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6" t="str" cm="1">
        <f t="array" ref="V1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  <c r="AF1906">
        <f>AVERAGE(Table1[[#This Row],[Range2_Low]:[Range2_High]])</f>
        <v>10.004999999999999</v>
      </c>
      <c r="AG1906">
        <f>AVERAGE(Table1[[#This Row],[Range1_Low]:[Range1_High]])</f>
        <v>675.005</v>
      </c>
      <c r="AH1906">
        <v>1</v>
      </c>
    </row>
    <row r="1907" spans="1:34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tr" cm="1">
        <f t="array" ref="U1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7" t="str" cm="1">
        <f t="array" ref="V1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  <c r="AF1907">
        <f>AVERAGE(Table1[[#This Row],[Range2_Low]:[Range2_High]])</f>
        <v>3.0049999999999999</v>
      </c>
      <c r="AG1907">
        <f>AVERAGE(Table1[[#This Row],[Range1_Low]:[Range1_High]])</f>
        <v>675.005</v>
      </c>
      <c r="AH1907">
        <v>1</v>
      </c>
    </row>
    <row r="1908" spans="1:34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161</v>
      </c>
      <c r="U1908" t="str" cm="1">
        <f t="array" ref="U1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8" t="str" cm="1">
        <f t="array" ref="V1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  <c r="AF1908">
        <f>AVERAGE(Table1[[#This Row],[Range2_Low]:[Range2_High]])</f>
        <v>7.5</v>
      </c>
      <c r="AG1908">
        <f>AVERAGE(Table1[[#This Row],[Range1_Low]:[Range1_High]])</f>
        <v>102.505</v>
      </c>
      <c r="AH1908">
        <v>1</v>
      </c>
    </row>
    <row r="1909" spans="1:34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161</v>
      </c>
      <c r="U1909" t="str" cm="1">
        <f t="array" ref="U1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9" t="str" cm="1">
        <f t="array" ref="V1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  <c r="AF1909">
        <f>AVERAGE(Table1[[#This Row],[Range2_Low]:[Range2_High]])</f>
        <v>10.004999999999999</v>
      </c>
      <c r="AG1909">
        <f>AVERAGE(Table1[[#This Row],[Range1_Low]:[Range1_High]])</f>
        <v>102.505</v>
      </c>
      <c r="AH1909">
        <v>1</v>
      </c>
    </row>
    <row r="1910" spans="1:34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161</v>
      </c>
      <c r="U1910" t="str" cm="1">
        <f t="array" ref="U1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0" t="str" cm="1">
        <f t="array" ref="V1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  <c r="AF1910">
        <f>AVERAGE(Table1[[#This Row],[Range2_Low]:[Range2_High]])</f>
        <v>7.2500000000000009E-2</v>
      </c>
      <c r="AG1910">
        <f>AVERAGE(Table1[[#This Row],[Range1_Low]:[Range1_High]])</f>
        <v>102.505</v>
      </c>
      <c r="AH1910">
        <v>1</v>
      </c>
    </row>
    <row r="1911" spans="1:34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161</v>
      </c>
      <c r="U1911" t="str" cm="1">
        <f t="array" ref="U1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1" t="str" cm="1">
        <f t="array" ref="V1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  <c r="AF1911">
        <f>AVERAGE(Table1[[#This Row],[Range2_Low]:[Range2_High]])</f>
        <v>0.55000000000000004</v>
      </c>
      <c r="AG1911">
        <f>AVERAGE(Table1[[#This Row],[Range1_Low]:[Range1_High]])</f>
        <v>102.505</v>
      </c>
      <c r="AH1911">
        <v>1</v>
      </c>
    </row>
    <row r="1912" spans="1:34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161</v>
      </c>
      <c r="U1912" t="str" cm="1">
        <f t="array" ref="U1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V1912" t="str" cm="1">
        <f t="array" ref="V1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  <c r="AF1912">
        <f>AVERAGE(Table1[[#This Row],[Range2_Low]:[Range2_High]])</f>
        <v>3.0049999999999999</v>
      </c>
      <c r="AG1912">
        <f>AVERAGE(Table1[[#This Row],[Range1_Low]:[Range1_High]])</f>
        <v>102.505</v>
      </c>
      <c r="AH1912">
        <v>1</v>
      </c>
    </row>
    <row r="1913" spans="1:34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161</v>
      </c>
      <c r="U1913" t="str" cm="1">
        <f t="array" ref="U1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13" t="str" cm="1">
        <f t="array" ref="V1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  <c r="AF1913">
        <f>AVERAGE(Table1[[#This Row],[Range2_Low]:[Range2_High]])</f>
        <v>2.75E-2</v>
      </c>
      <c r="AG1913">
        <f>AVERAGE(Table1[[#This Row],[Range1_Low]:[Range1_High]])</f>
        <v>102.505</v>
      </c>
      <c r="AH1913">
        <v>1</v>
      </c>
    </row>
    <row r="1914" spans="1:34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161</v>
      </c>
      <c r="U1914" t="str" cm="1">
        <f t="array" ref="U1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4" t="str" cm="1">
        <f t="array" ref="V1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  <c r="AF1914">
        <f>AVERAGE(Table1[[#This Row],[Range2_Low]:[Range2_High]])</f>
        <v>0.55000000000000004</v>
      </c>
      <c r="AG1914">
        <f>AVERAGE(Table1[[#This Row],[Range1_Low]:[Range1_High]])</f>
        <v>102.505</v>
      </c>
      <c r="AH1914">
        <v>1</v>
      </c>
    </row>
    <row r="1915" spans="1:34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161</v>
      </c>
      <c r="U1915" t="str" cm="1">
        <f t="array" ref="U1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15" t="str" cm="1">
        <f t="array" ref="V1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  <c r="AF1915">
        <f>AVERAGE(Table1[[#This Row],[Range2_Low]:[Range2_High]])</f>
        <v>3.0049999999999999</v>
      </c>
      <c r="AG1915">
        <f>AVERAGE(Table1[[#This Row],[Range1_Low]:[Range1_High]])</f>
        <v>102.505</v>
      </c>
      <c r="AH1915">
        <v>1</v>
      </c>
    </row>
    <row r="1916" spans="1:34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161</v>
      </c>
      <c r="U1916" t="str" cm="1">
        <f t="array" ref="U1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6" t="str" cm="1">
        <f t="array" ref="V1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  <c r="AF1916">
        <f>AVERAGE(Table1[[#This Row],[Range2_Low]:[Range2_High]])</f>
        <v>7.2500000000000009E-2</v>
      </c>
      <c r="AG1916">
        <f>AVERAGE(Table1[[#This Row],[Range1_Low]:[Range1_High]])</f>
        <v>102.505</v>
      </c>
      <c r="AH1916">
        <v>1</v>
      </c>
    </row>
    <row r="1917" spans="1:34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161</v>
      </c>
      <c r="U1917" t="str" cm="1">
        <f t="array" ref="U1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7" t="str" cm="1">
        <f t="array" ref="V1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  <c r="AF1917">
        <f>AVERAGE(Table1[[#This Row],[Range2_Low]:[Range2_High]])</f>
        <v>10.004999999999999</v>
      </c>
      <c r="AG1917">
        <f>AVERAGE(Table1[[#This Row],[Range1_Low]:[Range1_High]])</f>
        <v>102.505</v>
      </c>
      <c r="AH1917">
        <v>1</v>
      </c>
    </row>
    <row r="1918" spans="1:34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161</v>
      </c>
      <c r="U1918" t="str" cm="1">
        <f t="array" ref="U1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1918" t="str" cm="1">
        <f t="array" ref="V1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  <c r="AF1918">
        <f>AVERAGE(Table1[[#This Row],[Range2_Low]:[Range2_High]])</f>
        <v>2.75E-2</v>
      </c>
      <c r="AG1918">
        <f>AVERAGE(Table1[[#This Row],[Range1_Low]:[Range1_High]])</f>
        <v>102.505</v>
      </c>
      <c r="AH1918">
        <v>1</v>
      </c>
    </row>
    <row r="1919" spans="1:34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161</v>
      </c>
      <c r="U1919" t="str" cm="1">
        <f t="array" ref="U1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9" t="str" cm="1">
        <f t="array" ref="V1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  <c r="AF1919">
        <f>AVERAGE(Table1[[#This Row],[Range2_Low]:[Range2_High]])</f>
        <v>7.5</v>
      </c>
      <c r="AG1919">
        <f>AVERAGE(Table1[[#This Row],[Range1_Low]:[Range1_High]])</f>
        <v>102.505</v>
      </c>
      <c r="AH1919">
        <v>1</v>
      </c>
    </row>
    <row r="1920" spans="1:34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161</v>
      </c>
      <c r="U1920" t="str" cm="1">
        <f t="array" ref="U1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20" t="str" cm="1">
        <f t="array" ref="V1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  <c r="AF1920">
        <f>AVERAGE(Table1[[#This Row],[Range2_Low]:[Range2_High]])</f>
        <v>3.0049999999999999</v>
      </c>
      <c r="AG1920">
        <f>AVERAGE(Table1[[#This Row],[Range1_Low]:[Range1_High]])</f>
        <v>102.505</v>
      </c>
      <c r="AH1920">
        <v>1</v>
      </c>
    </row>
    <row r="1921" spans="1:34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161</v>
      </c>
      <c r="U1921" t="str" cm="1">
        <f t="array" ref="U1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1" t="str" cm="1">
        <f t="array" ref="V1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  <c r="AF1921">
        <f>AVERAGE(Table1[[#This Row],[Range2_Low]:[Range2_High]])</f>
        <v>10.004999999999999</v>
      </c>
      <c r="AG1921">
        <f>AVERAGE(Table1[[#This Row],[Range1_Low]:[Range1_High]])</f>
        <v>102.505</v>
      </c>
      <c r="AH1921">
        <v>1</v>
      </c>
    </row>
    <row r="1922" spans="1:34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161</v>
      </c>
      <c r="U1922" t="str" cm="1">
        <f t="array" ref="U1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2" t="str" cm="1">
        <f t="array" ref="V1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  <c r="AF1922">
        <f>AVERAGE(Table1[[#This Row],[Range2_Low]:[Range2_High]])</f>
        <v>0.55000000000000004</v>
      </c>
      <c r="AG1922">
        <f>AVERAGE(Table1[[#This Row],[Range1_Low]:[Range1_High]])</f>
        <v>102.505</v>
      </c>
      <c r="AH1922">
        <v>1</v>
      </c>
    </row>
    <row r="1923" spans="1:34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161</v>
      </c>
      <c r="U1923" t="str" cm="1">
        <f t="array" ref="U1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3" t="str" cm="1">
        <f t="array" ref="V1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  <c r="AF1923">
        <f>AVERAGE(Table1[[#This Row],[Range2_Low]:[Range2_High]])</f>
        <v>7.5</v>
      </c>
      <c r="AG1923">
        <f>AVERAGE(Table1[[#This Row],[Range1_Low]:[Range1_High]])</f>
        <v>102.505</v>
      </c>
      <c r="AH1923">
        <v>1</v>
      </c>
    </row>
    <row r="1924" spans="1:34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161</v>
      </c>
      <c r="U1924" t="str" cm="1">
        <f t="array" ref="U1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24" t="str" cm="1">
        <f t="array" ref="V1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  <c r="AF1924">
        <f>AVERAGE(Table1[[#This Row],[Range2_Low]:[Range2_High]])</f>
        <v>2.75E-2</v>
      </c>
      <c r="AG1924">
        <f>AVERAGE(Table1[[#This Row],[Range1_Low]:[Range1_High]])</f>
        <v>102.505</v>
      </c>
      <c r="AH1924">
        <v>1</v>
      </c>
    </row>
    <row r="1925" spans="1:34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161</v>
      </c>
      <c r="U1925" t="str" cm="1">
        <f t="array" ref="U1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5" t="str" cm="1">
        <f t="array" ref="V1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  <c r="AF1925">
        <f>AVERAGE(Table1[[#This Row],[Range2_Low]:[Range2_High]])</f>
        <v>7.2500000000000009E-2</v>
      </c>
      <c r="AG1925">
        <f>AVERAGE(Table1[[#This Row],[Range1_Low]:[Range1_High]])</f>
        <v>102.505</v>
      </c>
      <c r="AH1925">
        <v>1</v>
      </c>
    </row>
    <row r="1926" spans="1:34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161</v>
      </c>
      <c r="U1926" t="str" cm="1">
        <f t="array" ref="U1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6" t="str" cm="1">
        <f t="array" ref="V1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  <c r="AF1926">
        <f>AVERAGE(Table1[[#This Row],[Range2_Low]:[Range2_High]])</f>
        <v>10.004999999999999</v>
      </c>
      <c r="AG1926">
        <f>AVERAGE(Table1[[#This Row],[Range1_Low]:[Range1_High]])</f>
        <v>102.505</v>
      </c>
      <c r="AH1926">
        <v>1</v>
      </c>
    </row>
    <row r="1927" spans="1:34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161</v>
      </c>
      <c r="U1927" t="str" cm="1">
        <f t="array" ref="U1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27" t="str" cm="1">
        <f t="array" ref="V1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  <c r="AF1927">
        <f>AVERAGE(Table1[[#This Row],[Range2_Low]:[Range2_High]])</f>
        <v>0.55000000000000004</v>
      </c>
      <c r="AG1927">
        <f>AVERAGE(Table1[[#This Row],[Range1_Low]:[Range1_High]])</f>
        <v>102.505</v>
      </c>
      <c r="AH1927">
        <v>1</v>
      </c>
    </row>
    <row r="1928" spans="1:34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161</v>
      </c>
      <c r="U1928" t="str" cm="1">
        <f t="array" ref="U1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8" t="str" cm="1">
        <f t="array" ref="V1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  <c r="AF1928">
        <f>AVERAGE(Table1[[#This Row],[Range2_Low]:[Range2_High]])</f>
        <v>7.5</v>
      </c>
      <c r="AG1928">
        <f>AVERAGE(Table1[[#This Row],[Range1_Low]:[Range1_High]])</f>
        <v>102.505</v>
      </c>
      <c r="AH1928">
        <v>1</v>
      </c>
    </row>
    <row r="1929" spans="1:34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161</v>
      </c>
      <c r="U1929" t="str" cm="1">
        <f t="array" ref="U1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V1929" t="str" cm="1">
        <f t="array" ref="V1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  <c r="AF1929">
        <f>AVERAGE(Table1[[#This Row],[Range2_Low]:[Range2_High]])</f>
        <v>3.0049999999999999</v>
      </c>
      <c r="AG1929">
        <f>AVERAGE(Table1[[#This Row],[Range1_Low]:[Range1_High]])</f>
        <v>102.505</v>
      </c>
      <c r="AH1929">
        <v>1</v>
      </c>
    </row>
    <row r="1930" spans="1:34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161</v>
      </c>
      <c r="U1930" t="str" cm="1">
        <f t="array" ref="U1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30" t="str" cm="1">
        <f t="array" ref="V1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  <c r="AF1930">
        <f>AVERAGE(Table1[[#This Row],[Range2_Low]:[Range2_High]])</f>
        <v>7.2500000000000009E-2</v>
      </c>
      <c r="AG1930">
        <f>AVERAGE(Table1[[#This Row],[Range1_Low]:[Range1_High]])</f>
        <v>102.505</v>
      </c>
      <c r="AH1930">
        <v>1</v>
      </c>
    </row>
    <row r="1931" spans="1:34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161</v>
      </c>
      <c r="U1931" t="str" cm="1">
        <f t="array" ref="U1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931" t="str" cm="1">
        <f t="array" ref="V1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  <c r="AF1931">
        <f>AVERAGE(Table1[[#This Row],[Range2_Low]:[Range2_High]])</f>
        <v>2.75E-2</v>
      </c>
      <c r="AG1931">
        <f>AVERAGE(Table1[[#This Row],[Range1_Low]:[Range1_High]])</f>
        <v>102.505</v>
      </c>
      <c r="AH1931">
        <v>1</v>
      </c>
    </row>
    <row r="1932" spans="1:34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161</v>
      </c>
      <c r="U1932" t="str" cm="1">
        <f t="array" ref="U1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2" t="str" cm="1">
        <f t="array" ref="V1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  <c r="AF1932">
        <f>AVERAGE(Table1[[#This Row],[Range2_Low]:[Range2_High]])</f>
        <v>7.2500000000000009E-2</v>
      </c>
      <c r="AG1932">
        <f>AVERAGE(Table1[[#This Row],[Range1_Low]:[Range1_High]])</f>
        <v>102.505</v>
      </c>
      <c r="AH1932">
        <v>1</v>
      </c>
    </row>
    <row r="1933" spans="1:34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161</v>
      </c>
      <c r="U1933" t="str" cm="1">
        <f t="array" ref="U1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3" t="str" cm="1">
        <f t="array" ref="V1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  <c r="AF1933">
        <f>AVERAGE(Table1[[#This Row],[Range2_Low]:[Range2_High]])</f>
        <v>10.004999999999999</v>
      </c>
      <c r="AG1933">
        <f>AVERAGE(Table1[[#This Row],[Range1_Low]:[Range1_High]])</f>
        <v>102.505</v>
      </c>
      <c r="AH1933">
        <v>1</v>
      </c>
    </row>
    <row r="1934" spans="1:34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161</v>
      </c>
      <c r="U1934" t="str" cm="1">
        <f t="array" ref="U1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4" t="str" cm="1">
        <f t="array" ref="V1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  <c r="AF1934">
        <f>AVERAGE(Table1[[#This Row],[Range2_Low]:[Range2_High]])</f>
        <v>7.5</v>
      </c>
      <c r="AG1934">
        <f>AVERAGE(Table1[[#This Row],[Range1_Low]:[Range1_High]])</f>
        <v>102.505</v>
      </c>
      <c r="AH1934">
        <v>1</v>
      </c>
    </row>
    <row r="1935" spans="1:34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161</v>
      </c>
      <c r="U1935" t="str" cm="1">
        <f t="array" ref="U1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5" t="str" cm="1">
        <f t="array" ref="V1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  <c r="AF1935">
        <f>AVERAGE(Table1[[#This Row],[Range2_Low]:[Range2_High]])</f>
        <v>0.55000000000000004</v>
      </c>
      <c r="AG1935">
        <f>AVERAGE(Table1[[#This Row],[Range1_Low]:[Range1_High]])</f>
        <v>102.505</v>
      </c>
      <c r="AH1935">
        <v>1</v>
      </c>
    </row>
    <row r="1936" spans="1:34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161</v>
      </c>
      <c r="U1936" t="str" cm="1">
        <f t="array" ref="U1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6" t="str" cm="1">
        <f t="array" ref="V1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  <c r="AF1936">
        <f>AVERAGE(Table1[[#This Row],[Range2_Low]:[Range2_High]])</f>
        <v>2.75E-2</v>
      </c>
      <c r="AG1936">
        <f>AVERAGE(Table1[[#This Row],[Range1_Low]:[Range1_High]])</f>
        <v>102.505</v>
      </c>
      <c r="AH1936">
        <v>1</v>
      </c>
    </row>
    <row r="1937" spans="1:34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161</v>
      </c>
      <c r="U1937" t="str" cm="1">
        <f t="array" ref="U1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7" t="str" cm="1">
        <f t="array" ref="V1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  <c r="AF1937">
        <f>AVERAGE(Table1[[#This Row],[Range2_Low]:[Range2_High]])</f>
        <v>3.0049999999999999</v>
      </c>
      <c r="AG1937">
        <f>AVERAGE(Table1[[#This Row],[Range1_Low]:[Range1_High]])</f>
        <v>102.505</v>
      </c>
      <c r="AH1937">
        <v>1</v>
      </c>
    </row>
    <row r="1938" spans="1:34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161</v>
      </c>
      <c r="U1938" t="str" cm="1">
        <f t="array" ref="U1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8" t="str" cm="1">
        <f t="array" ref="V1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  <c r="AF1938">
        <f>AVERAGE(Table1[[#This Row],[Range2_Low]:[Range2_High]])</f>
        <v>7.2500000000000009E-2</v>
      </c>
      <c r="AG1938">
        <f>AVERAGE(Table1[[#This Row],[Range1_Low]:[Range1_High]])</f>
        <v>102.505</v>
      </c>
      <c r="AH1938">
        <v>1</v>
      </c>
    </row>
    <row r="1939" spans="1:34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161</v>
      </c>
      <c r="U1939" t="str" cm="1">
        <f t="array" ref="U1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9" t="str" cm="1">
        <f t="array" ref="V1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  <c r="AF1939">
        <f>AVERAGE(Table1[[#This Row],[Range2_Low]:[Range2_High]])</f>
        <v>7.5</v>
      </c>
      <c r="AG1939">
        <f>AVERAGE(Table1[[#This Row],[Range1_Low]:[Range1_High]])</f>
        <v>102.505</v>
      </c>
      <c r="AH1939">
        <v>1</v>
      </c>
    </row>
    <row r="1940" spans="1:34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161</v>
      </c>
      <c r="U1940" t="str" cm="1">
        <f t="array" ref="U1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0" t="str" cm="1">
        <f t="array" ref="V1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  <c r="AF1940">
        <f>AVERAGE(Table1[[#This Row],[Range2_Low]:[Range2_High]])</f>
        <v>0.55000000000000004</v>
      </c>
      <c r="AG1940">
        <f>AVERAGE(Table1[[#This Row],[Range1_Low]:[Range1_High]])</f>
        <v>102.505</v>
      </c>
      <c r="AH1940">
        <v>1</v>
      </c>
    </row>
    <row r="1941" spans="1:34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161</v>
      </c>
      <c r="U1941" t="str" cm="1">
        <f t="array" ref="U1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1" t="str" cm="1">
        <f t="array" ref="V1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  <c r="AF1941">
        <f>AVERAGE(Table1[[#This Row],[Range2_Low]:[Range2_High]])</f>
        <v>3.0049999999999999</v>
      </c>
      <c r="AG1941">
        <f>AVERAGE(Table1[[#This Row],[Range1_Low]:[Range1_High]])</f>
        <v>102.505</v>
      </c>
      <c r="AH1941">
        <v>1</v>
      </c>
    </row>
    <row r="1942" spans="1:34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161</v>
      </c>
      <c r="U1942" t="str" cm="1">
        <f t="array" ref="U1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2" t="str" cm="1">
        <f t="array" ref="V1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  <c r="AF1942">
        <f>AVERAGE(Table1[[#This Row],[Range2_Low]:[Range2_High]])</f>
        <v>2.75E-2</v>
      </c>
      <c r="AG1942">
        <f>AVERAGE(Table1[[#This Row],[Range1_Low]:[Range1_High]])</f>
        <v>102.505</v>
      </c>
      <c r="AH1942">
        <v>1</v>
      </c>
    </row>
    <row r="1943" spans="1:34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161</v>
      </c>
      <c r="U1943" t="str" cm="1">
        <f t="array" ref="U1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3" t="str" cm="1">
        <f t="array" ref="V1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  <c r="AF1943">
        <f>AVERAGE(Table1[[#This Row],[Range2_Low]:[Range2_High]])</f>
        <v>10.004999999999999</v>
      </c>
      <c r="AG1943">
        <f>AVERAGE(Table1[[#This Row],[Range1_Low]:[Range1_High]])</f>
        <v>102.505</v>
      </c>
      <c r="AH1943">
        <v>1</v>
      </c>
    </row>
    <row r="1944" spans="1:34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161</v>
      </c>
      <c r="U1944" t="str" cm="1">
        <f t="array" ref="U1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44" t="str" cm="1">
        <f t="array" ref="V1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  <c r="AF1944">
        <f>AVERAGE(Table1[[#This Row],[Range2_Low]:[Range2_High]])</f>
        <v>0.55000500000000008</v>
      </c>
      <c r="AG1944">
        <f>AVERAGE(Table1[[#This Row],[Range1_Low]:[Range1_High]])</f>
        <v>350.005</v>
      </c>
      <c r="AH1944">
        <v>1</v>
      </c>
    </row>
    <row r="1945" spans="1:34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161</v>
      </c>
      <c r="U1945" t="str" cm="1">
        <f t="array" ref="U1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5" t="str" cm="1">
        <f t="array" ref="V1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  <c r="AF1945">
        <f>AVERAGE(Table1[[#This Row],[Range2_Low]:[Range2_High]])</f>
        <v>7.2505E-2</v>
      </c>
      <c r="AG1945">
        <f>AVERAGE(Table1[[#This Row],[Range1_Low]:[Range1_High]])</f>
        <v>350.005</v>
      </c>
      <c r="AH1945">
        <v>1</v>
      </c>
    </row>
    <row r="1946" spans="1:34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161</v>
      </c>
      <c r="U1946" t="str" cm="1">
        <f t="array" ref="U1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6" t="str" cm="1">
        <f t="array" ref="V1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  <c r="AF1946">
        <f>AVERAGE(Table1[[#This Row],[Range2_Low]:[Range2_High]])</f>
        <v>5.0049999999999999</v>
      </c>
      <c r="AG1946">
        <f>AVERAGE(Table1[[#This Row],[Range1_Low]:[Range1_High]])</f>
        <v>350.005</v>
      </c>
      <c r="AH1946">
        <v>1</v>
      </c>
    </row>
    <row r="1947" spans="1:34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161</v>
      </c>
      <c r="U1947" t="str" cm="1">
        <f t="array" ref="U1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7" t="str" cm="1">
        <f t="array" ref="V1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  <c r="AF1947">
        <f>AVERAGE(Table1[[#This Row],[Range2_Low]:[Range2_High]])</f>
        <v>3</v>
      </c>
      <c r="AG1947">
        <f>AVERAGE(Table1[[#This Row],[Range1_Low]:[Range1_High]])</f>
        <v>350.005</v>
      </c>
      <c r="AH1947">
        <v>1</v>
      </c>
    </row>
    <row r="1948" spans="1:34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161</v>
      </c>
      <c r="U1948" t="str" cm="1">
        <f t="array" ref="U1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8" t="str" cm="1">
        <f t="array" ref="V1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  <c r="AF1948">
        <f>AVERAGE(Table1[[#This Row],[Range2_Low]:[Range2_High]])</f>
        <v>5.0049999999999999</v>
      </c>
      <c r="AG1948">
        <f>AVERAGE(Table1[[#This Row],[Range1_Low]:[Range1_High]])</f>
        <v>350.005</v>
      </c>
      <c r="AH1948">
        <v>1</v>
      </c>
    </row>
    <row r="1949" spans="1:34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161</v>
      </c>
      <c r="U1949" t="str" cm="1">
        <f t="array" ref="U1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9" t="str" cm="1">
        <f t="array" ref="V1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  <c r="AF1949">
        <f>AVERAGE(Table1[[#This Row],[Range2_Low]:[Range2_High]])</f>
        <v>7.2505E-2</v>
      </c>
      <c r="AG1949">
        <f>AVERAGE(Table1[[#This Row],[Range1_Low]:[Range1_High]])</f>
        <v>350.005</v>
      </c>
      <c r="AH1949">
        <v>1</v>
      </c>
    </row>
    <row r="1950" spans="1:34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161</v>
      </c>
      <c r="U1950" t="str" cm="1">
        <f t="array" ref="U1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0" t="str" cm="1">
        <f t="array" ref="V1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  <c r="AF1950">
        <f>AVERAGE(Table1[[#This Row],[Range2_Low]:[Range2_High]])</f>
        <v>3</v>
      </c>
      <c r="AG1950">
        <f>AVERAGE(Table1[[#This Row],[Range1_Low]:[Range1_High]])</f>
        <v>350.005</v>
      </c>
      <c r="AH1950">
        <v>1</v>
      </c>
    </row>
    <row r="1951" spans="1:34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161</v>
      </c>
      <c r="U1951" t="str" cm="1">
        <f t="array" ref="U1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51" t="str" cm="1">
        <f t="array" ref="V1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  <c r="AF1951">
        <f>AVERAGE(Table1[[#This Row],[Range2_Low]:[Range2_High]])</f>
        <v>0.55000500000000008</v>
      </c>
      <c r="AG1951">
        <f>AVERAGE(Table1[[#This Row],[Range1_Low]:[Range1_High]])</f>
        <v>350.005</v>
      </c>
      <c r="AH1951">
        <v>1</v>
      </c>
    </row>
    <row r="1952" spans="1:34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161</v>
      </c>
      <c r="U1952" t="str" cm="1">
        <f t="array" ref="U1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2" t="str" cm="1">
        <f t="array" ref="V1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  <c r="AF1952">
        <f>AVERAGE(Table1[[#This Row],[Range2_Low]:[Range2_High]])</f>
        <v>5.0049999999999999</v>
      </c>
      <c r="AG1952">
        <f>AVERAGE(Table1[[#This Row],[Range1_Low]:[Range1_High]])</f>
        <v>350.005</v>
      </c>
      <c r="AH1952">
        <v>1</v>
      </c>
    </row>
    <row r="1953" spans="1:34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161</v>
      </c>
      <c r="U1953" t="str" cm="1">
        <f t="array" ref="U1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mA</v>
      </c>
      <c r="V1953" t="str" cm="1">
        <f t="array" ref="V1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  <c r="AF1953">
        <f>AVERAGE(Table1[[#This Row],[Range2_Low]:[Range2_High]])</f>
        <v>7.2505E-2</v>
      </c>
      <c r="AG1953">
        <f>AVERAGE(Table1[[#This Row],[Range1_Low]:[Range1_High]])</f>
        <v>350.005</v>
      </c>
      <c r="AH1953">
        <v>1</v>
      </c>
    </row>
    <row r="1954" spans="1:34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161</v>
      </c>
      <c r="U1954" t="str" cm="1">
        <f t="array" ref="U1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4" t="str" cm="1">
        <f t="array" ref="V1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  <c r="AF1954">
        <f>AVERAGE(Table1[[#This Row],[Range2_Low]:[Range2_High]])</f>
        <v>3</v>
      </c>
      <c r="AG1954">
        <f>AVERAGE(Table1[[#This Row],[Range1_Low]:[Range1_High]])</f>
        <v>350.005</v>
      </c>
      <c r="AH1954">
        <v>1</v>
      </c>
    </row>
    <row r="1955" spans="1:34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161</v>
      </c>
      <c r="U1955" t="str" cm="1">
        <f t="array" ref="U1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mA</v>
      </c>
      <c r="V1955" t="str" cm="1">
        <f t="array" ref="V1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  <c r="AF1955">
        <f>AVERAGE(Table1[[#This Row],[Range2_Low]:[Range2_High]])</f>
        <v>0.55000500000000008</v>
      </c>
      <c r="AG1955">
        <f>AVERAGE(Table1[[#This Row],[Range1_Low]:[Range1_High]])</f>
        <v>350.005</v>
      </c>
      <c r="AH1955">
        <v>1</v>
      </c>
    </row>
    <row r="1956" spans="1:34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161</v>
      </c>
      <c r="U1956" t="str" cm="1">
        <f t="array" ref="U1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6" t="str" cm="1">
        <f t="array" ref="V1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  <c r="AF1956">
        <f>AVERAGE(Table1[[#This Row],[Range2_Low]:[Range2_High]])</f>
        <v>3</v>
      </c>
      <c r="AG1956">
        <f>AVERAGE(Table1[[#This Row],[Range1_Low]:[Range1_High]])</f>
        <v>350.005</v>
      </c>
      <c r="AH1956">
        <v>1</v>
      </c>
    </row>
    <row r="1957" spans="1:34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161</v>
      </c>
      <c r="U1957" t="str" cm="1">
        <f t="array" ref="U1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57" t="str" cm="1">
        <f t="array" ref="V1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  <c r="AF1957">
        <f>AVERAGE(Table1[[#This Row],[Range2_Low]:[Range2_High]])</f>
        <v>7.2505E-2</v>
      </c>
      <c r="AG1957">
        <f>AVERAGE(Table1[[#This Row],[Range1_Low]:[Range1_High]])</f>
        <v>350.005</v>
      </c>
      <c r="AH1957">
        <v>1</v>
      </c>
    </row>
    <row r="1958" spans="1:34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161</v>
      </c>
      <c r="U1958" t="str" cm="1">
        <f t="array" ref="U1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58" t="str" cm="1">
        <f t="array" ref="V1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  <c r="AF1958">
        <f>AVERAGE(Table1[[#This Row],[Range2_Low]:[Range2_High]])</f>
        <v>0.55000500000000008</v>
      </c>
      <c r="AG1958">
        <f>AVERAGE(Table1[[#This Row],[Range1_Low]:[Range1_High]])</f>
        <v>350.005</v>
      </c>
      <c r="AH1958">
        <v>1</v>
      </c>
    </row>
    <row r="1959" spans="1:34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161</v>
      </c>
      <c r="U1959" t="str" cm="1">
        <f t="array" ref="U1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9" t="str" cm="1">
        <f t="array" ref="V1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  <c r="AF1959">
        <f>AVERAGE(Table1[[#This Row],[Range2_Low]:[Range2_High]])</f>
        <v>5.0049999999999999</v>
      </c>
      <c r="AG1959">
        <f>AVERAGE(Table1[[#This Row],[Range1_Low]:[Range1_High]])</f>
        <v>350.005</v>
      </c>
      <c r="AH1959">
        <v>1</v>
      </c>
    </row>
    <row r="1960" spans="1:34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161</v>
      </c>
      <c r="U1960" t="str" cm="1">
        <f t="array" ref="U1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0" t="str" cm="1">
        <f t="array" ref="V1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  <c r="AF1960">
        <f>AVERAGE(Table1[[#This Row],[Range2_Low]:[Range2_High]])</f>
        <v>0.55000500000000008</v>
      </c>
      <c r="AG1960">
        <f>AVERAGE(Table1[[#This Row],[Range1_Low]:[Range1_High]])</f>
        <v>350.005</v>
      </c>
      <c r="AH1960">
        <v>1</v>
      </c>
    </row>
    <row r="1961" spans="1:34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161</v>
      </c>
      <c r="U1961" t="str" cm="1">
        <f t="array" ref="U1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1" t="str" cm="1">
        <f t="array" ref="V1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  <c r="AF1961">
        <f>AVERAGE(Table1[[#This Row],[Range2_Low]:[Range2_High]])</f>
        <v>7.2505E-2</v>
      </c>
      <c r="AG1961">
        <f>AVERAGE(Table1[[#This Row],[Range1_Low]:[Range1_High]])</f>
        <v>350.005</v>
      </c>
      <c r="AH1961">
        <v>1</v>
      </c>
    </row>
    <row r="1962" spans="1:34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161</v>
      </c>
      <c r="U1962" t="str" cm="1">
        <f t="array" ref="U1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2" t="str" cm="1">
        <f t="array" ref="V1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  <c r="AF1962">
        <f>AVERAGE(Table1[[#This Row],[Range2_Low]:[Range2_High]])</f>
        <v>5.0049999999999999</v>
      </c>
      <c r="AG1962">
        <f>AVERAGE(Table1[[#This Row],[Range1_Low]:[Range1_High]])</f>
        <v>350.005</v>
      </c>
      <c r="AH1962">
        <v>1</v>
      </c>
    </row>
    <row r="1963" spans="1:34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161</v>
      </c>
      <c r="U1963" t="str" cm="1">
        <f t="array" ref="U1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3" t="str" cm="1">
        <f t="array" ref="V1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  <c r="AF1963">
        <f>AVERAGE(Table1[[#This Row],[Range2_Low]:[Range2_High]])</f>
        <v>3</v>
      </c>
      <c r="AG1963">
        <f>AVERAGE(Table1[[#This Row],[Range1_Low]:[Range1_High]])</f>
        <v>350.005</v>
      </c>
      <c r="AH1963">
        <v>1</v>
      </c>
    </row>
    <row r="1964" spans="1:34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161</v>
      </c>
      <c r="U1964" t="str" cm="1">
        <f t="array" ref="U1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4" t="str" cm="1">
        <f t="array" ref="V1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  <c r="AF1964">
        <f>AVERAGE(Table1[[#This Row],[Range2_Low]:[Range2_High]])</f>
        <v>1.000005</v>
      </c>
      <c r="AG1964">
        <f>AVERAGE(Table1[[#This Row],[Range1_Low]:[Range1_High]])</f>
        <v>790</v>
      </c>
      <c r="AH1964">
        <v>1</v>
      </c>
    </row>
    <row r="1965" spans="1:34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161</v>
      </c>
      <c r="U1965" t="str" cm="1">
        <f t="array" ref="U1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5" t="str" cm="1">
        <f t="array" ref="V1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  <c r="AF1965">
        <f>AVERAGE(Table1[[#This Row],[Range2_Low]:[Range2_High]])</f>
        <v>7.2505E-2</v>
      </c>
      <c r="AG1965">
        <f>AVERAGE(Table1[[#This Row],[Range1_Low]:[Range1_High]])</f>
        <v>787.505</v>
      </c>
      <c r="AH1965">
        <v>1</v>
      </c>
    </row>
    <row r="1966" spans="1:34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161</v>
      </c>
      <c r="U1966" t="str" cm="1">
        <f t="array" ref="U1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6" t="str" cm="1">
        <f t="array" ref="V1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  <c r="AF1966">
        <f>AVERAGE(Table1[[#This Row],[Range2_Low]:[Range2_High]])</f>
        <v>0.55000000000000004</v>
      </c>
      <c r="AG1966">
        <f>AVERAGE(Table1[[#This Row],[Range1_Low]:[Range1_High]])</f>
        <v>787.505</v>
      </c>
      <c r="AH1966">
        <v>1</v>
      </c>
    </row>
    <row r="1967" spans="1:34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161</v>
      </c>
      <c r="U1967" t="str" cm="1">
        <f t="array" ref="U1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7" t="str" cm="1">
        <f t="array" ref="V1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  <c r="AF1967">
        <f>AVERAGE(Table1[[#This Row],[Range2_Low]:[Range2_High]])</f>
        <v>0.55000000000000004</v>
      </c>
      <c r="AG1967">
        <f>AVERAGE(Table1[[#This Row],[Range1_Low]:[Range1_High]])</f>
        <v>787.505</v>
      </c>
      <c r="AH1967">
        <v>1</v>
      </c>
    </row>
    <row r="1968" spans="1:34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161</v>
      </c>
      <c r="U1968" t="str" cm="1">
        <f t="array" ref="U1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8" t="str" cm="1">
        <f t="array" ref="V1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  <c r="AF1968">
        <f>AVERAGE(Table1[[#This Row],[Range2_Low]:[Range2_High]])</f>
        <v>1.000005</v>
      </c>
      <c r="AG1968">
        <f>AVERAGE(Table1[[#This Row],[Range1_Low]:[Range1_High]])</f>
        <v>790</v>
      </c>
      <c r="AH1968">
        <v>1</v>
      </c>
    </row>
    <row r="1969" spans="1:34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161</v>
      </c>
      <c r="U1969" t="str" cm="1">
        <f t="array" ref="U1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9" t="str" cm="1">
        <f t="array" ref="V1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  <c r="AF1969">
        <f>AVERAGE(Table1[[#This Row],[Range2_Low]:[Range2_High]])</f>
        <v>7.2505E-2</v>
      </c>
      <c r="AG1969">
        <f>AVERAGE(Table1[[#This Row],[Range1_Low]:[Range1_High]])</f>
        <v>787.505</v>
      </c>
      <c r="AH1969">
        <v>1</v>
      </c>
    </row>
    <row r="1970" spans="1:34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161</v>
      </c>
      <c r="U1970" t="str" cm="1">
        <f t="array" ref="U1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1970" t="str" cm="1">
        <f t="array" ref="V1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  <c r="AF1970">
        <f>AVERAGE(Table1[[#This Row],[Range2_Low]:[Range2_High]])</f>
        <v>7.2505E-2</v>
      </c>
      <c r="AG1970">
        <f>AVERAGE(Table1[[#This Row],[Range1_Low]:[Range1_High]])</f>
        <v>787.505</v>
      </c>
      <c r="AH1970">
        <v>1</v>
      </c>
    </row>
    <row r="1971" spans="1:34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161</v>
      </c>
      <c r="U1971" t="str" cm="1">
        <f t="array" ref="U1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1" t="str" cm="1">
        <f t="array" ref="V1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  <c r="AF1971">
        <f>AVERAGE(Table1[[#This Row],[Range2_Low]:[Range2_High]])</f>
        <v>1.000005</v>
      </c>
      <c r="AG1971">
        <f>AVERAGE(Table1[[#This Row],[Range1_Low]:[Range1_High]])</f>
        <v>790</v>
      </c>
      <c r="AH1971">
        <v>1</v>
      </c>
    </row>
    <row r="1972" spans="1:34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161</v>
      </c>
      <c r="U1972" t="str" cm="1">
        <f t="array" ref="U1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2" t="str" cm="1">
        <f t="array" ref="V1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  <c r="AF1972">
        <f>AVERAGE(Table1[[#This Row],[Range2_Low]:[Range2_High]])</f>
        <v>0.55000000000000004</v>
      </c>
      <c r="AG1972">
        <f>AVERAGE(Table1[[#This Row],[Range1_Low]:[Range1_High]])</f>
        <v>787.505</v>
      </c>
      <c r="AH1972">
        <v>1</v>
      </c>
    </row>
    <row r="1973" spans="1:34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161</v>
      </c>
      <c r="U1973" t="str" cm="1">
        <f t="array" ref="U1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3" t="str" cm="1">
        <f t="array" ref="V1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  <c r="AF1973">
        <f>AVERAGE(Table1[[#This Row],[Range2_Low]:[Range2_High]])</f>
        <v>1.000005</v>
      </c>
      <c r="AG1973">
        <f>AVERAGE(Table1[[#This Row],[Range1_Low]:[Range1_High]])</f>
        <v>790</v>
      </c>
      <c r="AH1973">
        <v>1</v>
      </c>
    </row>
    <row r="1974" spans="1:34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161</v>
      </c>
      <c r="U1974" t="str" cm="1">
        <f t="array" ref="U1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V1974" t="str" cm="1">
        <f t="array" ref="V1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  <c r="AF1974">
        <f>AVERAGE(Table1[[#This Row],[Range2_Low]:[Range2_High]])</f>
        <v>7.2505E-2</v>
      </c>
      <c r="AG1974">
        <f>AVERAGE(Table1[[#This Row],[Range1_Low]:[Range1_High]])</f>
        <v>787.505</v>
      </c>
      <c r="AH1974">
        <v>1</v>
      </c>
    </row>
    <row r="1975" spans="1:34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161</v>
      </c>
      <c r="U1975" t="str" cm="1">
        <f t="array" ref="U1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5" t="str" cm="1">
        <f t="array" ref="V1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  <c r="AF1975">
        <f>AVERAGE(Table1[[#This Row],[Range2_Low]:[Range2_High]])</f>
        <v>0.55000000000000004</v>
      </c>
      <c r="AG1975">
        <f>AVERAGE(Table1[[#This Row],[Range1_Low]:[Range1_High]])</f>
        <v>790</v>
      </c>
      <c r="AH1975">
        <v>1</v>
      </c>
    </row>
    <row r="1976" spans="1:34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161</v>
      </c>
      <c r="U1976" t="str" cm="1">
        <f t="array" ref="U1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76" t="str" cm="1">
        <f t="array" ref="V1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  <c r="AF1976">
        <f>AVERAGE(Table1[[#This Row],[Range2_Low]:[Range2_High]])</f>
        <v>7.2505E-2</v>
      </c>
      <c r="AG1976">
        <f>AVERAGE(Table1[[#This Row],[Range1_Low]:[Range1_High]])</f>
        <v>787.505</v>
      </c>
      <c r="AH1976">
        <v>1</v>
      </c>
    </row>
    <row r="1977" spans="1:34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160</v>
      </c>
      <c r="U1977" t="str" cm="1">
        <f t="array" ref="U1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7" t="str" cm="1">
        <f t="array" ref="V1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  <c r="AF1977">
        <f>AVERAGE(Table1[[#This Row],[Range2_Low]:[Range2_High]])</f>
        <v>7.5</v>
      </c>
      <c r="AG1977">
        <f>AVERAGE(Table1[[#This Row],[Range1_Low]:[Range1_High]])</f>
        <v>41.000500000000002</v>
      </c>
      <c r="AH1977">
        <v>1</v>
      </c>
    </row>
    <row r="1978" spans="1:34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160</v>
      </c>
      <c r="U1978" t="str" cm="1">
        <f t="array" ref="U1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8" t="str" cm="1">
        <f t="array" ref="V1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  <c r="AF1978">
        <f>AVERAGE(Table1[[#This Row],[Range2_Low]:[Range2_High]])</f>
        <v>10.004999999999999</v>
      </c>
      <c r="AG1978">
        <f>AVERAGE(Table1[[#This Row],[Range1_Low]:[Range1_High]])</f>
        <v>41.000500000000002</v>
      </c>
      <c r="AH1978">
        <v>1</v>
      </c>
    </row>
    <row r="1979" spans="1:34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160</v>
      </c>
      <c r="U1979" t="str" cm="1">
        <f t="array" ref="U1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79" t="str" cm="1">
        <f t="array" ref="V1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  <c r="AF1979">
        <f>AVERAGE(Table1[[#This Row],[Range2_Low]:[Range2_High]])</f>
        <v>3.0049999999999999</v>
      </c>
      <c r="AG1979">
        <f>AVERAGE(Table1[[#This Row],[Range1_Low]:[Range1_High]])</f>
        <v>41.000500000000002</v>
      </c>
      <c r="AH1979">
        <v>1</v>
      </c>
    </row>
    <row r="1980" spans="1:34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160</v>
      </c>
      <c r="U1980" t="str" cm="1">
        <f t="array" ref="U1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0" t="str" cm="1">
        <f t="array" ref="V1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  <c r="AF1980">
        <f>AVERAGE(Table1[[#This Row],[Range2_Low]:[Range2_High]])</f>
        <v>2.7505000000000002E-2</v>
      </c>
      <c r="AG1980">
        <f>AVERAGE(Table1[[#This Row],[Range1_Low]:[Range1_High]])</f>
        <v>41.000500000000002</v>
      </c>
      <c r="AH1980">
        <v>1</v>
      </c>
    </row>
    <row r="1981" spans="1:34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160</v>
      </c>
      <c r="U1981" t="str" cm="1">
        <f t="array" ref="U1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1" t="str" cm="1">
        <f t="array" ref="V1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  <c r="AF1981">
        <f>AVERAGE(Table1[[#This Row],[Range2_Low]:[Range2_High]])</f>
        <v>0.522505</v>
      </c>
      <c r="AG1981">
        <f>AVERAGE(Table1[[#This Row],[Range1_Low]:[Range1_High]])</f>
        <v>41.000500000000002</v>
      </c>
      <c r="AH1981">
        <v>1</v>
      </c>
    </row>
    <row r="1982" spans="1:34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160</v>
      </c>
      <c r="U1982" t="str" cm="1">
        <f t="array" ref="U1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2" t="str" cm="1">
        <f t="array" ref="V1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  <c r="AF1982">
        <f>AVERAGE(Table1[[#This Row],[Range2_Low]:[Range2_High]])</f>
        <v>3.0049999999999999</v>
      </c>
      <c r="AG1982">
        <f>AVERAGE(Table1[[#This Row],[Range1_Low]:[Range1_High]])</f>
        <v>41.000500000000002</v>
      </c>
      <c r="AH1982">
        <v>1</v>
      </c>
    </row>
    <row r="1983" spans="1:34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160</v>
      </c>
      <c r="U1983" t="str" cm="1">
        <f t="array" ref="U1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3" t="str" cm="1">
        <f t="array" ref="V1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  <c r="AF1983">
        <f>AVERAGE(Table1[[#This Row],[Range2_Low]:[Range2_High]])</f>
        <v>7.5</v>
      </c>
      <c r="AG1983">
        <f>AVERAGE(Table1[[#This Row],[Range1_Low]:[Range1_High]])</f>
        <v>41.000500000000002</v>
      </c>
      <c r="AH1983">
        <v>1</v>
      </c>
    </row>
    <row r="1984" spans="1:34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160</v>
      </c>
      <c r="U1984" t="str" cm="1">
        <f t="array" ref="U1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4" t="str" cm="1">
        <f t="array" ref="V1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  <c r="AF1984">
        <f>AVERAGE(Table1[[#This Row],[Range2_Low]:[Range2_High]])</f>
        <v>10.004999999999999</v>
      </c>
      <c r="AG1984">
        <f>AVERAGE(Table1[[#This Row],[Range1_Low]:[Range1_High]])</f>
        <v>41.000500000000002</v>
      </c>
      <c r="AH1984">
        <v>1</v>
      </c>
    </row>
    <row r="1985" spans="1:34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160</v>
      </c>
      <c r="U1985" t="str" cm="1">
        <f t="array" ref="U1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5" t="str" cm="1">
        <f t="array" ref="V1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  <c r="AF1985">
        <f>AVERAGE(Table1[[#This Row],[Range2_Low]:[Range2_High]])</f>
        <v>2.7505000000000002E-2</v>
      </c>
      <c r="AG1985">
        <f>AVERAGE(Table1[[#This Row],[Range1_Low]:[Range1_High]])</f>
        <v>41.000500000000002</v>
      </c>
      <c r="AH1985">
        <v>1</v>
      </c>
    </row>
    <row r="1986" spans="1:34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160</v>
      </c>
      <c r="U1986" t="str" cm="1">
        <f t="array" ref="U1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6" t="str" cm="1">
        <f t="array" ref="V1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  <c r="AF1986">
        <f>AVERAGE(Table1[[#This Row],[Range2_Low]:[Range2_High]])</f>
        <v>0.522505</v>
      </c>
      <c r="AG1986">
        <f>AVERAGE(Table1[[#This Row],[Range1_Low]:[Range1_High]])</f>
        <v>41.000500000000002</v>
      </c>
      <c r="AH1986">
        <v>1</v>
      </c>
    </row>
    <row r="1987" spans="1:34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160</v>
      </c>
      <c r="U1987" t="str" cm="1">
        <f t="array" ref="U1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7" t="str" cm="1">
        <f t="array" ref="V1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  <c r="AF1987">
        <f>AVERAGE(Table1[[#This Row],[Range2_Low]:[Range2_High]])</f>
        <v>0.522505</v>
      </c>
      <c r="AG1987">
        <f>AVERAGE(Table1[[#This Row],[Range1_Low]:[Range1_High]])</f>
        <v>41.000500000000002</v>
      </c>
      <c r="AH1987">
        <v>1</v>
      </c>
    </row>
    <row r="1988" spans="1:34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160</v>
      </c>
      <c r="U1988" t="str" cm="1">
        <f t="array" ref="U1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8" t="str" cm="1">
        <f t="array" ref="V1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  <c r="AF1988">
        <f>AVERAGE(Table1[[#This Row],[Range2_Low]:[Range2_High]])</f>
        <v>3.0049999999999999</v>
      </c>
      <c r="AG1988">
        <f>AVERAGE(Table1[[#This Row],[Range1_Low]:[Range1_High]])</f>
        <v>41.000500000000002</v>
      </c>
      <c r="AH1988">
        <v>1</v>
      </c>
    </row>
    <row r="1989" spans="1:34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160</v>
      </c>
      <c r="U1989" t="str" cm="1">
        <f t="array" ref="U1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9" t="str" cm="1">
        <f t="array" ref="V1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  <c r="AF1989">
        <f>AVERAGE(Table1[[#This Row],[Range2_Low]:[Range2_High]])</f>
        <v>7.5</v>
      </c>
      <c r="AG1989">
        <f>AVERAGE(Table1[[#This Row],[Range1_Low]:[Range1_High]])</f>
        <v>41.000500000000002</v>
      </c>
      <c r="AH1989">
        <v>1</v>
      </c>
    </row>
    <row r="1990" spans="1:34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160</v>
      </c>
      <c r="U1990" t="str" cm="1">
        <f t="array" ref="U1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90" t="str" cm="1">
        <f t="array" ref="V1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  <c r="AF1990">
        <f>AVERAGE(Table1[[#This Row],[Range2_Low]:[Range2_High]])</f>
        <v>10.004999999999999</v>
      </c>
      <c r="AG1990">
        <f>AVERAGE(Table1[[#This Row],[Range1_Low]:[Range1_High]])</f>
        <v>41.000500000000002</v>
      </c>
      <c r="AH1990">
        <v>1</v>
      </c>
    </row>
    <row r="1991" spans="1:34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160</v>
      </c>
      <c r="U1991" t="str" cm="1">
        <f t="array" ref="U1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991" t="str" cm="1">
        <f t="array" ref="V1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  <c r="AF1991">
        <f>AVERAGE(Table1[[#This Row],[Range2_Low]:[Range2_High]])</f>
        <v>2.7505000000000002E-2</v>
      </c>
      <c r="AG1991">
        <f>AVERAGE(Table1[[#This Row],[Range1_Low]:[Range1_High]])</f>
        <v>41.000500000000002</v>
      </c>
      <c r="AH1991">
        <v>1</v>
      </c>
    </row>
    <row r="1992" spans="1:34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160</v>
      </c>
      <c r="U1992" t="str" cm="1">
        <f t="array" ref="U1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2" t="str" cm="1">
        <f t="array" ref="V1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  <c r="AF1992">
        <f>AVERAGE(Table1[[#This Row],[Range2_Low]:[Range2_High]])</f>
        <v>0.522505</v>
      </c>
      <c r="AG1992">
        <f>AVERAGE(Table1[[#This Row],[Range1_Low]:[Range1_High]])</f>
        <v>41.000500000000002</v>
      </c>
      <c r="AH1992">
        <v>1</v>
      </c>
    </row>
    <row r="1993" spans="1:34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160</v>
      </c>
      <c r="U1993" t="str" cm="1">
        <f t="array" ref="U1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3" t="str" cm="1">
        <f t="array" ref="V1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  <c r="AF1993">
        <f>AVERAGE(Table1[[#This Row],[Range2_Low]:[Range2_High]])</f>
        <v>7.5</v>
      </c>
      <c r="AG1993">
        <f>AVERAGE(Table1[[#This Row],[Range1_Low]:[Range1_High]])</f>
        <v>41.000500000000002</v>
      </c>
      <c r="AH1993">
        <v>1</v>
      </c>
    </row>
    <row r="1994" spans="1:34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160</v>
      </c>
      <c r="U1994" t="str" cm="1">
        <f t="array" ref="U1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94" t="str" cm="1">
        <f t="array" ref="V1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  <c r="AF1994">
        <f>AVERAGE(Table1[[#This Row],[Range2_Low]:[Range2_High]])</f>
        <v>3.0049999999999999</v>
      </c>
      <c r="AG1994">
        <f>AVERAGE(Table1[[#This Row],[Range1_Low]:[Range1_High]])</f>
        <v>41.000500000000002</v>
      </c>
      <c r="AH1994">
        <v>1</v>
      </c>
    </row>
    <row r="1995" spans="1:34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160</v>
      </c>
      <c r="U1995" t="str" cm="1">
        <f t="array" ref="U1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5" t="str" cm="1">
        <f t="array" ref="V1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  <c r="AF1995">
        <f>AVERAGE(Table1[[#This Row],[Range2_Low]:[Range2_High]])</f>
        <v>2.7505000000000002E-2</v>
      </c>
      <c r="AG1995">
        <f>AVERAGE(Table1[[#This Row],[Range1_Low]:[Range1_High]])</f>
        <v>41.000500000000002</v>
      </c>
      <c r="AH1995">
        <v>1</v>
      </c>
    </row>
    <row r="1996" spans="1:34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160</v>
      </c>
      <c r="U1996" t="str" cm="1">
        <f t="array" ref="U1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6" t="str" cm="1">
        <f t="array" ref="V1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  <c r="AF1996">
        <f>AVERAGE(Table1[[#This Row],[Range2_Low]:[Range2_High]])</f>
        <v>10.004999999999999</v>
      </c>
      <c r="AG1996">
        <f>AVERAGE(Table1[[#This Row],[Range1_Low]:[Range1_High]])</f>
        <v>41.000500000000002</v>
      </c>
      <c r="AH1996">
        <v>1</v>
      </c>
    </row>
    <row r="1997" spans="1:34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160</v>
      </c>
      <c r="U1997" t="str" cm="1">
        <f t="array" ref="U1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7" t="str" cm="1">
        <f t="array" ref="V1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  <c r="AF1997">
        <f>AVERAGE(Table1[[#This Row],[Range2_Low]:[Range2_High]])</f>
        <v>3.0049999999999999</v>
      </c>
      <c r="AG1997">
        <f>AVERAGE(Table1[[#This Row],[Range1_Low]:[Range1_High]])</f>
        <v>41.000500000000002</v>
      </c>
      <c r="AH1997">
        <v>1</v>
      </c>
    </row>
    <row r="1998" spans="1:34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160</v>
      </c>
      <c r="U1998" t="str" cm="1">
        <f t="array" ref="U1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98" t="str" cm="1">
        <f t="array" ref="V1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  <c r="AF1998">
        <f>AVERAGE(Table1[[#This Row],[Range2_Low]:[Range2_High]])</f>
        <v>7.5</v>
      </c>
      <c r="AG1998">
        <f>AVERAGE(Table1[[#This Row],[Range1_Low]:[Range1_High]])</f>
        <v>41.000500000000002</v>
      </c>
      <c r="AH1998">
        <v>1</v>
      </c>
    </row>
    <row r="1999" spans="1:34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160</v>
      </c>
      <c r="U1999" t="str" cm="1">
        <f t="array" ref="U1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9" t="str" cm="1">
        <f t="array" ref="V1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  <c r="AF1999">
        <f>AVERAGE(Table1[[#This Row],[Range2_Low]:[Range2_High]])</f>
        <v>2.7505000000000002E-2</v>
      </c>
      <c r="AG1999">
        <f>AVERAGE(Table1[[#This Row],[Range1_Low]:[Range1_High]])</f>
        <v>41.000500000000002</v>
      </c>
      <c r="AH1999">
        <v>1</v>
      </c>
    </row>
    <row r="2000" spans="1:34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160</v>
      </c>
      <c r="U2000" t="str" cm="1">
        <f t="array" ref="U2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00" t="str" cm="1">
        <f t="array" ref="V2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  <c r="AF2000">
        <f>AVERAGE(Table1[[#This Row],[Range2_Low]:[Range2_High]])</f>
        <v>10.004999999999999</v>
      </c>
      <c r="AG2000">
        <f>AVERAGE(Table1[[#This Row],[Range1_Low]:[Range1_High]])</f>
        <v>41.000500000000002</v>
      </c>
      <c r="AH2000">
        <v>1</v>
      </c>
    </row>
    <row r="2001" spans="1:34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160</v>
      </c>
      <c r="U2001" t="str" cm="1">
        <f t="array" ref="U2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01" t="str" cm="1">
        <f t="array" ref="V2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  <c r="AF2001">
        <f>AVERAGE(Table1[[#This Row],[Range2_Low]:[Range2_High]])</f>
        <v>0.522505</v>
      </c>
      <c r="AG2001">
        <f>AVERAGE(Table1[[#This Row],[Range1_Low]:[Range1_High]])</f>
        <v>41.000500000000002</v>
      </c>
      <c r="AH2001">
        <v>1</v>
      </c>
    </row>
    <row r="2002" spans="1:34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160</v>
      </c>
      <c r="U2002" t="str" cm="1">
        <f t="array" ref="U2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2002" t="str" cm="1">
        <f t="array" ref="V2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mA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  <c r="AF2002">
        <f>AVERAGE(Table1[[#This Row],[Range2_Low]:[Range2_High]])</f>
        <v>7.2505E-2</v>
      </c>
      <c r="AG2002">
        <f>AVERAGE(Table1[[#This Row],[Range1_Low]:[Range1_High]])</f>
        <v>140.005</v>
      </c>
      <c r="AH2002">
        <v>1</v>
      </c>
    </row>
    <row r="2003" spans="1:34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160</v>
      </c>
      <c r="U2003" t="str" cm="1">
        <f t="array" ref="U2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3" t="str" cm="1">
        <f t="array" ref="V2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  <c r="AF2003">
        <f>AVERAGE(Table1[[#This Row],[Range2_Low]:[Range2_High]])</f>
        <v>3</v>
      </c>
      <c r="AG2003">
        <f>AVERAGE(Table1[[#This Row],[Range1_Low]:[Range1_High]])</f>
        <v>140.005</v>
      </c>
      <c r="AH2003">
        <v>1</v>
      </c>
    </row>
    <row r="2004" spans="1:34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160</v>
      </c>
      <c r="U2004" t="str" cm="1">
        <f t="array" ref="U2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V2004" t="str" cm="1">
        <f t="array" ref="V2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  <c r="AF2004">
        <f>AVERAGE(Table1[[#This Row],[Range2_Low]:[Range2_High]])</f>
        <v>0.55000500000000008</v>
      </c>
      <c r="AG2004">
        <f>AVERAGE(Table1[[#This Row],[Range1_Low]:[Range1_High]])</f>
        <v>140.005</v>
      </c>
      <c r="AH2004">
        <v>1</v>
      </c>
    </row>
    <row r="2005" spans="1:34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160</v>
      </c>
      <c r="U2005" t="str" cm="1">
        <f t="array" ref="U2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5" t="str" cm="1">
        <f t="array" ref="V2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  <c r="AF2005">
        <f>AVERAGE(Table1[[#This Row],[Range2_Low]:[Range2_High]])</f>
        <v>5.0049999999999999</v>
      </c>
      <c r="AG2005">
        <f>AVERAGE(Table1[[#This Row],[Range1_Low]:[Range1_High]])</f>
        <v>140.005</v>
      </c>
      <c r="AH2005">
        <v>1</v>
      </c>
    </row>
    <row r="2006" spans="1:34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160</v>
      </c>
      <c r="U2006" t="str" cm="1">
        <f t="array" ref="U2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V2006" t="str" cm="1">
        <f t="array" ref="V2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  <c r="AF2006">
        <f>AVERAGE(Table1[[#This Row],[Range2_Low]:[Range2_High]])</f>
        <v>0.55000500000000008</v>
      </c>
      <c r="AG2006">
        <f>AVERAGE(Table1[[#This Row],[Range1_Low]:[Range1_High]])</f>
        <v>140.005</v>
      </c>
      <c r="AH2006">
        <v>1</v>
      </c>
    </row>
    <row r="2007" spans="1:34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160</v>
      </c>
      <c r="U2007" t="str" cm="1">
        <f t="array" ref="U2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7" t="str" cm="1">
        <f t="array" ref="V2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  <c r="AF2007">
        <f>AVERAGE(Table1[[#This Row],[Range2_Low]:[Range2_High]])</f>
        <v>3</v>
      </c>
      <c r="AG2007">
        <f>AVERAGE(Table1[[#This Row],[Range1_Low]:[Range1_High]])</f>
        <v>140.005</v>
      </c>
      <c r="AH2007">
        <v>1</v>
      </c>
    </row>
    <row r="2008" spans="1:34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160</v>
      </c>
      <c r="U2008" t="str" cm="1">
        <f t="array" ref="U2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8" t="str" cm="1">
        <f t="array" ref="V2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  <c r="AF2008">
        <f>AVERAGE(Table1[[#This Row],[Range2_Low]:[Range2_High]])</f>
        <v>5.0049999999999999</v>
      </c>
      <c r="AG2008">
        <f>AVERAGE(Table1[[#This Row],[Range1_Low]:[Range1_High]])</f>
        <v>140.005</v>
      </c>
      <c r="AH2008">
        <v>1</v>
      </c>
    </row>
    <row r="2009" spans="1:34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160</v>
      </c>
      <c r="U2009" t="str" cm="1">
        <f t="array" ref="U2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2009" t="str" cm="1">
        <f t="array" ref="V2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  <c r="AF2009">
        <f>AVERAGE(Table1[[#This Row],[Range2_Low]:[Range2_High]])</f>
        <v>7.2505E-2</v>
      </c>
      <c r="AG2009">
        <f>AVERAGE(Table1[[#This Row],[Range1_Low]:[Range1_High]])</f>
        <v>140.005</v>
      </c>
      <c r="AH2009">
        <v>1</v>
      </c>
    </row>
    <row r="2010" spans="1:34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160</v>
      </c>
      <c r="U2010" t="str" cm="1">
        <f t="array" ref="U2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0" t="str" cm="1">
        <f t="array" ref="V2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  <c r="AF2010">
        <f>AVERAGE(Table1[[#This Row],[Range2_Low]:[Range2_High]])</f>
        <v>3</v>
      </c>
      <c r="AG2010">
        <f>AVERAGE(Table1[[#This Row],[Range1_Low]:[Range1_High]])</f>
        <v>140.005</v>
      </c>
      <c r="AH2010">
        <v>1</v>
      </c>
    </row>
    <row r="2011" spans="1:34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160</v>
      </c>
      <c r="U2011" t="str" cm="1">
        <f t="array" ref="U2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2011" t="str" cm="1">
        <f t="array" ref="V2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mA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  <c r="AF2011">
        <f>AVERAGE(Table1[[#This Row],[Range2_Low]:[Range2_High]])</f>
        <v>0.55000500000000008</v>
      </c>
      <c r="AG2011">
        <f>AVERAGE(Table1[[#This Row],[Range1_Low]:[Range1_High]])</f>
        <v>140.005</v>
      </c>
      <c r="AH2011">
        <v>1</v>
      </c>
    </row>
    <row r="2012" spans="1:34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160</v>
      </c>
      <c r="U2012" t="str" cm="1">
        <f t="array" ref="U2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2012" t="str" cm="1">
        <f t="array" ref="V2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  <c r="AF2012">
        <f>AVERAGE(Table1[[#This Row],[Range2_Low]:[Range2_High]])</f>
        <v>7.2505E-2</v>
      </c>
      <c r="AG2012">
        <f>AVERAGE(Table1[[#This Row],[Range1_Low]:[Range1_High]])</f>
        <v>140.005</v>
      </c>
      <c r="AH2012">
        <v>1</v>
      </c>
    </row>
    <row r="2013" spans="1:34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160</v>
      </c>
      <c r="U2013" t="str" cm="1">
        <f t="array" ref="U2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3" t="str" cm="1">
        <f t="array" ref="V2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  <c r="AF2013">
        <f>AVERAGE(Table1[[#This Row],[Range2_Low]:[Range2_High]])</f>
        <v>5.0049999999999999</v>
      </c>
      <c r="AG2013">
        <f>AVERAGE(Table1[[#This Row],[Range1_Low]:[Range1_High]])</f>
        <v>140.005</v>
      </c>
      <c r="AH2013">
        <v>1</v>
      </c>
    </row>
    <row r="2014" spans="1:34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160</v>
      </c>
      <c r="U2014" t="str" cm="1">
        <f t="array" ref="U2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4" t="str" cm="1">
        <f t="array" ref="V2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  <c r="AF2014">
        <f>AVERAGE(Table1[[#This Row],[Range2_Low]:[Range2_High]])</f>
        <v>0.55000500000000008</v>
      </c>
      <c r="AG2014">
        <f>AVERAGE(Table1[[#This Row],[Range1_Low]:[Range1_High]])</f>
        <v>140.005</v>
      </c>
      <c r="AH2014">
        <v>1</v>
      </c>
    </row>
    <row r="2015" spans="1:34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160</v>
      </c>
      <c r="U2015" t="str" cm="1">
        <f t="array" ref="U2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5" t="str" cm="1">
        <f t="array" ref="V2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  <c r="AF2015">
        <f>AVERAGE(Table1[[#This Row],[Range2_Low]:[Range2_High]])</f>
        <v>7.2505E-2</v>
      </c>
      <c r="AG2015">
        <f>AVERAGE(Table1[[#This Row],[Range1_Low]:[Range1_High]])</f>
        <v>140.005</v>
      </c>
      <c r="AH2015">
        <v>1</v>
      </c>
    </row>
    <row r="2016" spans="1:34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160</v>
      </c>
      <c r="U2016" t="str" cm="1">
        <f t="array" ref="U2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6" t="str" cm="1">
        <f t="array" ref="V2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  <c r="AF2016">
        <f>AVERAGE(Table1[[#This Row],[Range2_Low]:[Range2_High]])</f>
        <v>5.0049999999999999</v>
      </c>
      <c r="AG2016">
        <f>AVERAGE(Table1[[#This Row],[Range1_Low]:[Range1_High]])</f>
        <v>140.005</v>
      </c>
      <c r="AH2016">
        <v>1</v>
      </c>
    </row>
    <row r="2017" spans="1:34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160</v>
      </c>
      <c r="U2017" t="str" cm="1">
        <f t="array" ref="U2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7" t="str" cm="1">
        <f t="array" ref="V2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  <c r="AF2017">
        <f>AVERAGE(Table1[[#This Row],[Range2_Low]:[Range2_High]])</f>
        <v>3</v>
      </c>
      <c r="AG2017">
        <f>AVERAGE(Table1[[#This Row],[Range1_Low]:[Range1_High]])</f>
        <v>140.005</v>
      </c>
      <c r="AH2017">
        <v>1</v>
      </c>
    </row>
    <row r="2018" spans="1:34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160</v>
      </c>
      <c r="U2018" t="str" cm="1">
        <f t="array" ref="U2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8" t="str" cm="1">
        <f t="array" ref="V2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  <c r="AF2018">
        <f>AVERAGE(Table1[[#This Row],[Range2_Low]:[Range2_High]])</f>
        <v>5.0049999999999999</v>
      </c>
      <c r="AG2018">
        <f>AVERAGE(Table1[[#This Row],[Range1_Low]:[Range1_High]])</f>
        <v>140.005</v>
      </c>
      <c r="AH2018">
        <v>1</v>
      </c>
    </row>
    <row r="2019" spans="1:34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160</v>
      </c>
      <c r="U2019" t="str" cm="1">
        <f t="array" ref="U2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9" t="str" cm="1">
        <f t="array" ref="V2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  <c r="AF2019">
        <f>AVERAGE(Table1[[#This Row],[Range2_Low]:[Range2_High]])</f>
        <v>0.55000500000000008</v>
      </c>
      <c r="AG2019">
        <f>AVERAGE(Table1[[#This Row],[Range1_Low]:[Range1_High]])</f>
        <v>140.005</v>
      </c>
      <c r="AH2019">
        <v>1</v>
      </c>
    </row>
    <row r="2020" spans="1:34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160</v>
      </c>
      <c r="U2020" t="str" cm="1">
        <f t="array" ref="U2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0" t="str" cm="1">
        <f t="array" ref="V2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  <c r="AF2020">
        <f>AVERAGE(Table1[[#This Row],[Range2_Low]:[Range2_High]])</f>
        <v>3</v>
      </c>
      <c r="AG2020">
        <f>AVERAGE(Table1[[#This Row],[Range1_Low]:[Range1_High]])</f>
        <v>140.005</v>
      </c>
      <c r="AH2020">
        <v>1</v>
      </c>
    </row>
    <row r="2021" spans="1:34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160</v>
      </c>
      <c r="U2021" t="str" cm="1">
        <f t="array" ref="U2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1" t="str" cm="1">
        <f t="array" ref="V2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  <c r="AF2021">
        <f>AVERAGE(Table1[[#This Row],[Range2_Low]:[Range2_High]])</f>
        <v>7.2505E-2</v>
      </c>
      <c r="AG2021">
        <f>AVERAGE(Table1[[#This Row],[Range1_Low]:[Range1_High]])</f>
        <v>140.005</v>
      </c>
      <c r="AH2021">
        <v>1</v>
      </c>
    </row>
    <row r="2022" spans="1:34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160</v>
      </c>
      <c r="U2022" t="str" cm="1">
        <f t="array" ref="U2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2" t="str" cm="1">
        <f t="array" ref="V2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  <c r="AF2022">
        <f>AVERAGE(Table1[[#This Row],[Range2_Low]:[Range2_High]])</f>
        <v>0.55000500000000008</v>
      </c>
      <c r="AG2022">
        <f>AVERAGE(Table1[[#This Row],[Range1_Low]:[Range1_High]])</f>
        <v>315.005</v>
      </c>
      <c r="AH2022">
        <v>1</v>
      </c>
    </row>
    <row r="2023" spans="1:34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160</v>
      </c>
      <c r="U2023" t="str" cm="1">
        <f t="array" ref="U2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3" t="str" cm="1">
        <f t="array" ref="V2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  <c r="AF2023">
        <f>AVERAGE(Table1[[#This Row],[Range2_Low]:[Range2_High]])</f>
        <v>5.0049999999999999</v>
      </c>
      <c r="AG2023">
        <f>AVERAGE(Table1[[#This Row],[Range1_Low]:[Range1_High]])</f>
        <v>315.005</v>
      </c>
      <c r="AH2023">
        <v>1</v>
      </c>
    </row>
    <row r="2024" spans="1:34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160</v>
      </c>
      <c r="U2024" t="str" cm="1">
        <f t="array" ref="U2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4" t="str" cm="1">
        <f t="array" ref="V2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  <c r="AF2024">
        <f>AVERAGE(Table1[[#This Row],[Range2_Low]:[Range2_High]])</f>
        <v>3</v>
      </c>
      <c r="AG2024">
        <f>AVERAGE(Table1[[#This Row],[Range1_Low]:[Range1_High]])</f>
        <v>315.005</v>
      </c>
      <c r="AH2024">
        <v>1</v>
      </c>
    </row>
    <row r="2025" spans="1:34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160</v>
      </c>
      <c r="U2025" t="str" cm="1">
        <f t="array" ref="U2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5" t="str" cm="1">
        <f t="array" ref="V2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  <c r="AF2025">
        <f>AVERAGE(Table1[[#This Row],[Range2_Low]:[Range2_High]])</f>
        <v>7.2505E-2</v>
      </c>
      <c r="AG2025">
        <f>AVERAGE(Table1[[#This Row],[Range1_Low]:[Range1_High]])</f>
        <v>315.005</v>
      </c>
      <c r="AH2025">
        <v>1</v>
      </c>
    </row>
    <row r="2026" spans="1:34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160</v>
      </c>
      <c r="U2026" t="str" cm="1">
        <f t="array" ref="U2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6" t="str" cm="1">
        <f t="array" ref="V2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  <c r="AF2026">
        <f>AVERAGE(Table1[[#This Row],[Range2_Low]:[Range2_High]])</f>
        <v>5.0049999999999999</v>
      </c>
      <c r="AG2026">
        <f>AVERAGE(Table1[[#This Row],[Range1_Low]:[Range1_High]])</f>
        <v>315.005</v>
      </c>
      <c r="AH2026">
        <v>1</v>
      </c>
    </row>
    <row r="2027" spans="1:34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160</v>
      </c>
      <c r="U2027" t="str" cm="1">
        <f t="array" ref="U2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7" t="str" cm="1">
        <f t="array" ref="V2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  <c r="AF2027">
        <f>AVERAGE(Table1[[#This Row],[Range2_Low]:[Range2_High]])</f>
        <v>0.55000500000000008</v>
      </c>
      <c r="AG2027">
        <f>AVERAGE(Table1[[#This Row],[Range1_Low]:[Range1_High]])</f>
        <v>315.005</v>
      </c>
      <c r="AH2027">
        <v>1</v>
      </c>
    </row>
    <row r="2028" spans="1:34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160</v>
      </c>
      <c r="U2028" t="str" cm="1">
        <f t="array" ref="U2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8" t="str" cm="1">
        <f t="array" ref="V2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  <c r="AF2028">
        <f>AVERAGE(Table1[[#This Row],[Range2_Low]:[Range2_High]])</f>
        <v>3</v>
      </c>
      <c r="AG2028">
        <f>AVERAGE(Table1[[#This Row],[Range1_Low]:[Range1_High]])</f>
        <v>315.005</v>
      </c>
      <c r="AH2028">
        <v>1</v>
      </c>
    </row>
    <row r="2029" spans="1:34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160</v>
      </c>
      <c r="U2029" t="str" cm="1">
        <f t="array" ref="U2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9" t="str" cm="1">
        <f t="array" ref="V2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mA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  <c r="AF2029">
        <f>AVERAGE(Table1[[#This Row],[Range2_Low]:[Range2_High]])</f>
        <v>7.2505E-2</v>
      </c>
      <c r="AG2029">
        <f>AVERAGE(Table1[[#This Row],[Range1_Low]:[Range1_High]])</f>
        <v>315.005</v>
      </c>
      <c r="AH2029">
        <v>1</v>
      </c>
    </row>
    <row r="2030" spans="1:34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160</v>
      </c>
      <c r="U2030" t="str" cm="1">
        <f t="array" ref="U2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2030" t="str" cm="1">
        <f t="array" ref="V2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  <c r="AF2030">
        <f>AVERAGE(Table1[[#This Row],[Range2_Low]:[Range2_High]])</f>
        <v>7.2505E-2</v>
      </c>
      <c r="AG2030">
        <f>AVERAGE(Table1[[#This Row],[Range1_Low]:[Range1_High]])</f>
        <v>315.005</v>
      </c>
      <c r="AH2030">
        <v>1</v>
      </c>
    </row>
    <row r="2031" spans="1:34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160</v>
      </c>
      <c r="U2031" t="str" cm="1">
        <f t="array" ref="U2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V2031" t="str" cm="1">
        <f t="array" ref="V2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  <c r="AF2031">
        <f>AVERAGE(Table1[[#This Row],[Range2_Low]:[Range2_High]])</f>
        <v>0.55000500000000008</v>
      </c>
      <c r="AG2031">
        <f>AVERAGE(Table1[[#This Row],[Range1_Low]:[Range1_High]])</f>
        <v>315.005</v>
      </c>
      <c r="AH2031">
        <v>1</v>
      </c>
    </row>
    <row r="2032" spans="1:34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160</v>
      </c>
      <c r="U2032" t="str" cm="1">
        <f t="array" ref="U2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2" t="str" cm="1">
        <f t="array" ref="V2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  <c r="AF2032">
        <f>AVERAGE(Table1[[#This Row],[Range2_Low]:[Range2_High]])</f>
        <v>3</v>
      </c>
      <c r="AG2032">
        <f>AVERAGE(Table1[[#This Row],[Range1_Low]:[Range1_High]])</f>
        <v>315.005</v>
      </c>
      <c r="AH2032">
        <v>1</v>
      </c>
    </row>
    <row r="2033" spans="1:34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160</v>
      </c>
      <c r="U2033" t="str" cm="1">
        <f t="array" ref="U2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3" t="str" cm="1">
        <f t="array" ref="V2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  <c r="AF2033">
        <f>AVERAGE(Table1[[#This Row],[Range2_Low]:[Range2_High]])</f>
        <v>5.0049999999999999</v>
      </c>
      <c r="AG2033">
        <f>AVERAGE(Table1[[#This Row],[Range1_Low]:[Range1_High]])</f>
        <v>315.005</v>
      </c>
      <c r="AH2033">
        <v>1</v>
      </c>
    </row>
    <row r="2034" spans="1:34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160</v>
      </c>
      <c r="U2034" t="str" cm="1">
        <f t="array" ref="U2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4" t="str" cm="1">
        <f t="array" ref="V2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  <c r="AF2034">
        <f>AVERAGE(Table1[[#This Row],[Range2_Low]:[Range2_High]])</f>
        <v>3</v>
      </c>
      <c r="AG2034">
        <f>AVERAGE(Table1[[#This Row],[Range1_Low]:[Range1_High]])</f>
        <v>315.005</v>
      </c>
      <c r="AH2034">
        <v>1</v>
      </c>
    </row>
    <row r="2035" spans="1:34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160</v>
      </c>
      <c r="U2035" t="str" cm="1">
        <f t="array" ref="U2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5" t="str" cm="1">
        <f t="array" ref="V2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  <c r="AF2035">
        <f>AVERAGE(Table1[[#This Row],[Range2_Low]:[Range2_High]])</f>
        <v>7.2505E-2</v>
      </c>
      <c r="AG2035">
        <f>AVERAGE(Table1[[#This Row],[Range1_Low]:[Range1_High]])</f>
        <v>315.005</v>
      </c>
      <c r="AH2035">
        <v>1</v>
      </c>
    </row>
    <row r="2036" spans="1:34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160</v>
      </c>
      <c r="U2036" t="str" cm="1">
        <f t="array" ref="U2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6" t="str" cm="1">
        <f t="array" ref="V2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  <c r="AF2036">
        <f>AVERAGE(Table1[[#This Row],[Range2_Low]:[Range2_High]])</f>
        <v>0.55000500000000008</v>
      </c>
      <c r="AG2036">
        <f>AVERAGE(Table1[[#This Row],[Range1_Low]:[Range1_High]])</f>
        <v>315.005</v>
      </c>
      <c r="AH2036">
        <v>1</v>
      </c>
    </row>
    <row r="2037" spans="1:34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160</v>
      </c>
      <c r="U2037" t="str" cm="1">
        <f t="array" ref="U2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7" t="str" cm="1">
        <f t="array" ref="V2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  <c r="AF2037">
        <f>AVERAGE(Table1[[#This Row],[Range2_Low]:[Range2_High]])</f>
        <v>5.0049999999999999</v>
      </c>
      <c r="AG2037">
        <f>AVERAGE(Table1[[#This Row],[Range1_Low]:[Range1_High]])</f>
        <v>315.005</v>
      </c>
      <c r="AH2037">
        <v>1</v>
      </c>
    </row>
    <row r="2038" spans="1:34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160</v>
      </c>
      <c r="U2038" t="str" cm="1">
        <f t="array" ref="U2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8" t="str" cm="1">
        <f t="array" ref="V2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  <c r="AF2038">
        <f>AVERAGE(Table1[[#This Row],[Range2_Low]:[Range2_High]])</f>
        <v>5.0049999999999999</v>
      </c>
      <c r="AG2038">
        <f>AVERAGE(Table1[[#This Row],[Range1_Low]:[Range1_High]])</f>
        <v>315.005</v>
      </c>
      <c r="AH2038">
        <v>1</v>
      </c>
    </row>
    <row r="2039" spans="1:34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160</v>
      </c>
      <c r="U2039" t="str" cm="1">
        <f t="array" ref="U2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9" t="str" cm="1">
        <f t="array" ref="V2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  <c r="AF2039">
        <f>AVERAGE(Table1[[#This Row],[Range2_Low]:[Range2_High]])</f>
        <v>3</v>
      </c>
      <c r="AG2039">
        <f>AVERAGE(Table1[[#This Row],[Range1_Low]:[Range1_High]])</f>
        <v>315.005</v>
      </c>
      <c r="AH2039">
        <v>1</v>
      </c>
    </row>
    <row r="2040" spans="1:34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160</v>
      </c>
      <c r="U2040" t="str" cm="1">
        <f t="array" ref="U2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0" t="str" cm="1">
        <f t="array" ref="V2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  <c r="AF2040">
        <f>AVERAGE(Table1[[#This Row],[Range2_Low]:[Range2_High]])</f>
        <v>7.2505E-2</v>
      </c>
      <c r="AG2040">
        <f>AVERAGE(Table1[[#This Row],[Range1_Low]:[Range1_High]])</f>
        <v>315.005</v>
      </c>
      <c r="AH2040">
        <v>1</v>
      </c>
    </row>
    <row r="2041" spans="1:34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160</v>
      </c>
      <c r="U2041" t="str" cm="1">
        <f t="array" ref="U2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1" t="str" cm="1">
        <f t="array" ref="V2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  <c r="AF2041">
        <f>AVERAGE(Table1[[#This Row],[Range2_Low]:[Range2_High]])</f>
        <v>0.55000500000000008</v>
      </c>
      <c r="AG2041">
        <f>AVERAGE(Table1[[#This Row],[Range1_Low]:[Range1_High]])</f>
        <v>315.005</v>
      </c>
      <c r="AH2041">
        <v>1</v>
      </c>
    </row>
    <row r="2042" spans="1:34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159</v>
      </c>
      <c r="U2042" t="str" cm="1">
        <f t="array" ref="U2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V2042" t="str" cm="1">
        <f t="array" ref="V2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  <c r="AF2042">
        <f>AVERAGE(Table1[[#This Row],[Range2_Low]:[Range2_High]])</f>
        <v>2.7505000000000002E-2</v>
      </c>
      <c r="AG2042">
        <f>AVERAGE(Table1[[#This Row],[Range1_Low]:[Range1_High]])</f>
        <v>6.0004999999999997</v>
      </c>
      <c r="AH2042">
        <v>1</v>
      </c>
    </row>
    <row r="2043" spans="1:34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159</v>
      </c>
      <c r="U2043" t="str" cm="1">
        <f t="array" ref="U2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V2043" t="str" cm="1">
        <f t="array" ref="V2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  <c r="AF2043">
        <f>AVERAGE(Table1[[#This Row],[Range2_Low]:[Range2_High]])</f>
        <v>2.7505000000000002E-2</v>
      </c>
      <c r="AG2043">
        <f>AVERAGE(Table1[[#This Row],[Range1_Low]:[Range1_High]])</f>
        <v>6.0004999999999997</v>
      </c>
      <c r="AH2043">
        <v>1</v>
      </c>
    </row>
    <row r="2044" spans="1:34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159</v>
      </c>
      <c r="U2044" t="str" cm="1">
        <f t="array" ref="U2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4" t="str" cm="1">
        <f t="array" ref="V2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  <c r="AF2044">
        <f>AVERAGE(Table1[[#This Row],[Range2_Low]:[Range2_High]])</f>
        <v>10.004999999999999</v>
      </c>
      <c r="AG2044">
        <f>AVERAGE(Table1[[#This Row],[Range1_Low]:[Range1_High]])</f>
        <v>6.0004999999999997</v>
      </c>
      <c r="AH2044">
        <v>1</v>
      </c>
    </row>
    <row r="2045" spans="1:34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159</v>
      </c>
      <c r="U2045" t="str" cm="1">
        <f t="array" ref="U2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mA</v>
      </c>
      <c r="V2045" t="str" cm="1">
        <f t="array" ref="V2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  <c r="AF2045">
        <f>AVERAGE(Table1[[#This Row],[Range2_Low]:[Range2_High]])</f>
        <v>0.522505</v>
      </c>
      <c r="AG2045">
        <f>AVERAGE(Table1[[#This Row],[Range1_Low]:[Range1_High]])</f>
        <v>6.0004999999999997</v>
      </c>
      <c r="AH2045">
        <v>1</v>
      </c>
    </row>
    <row r="2046" spans="1:34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159</v>
      </c>
      <c r="U2046" t="str" cm="1">
        <f t="array" ref="U2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46" t="str" cm="1">
        <f t="array" ref="V2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  <c r="AF2046">
        <f>AVERAGE(Table1[[#This Row],[Range2_Low]:[Range2_High]])</f>
        <v>3.0049999999999999</v>
      </c>
      <c r="AG2046">
        <f>AVERAGE(Table1[[#This Row],[Range1_Low]:[Range1_High]])</f>
        <v>6.0004999999999997</v>
      </c>
      <c r="AH2046">
        <v>1</v>
      </c>
    </row>
    <row r="2047" spans="1:34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159</v>
      </c>
      <c r="U2047" t="str" cm="1">
        <f t="array" ref="U2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7" t="str" cm="1">
        <f t="array" ref="V2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  <c r="AF2047">
        <f>AVERAGE(Table1[[#This Row],[Range2_Low]:[Range2_High]])</f>
        <v>7.5</v>
      </c>
      <c r="AG2047">
        <f>AVERAGE(Table1[[#This Row],[Range1_Low]:[Range1_High]])</f>
        <v>6.0004999999999997</v>
      </c>
      <c r="AH2047">
        <v>1</v>
      </c>
    </row>
    <row r="2048" spans="1:34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159</v>
      </c>
      <c r="U2048" t="str" cm="1">
        <f t="array" ref="U2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8" t="str" cm="1">
        <f t="array" ref="V2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  <c r="AF2048">
        <f>AVERAGE(Table1[[#This Row],[Range2_Low]:[Range2_High]])</f>
        <v>10.004999999999999</v>
      </c>
      <c r="AG2048">
        <f>AVERAGE(Table1[[#This Row],[Range1_Low]:[Range1_High]])</f>
        <v>6.0004999999999997</v>
      </c>
      <c r="AH2048">
        <v>1</v>
      </c>
    </row>
    <row r="2049" spans="1:34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159</v>
      </c>
      <c r="U2049" t="str" cm="1">
        <f t="array" ref="U2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9" t="str" cm="1">
        <f t="array" ref="V2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  <c r="AF2049">
        <f>AVERAGE(Table1[[#This Row],[Range2_Low]:[Range2_High]])</f>
        <v>7.5</v>
      </c>
      <c r="AG2049">
        <f>AVERAGE(Table1[[#This Row],[Range1_Low]:[Range1_High]])</f>
        <v>6.0004999999999997</v>
      </c>
      <c r="AH2049">
        <v>1</v>
      </c>
    </row>
    <row r="2050" spans="1:34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159</v>
      </c>
      <c r="U2050" s="106" t="str" cm="1">
        <f t="array" ref="U2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2050" t="str" cm="1">
        <f t="array" ref="V2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  <c r="AF2050">
        <f>AVERAGE(Table1[[#This Row],[Range2_Low]:[Range2_High]])</f>
        <v>0.522505</v>
      </c>
      <c r="AG2050">
        <f>AVERAGE(Table1[[#This Row],[Range1_Low]:[Range1_High]])</f>
        <v>6.0004999999999997</v>
      </c>
      <c r="AH2050">
        <v>1</v>
      </c>
    </row>
    <row r="2051" spans="1:34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159</v>
      </c>
      <c r="U2051" t="str" cm="1">
        <f t="array" ref="U2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51" t="str" cm="1">
        <f t="array" ref="V2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  <c r="AF2051">
        <f>AVERAGE(Table1[[#This Row],[Range2_Low]:[Range2_High]])</f>
        <v>3.0049999999999999</v>
      </c>
      <c r="AG2051">
        <f>AVERAGE(Table1[[#This Row],[Range1_Low]:[Range1_High]])</f>
        <v>6.0004999999999997</v>
      </c>
      <c r="AH2051">
        <v>1</v>
      </c>
    </row>
    <row r="2052" spans="1:34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159</v>
      </c>
      <c r="U2052" t="str" cm="1">
        <f t="array" ref="U2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2052" t="str" cm="1">
        <f t="array" ref="V2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  <c r="AF2052">
        <f>AVERAGE(Table1[[#This Row],[Range2_Low]:[Range2_High]])</f>
        <v>2.7505000000000002E-2</v>
      </c>
      <c r="AG2052">
        <f>AVERAGE(Table1[[#This Row],[Range1_Low]:[Range1_High]])</f>
        <v>6.0004999999999997</v>
      </c>
      <c r="AH2052">
        <v>1</v>
      </c>
    </row>
    <row r="2053" spans="1:34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159</v>
      </c>
      <c r="U2053" t="str" cm="1">
        <f t="array" ref="U2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3" t="str" cm="1">
        <f t="array" ref="V2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  <c r="AF2053">
        <f>AVERAGE(Table1[[#This Row],[Range2_Low]:[Range2_High]])</f>
        <v>7.5</v>
      </c>
      <c r="AG2053">
        <f>AVERAGE(Table1[[#This Row],[Range1_Low]:[Range1_High]])</f>
        <v>6.0004999999999997</v>
      </c>
      <c r="AH2053">
        <v>1</v>
      </c>
    </row>
    <row r="2054" spans="1:34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159</v>
      </c>
      <c r="U2054" t="str" cm="1">
        <f t="array" ref="U2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V2054" t="str" cm="1">
        <f t="array" ref="V2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  <c r="AF2054">
        <f>AVERAGE(Table1[[#This Row],[Range2_Low]:[Range2_High]])</f>
        <v>3.0049999999999999</v>
      </c>
      <c r="AG2054">
        <f>AVERAGE(Table1[[#This Row],[Range1_Low]:[Range1_High]])</f>
        <v>6.0004999999999997</v>
      </c>
      <c r="AH2054">
        <v>1</v>
      </c>
    </row>
    <row r="2055" spans="1:34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159</v>
      </c>
      <c r="U2055" t="str" cm="1">
        <f t="array" ref="U2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V2055" t="str" cm="1">
        <f t="array" ref="V2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  <c r="AF2055">
        <f>AVERAGE(Table1[[#This Row],[Range2_Low]:[Range2_High]])</f>
        <v>0.522505</v>
      </c>
      <c r="AG2055">
        <f>AVERAGE(Table1[[#This Row],[Range1_Low]:[Range1_High]])</f>
        <v>6.0004999999999997</v>
      </c>
      <c r="AH2055">
        <v>1</v>
      </c>
    </row>
    <row r="2056" spans="1:34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159</v>
      </c>
      <c r="U2056" t="str" cm="1">
        <f t="array" ref="U2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6" t="str" cm="1">
        <f t="array" ref="V2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  <c r="AF2056">
        <f>AVERAGE(Table1[[#This Row],[Range2_Low]:[Range2_High]])</f>
        <v>10.004999999999999</v>
      </c>
      <c r="AG2056">
        <f>AVERAGE(Table1[[#This Row],[Range1_Low]:[Range1_High]])</f>
        <v>6.0004999999999997</v>
      </c>
      <c r="AH2056">
        <v>1</v>
      </c>
    </row>
    <row r="2057" spans="1:34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159</v>
      </c>
      <c r="U2057" t="str" cm="1">
        <f t="array" ref="U2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57" t="str" cm="1">
        <f t="array" ref="V2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  <c r="AF2057">
        <f>AVERAGE(Table1[[#This Row],[Range2_Low]:[Range2_High]])</f>
        <v>2.7505000000000002E-2</v>
      </c>
      <c r="AG2057">
        <f>AVERAGE(Table1[[#This Row],[Range1_Low]:[Range1_High]])</f>
        <v>6.0004999999999997</v>
      </c>
      <c r="AH2057">
        <v>1</v>
      </c>
    </row>
    <row r="2058" spans="1:34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159</v>
      </c>
      <c r="U2058" t="str" cm="1">
        <f t="array" ref="U2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8" t="str" cm="1">
        <f t="array" ref="V2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  <c r="AF2058">
        <f>AVERAGE(Table1[[#This Row],[Range2_Low]:[Range2_High]])</f>
        <v>7.5</v>
      </c>
      <c r="AG2058">
        <f>AVERAGE(Table1[[#This Row],[Range1_Low]:[Range1_High]])</f>
        <v>6.0004999999999997</v>
      </c>
      <c r="AH2058">
        <v>1</v>
      </c>
    </row>
    <row r="2059" spans="1:34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159</v>
      </c>
      <c r="U2059" t="str" cm="1">
        <f t="array" ref="U2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9" t="str" cm="1">
        <f t="array" ref="V2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  <c r="AF2059">
        <f>AVERAGE(Table1[[#This Row],[Range2_Low]:[Range2_High]])</f>
        <v>10.004999999999999</v>
      </c>
      <c r="AG2059">
        <f>AVERAGE(Table1[[#This Row],[Range1_Low]:[Range1_High]])</f>
        <v>6.0004999999999997</v>
      </c>
      <c r="AH2059">
        <v>1</v>
      </c>
    </row>
    <row r="2060" spans="1:34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159</v>
      </c>
      <c r="U2060" t="str" cm="1">
        <f t="array" ref="U2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0" t="str" cm="1">
        <f t="array" ref="V2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  <c r="AF2060">
        <f>AVERAGE(Table1[[#This Row],[Range2_Low]:[Range2_High]])</f>
        <v>0.522505</v>
      </c>
      <c r="AG2060">
        <f>AVERAGE(Table1[[#This Row],[Range1_Low]:[Range1_High]])</f>
        <v>6.0004999999999997</v>
      </c>
      <c r="AH2060">
        <v>1</v>
      </c>
    </row>
    <row r="2061" spans="1:34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159</v>
      </c>
      <c r="U2061" t="str" cm="1">
        <f t="array" ref="U2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1" t="str" cm="1">
        <f t="array" ref="V2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  <c r="AF2061">
        <f>AVERAGE(Table1[[#This Row],[Range2_Low]:[Range2_High]])</f>
        <v>2.7505000000000002E-2</v>
      </c>
      <c r="AG2061">
        <f>AVERAGE(Table1[[#This Row],[Range1_Low]:[Range1_High]])</f>
        <v>6.0004999999999997</v>
      </c>
      <c r="AH2061">
        <v>1</v>
      </c>
    </row>
    <row r="2062" spans="1:34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159</v>
      </c>
      <c r="U2062" t="str" cm="1">
        <f t="array" ref="U2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2" t="str" cm="1">
        <f t="array" ref="V2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  <c r="AF2062">
        <f>AVERAGE(Table1[[#This Row],[Range2_Low]:[Range2_High]])</f>
        <v>3.0049999999999999</v>
      </c>
      <c r="AG2062">
        <f>AVERAGE(Table1[[#This Row],[Range1_Low]:[Range1_High]])</f>
        <v>6.0004999999999997</v>
      </c>
      <c r="AH2062">
        <v>1</v>
      </c>
    </row>
    <row r="2063" spans="1:34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159</v>
      </c>
      <c r="U2063" t="str" cm="1">
        <f t="array" ref="U2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3" t="str" cm="1">
        <f t="array" ref="V2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  <c r="AF2063">
        <f>AVERAGE(Table1[[#This Row],[Range2_Low]:[Range2_High]])</f>
        <v>0.522505</v>
      </c>
      <c r="AG2063">
        <f>AVERAGE(Table1[[#This Row],[Range1_Low]:[Range1_High]])</f>
        <v>6.0004999999999997</v>
      </c>
      <c r="AH2063">
        <v>1</v>
      </c>
    </row>
    <row r="2064" spans="1:34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159</v>
      </c>
      <c r="U2064" t="str" cm="1">
        <f t="array" ref="U2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64" t="str" cm="1">
        <f t="array" ref="V2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  <c r="AF2064">
        <f>AVERAGE(Table1[[#This Row],[Range2_Low]:[Range2_High]])</f>
        <v>2.7505000000000002E-2</v>
      </c>
      <c r="AG2064">
        <f>AVERAGE(Table1[[#This Row],[Range1_Low]:[Range1_High]])</f>
        <v>6.0004999999999997</v>
      </c>
      <c r="AH2064">
        <v>1</v>
      </c>
    </row>
    <row r="2065" spans="1:34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159</v>
      </c>
      <c r="U2065" t="str" cm="1">
        <f t="array" ref="U2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5" t="str" cm="1">
        <f t="array" ref="V2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  <c r="AF2065">
        <f>AVERAGE(Table1[[#This Row],[Range2_Low]:[Range2_High]])</f>
        <v>10.004999999999999</v>
      </c>
      <c r="AG2065">
        <f>AVERAGE(Table1[[#This Row],[Range1_Low]:[Range1_High]])</f>
        <v>6.0004999999999997</v>
      </c>
      <c r="AH2065">
        <v>1</v>
      </c>
    </row>
    <row r="2066" spans="1:34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159</v>
      </c>
      <c r="U2066" t="str" cm="1">
        <f t="array" ref="U2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6" t="str" cm="1">
        <f t="array" ref="V2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  <c r="AF2066">
        <f>AVERAGE(Table1[[#This Row],[Range2_Low]:[Range2_High]])</f>
        <v>7.5</v>
      </c>
      <c r="AG2066">
        <f>AVERAGE(Table1[[#This Row],[Range1_Low]:[Range1_High]])</f>
        <v>6.0004999999999997</v>
      </c>
      <c r="AH2066">
        <v>1</v>
      </c>
    </row>
    <row r="2067" spans="1:34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159</v>
      </c>
      <c r="U2067" t="str" cm="1">
        <f t="array" ref="U2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7" t="str" cm="1">
        <f t="array" ref="V2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  <c r="AF2067">
        <f>AVERAGE(Table1[[#This Row],[Range2_Low]:[Range2_High]])</f>
        <v>3.0049999999999999</v>
      </c>
      <c r="AG2067">
        <f>AVERAGE(Table1[[#This Row],[Range1_Low]:[Range1_High]])</f>
        <v>6.0004999999999997</v>
      </c>
      <c r="AH2067">
        <v>1</v>
      </c>
    </row>
    <row r="2068" spans="1:34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159</v>
      </c>
      <c r="U2068" t="str" cm="1">
        <f t="array" ref="U2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8" t="str" cm="1">
        <f t="array" ref="V2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  <c r="AF2068">
        <f>AVERAGE(Table1[[#This Row],[Range2_Low]:[Range2_High]])</f>
        <v>7.5</v>
      </c>
      <c r="AG2068">
        <f>AVERAGE(Table1[[#This Row],[Range1_Low]:[Range1_High]])</f>
        <v>20.500500000000002</v>
      </c>
      <c r="AH2068">
        <v>1</v>
      </c>
    </row>
    <row r="2069" spans="1:34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159</v>
      </c>
      <c r="U2069" t="str" cm="1">
        <f t="array" ref="U2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9" t="str" cm="1">
        <f t="array" ref="V2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  <c r="AF2069">
        <f>AVERAGE(Table1[[#This Row],[Range2_Low]:[Range2_High]])</f>
        <v>10.004999999999999</v>
      </c>
      <c r="AG2069">
        <f>AVERAGE(Table1[[#This Row],[Range1_Low]:[Range1_High]])</f>
        <v>20.500500000000002</v>
      </c>
      <c r="AH2069">
        <v>1</v>
      </c>
    </row>
    <row r="2070" spans="1:34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159</v>
      </c>
      <c r="U2070" t="str" cm="1">
        <f t="array" ref="U2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0" t="str" cm="1">
        <f t="array" ref="V2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  <c r="AF2070">
        <f>AVERAGE(Table1[[#This Row],[Range2_Low]:[Range2_High]])</f>
        <v>2.7505000000000002E-2</v>
      </c>
      <c r="AG2070">
        <f>AVERAGE(Table1[[#This Row],[Range1_Low]:[Range1_High]])</f>
        <v>20.500500000000002</v>
      </c>
      <c r="AH2070">
        <v>1</v>
      </c>
    </row>
    <row r="2071" spans="1:34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159</v>
      </c>
      <c r="U2071" t="str" cm="1">
        <f t="array" ref="U2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1" t="str" cm="1">
        <f t="array" ref="V2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mA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  <c r="AF2071">
        <f>AVERAGE(Table1[[#This Row],[Range2_Low]:[Range2_High]])</f>
        <v>0.522505</v>
      </c>
      <c r="AG2071">
        <f>AVERAGE(Table1[[#This Row],[Range1_Low]:[Range1_High]])</f>
        <v>20.500500000000002</v>
      </c>
      <c r="AH2071">
        <v>1</v>
      </c>
    </row>
    <row r="2072" spans="1:34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159</v>
      </c>
      <c r="U2072" t="str" cm="1">
        <f t="array" ref="U2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2" t="str" cm="1">
        <f t="array" ref="V2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  <c r="AF2072">
        <f>AVERAGE(Table1[[#This Row],[Range2_Low]:[Range2_High]])</f>
        <v>3.0049999999999999</v>
      </c>
      <c r="AG2072">
        <f>AVERAGE(Table1[[#This Row],[Range1_Low]:[Range1_High]])</f>
        <v>20.500500000000002</v>
      </c>
      <c r="AH2072">
        <v>1</v>
      </c>
    </row>
    <row r="2073" spans="1:34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159</v>
      </c>
      <c r="U2073" t="str" cm="1">
        <f t="array" ref="U2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3" t="str" cm="1">
        <f t="array" ref="V2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  <c r="AF2073">
        <f>AVERAGE(Table1[[#This Row],[Range2_Low]:[Range2_High]])</f>
        <v>7.5</v>
      </c>
      <c r="AG2073">
        <f>AVERAGE(Table1[[#This Row],[Range1_Low]:[Range1_High]])</f>
        <v>20.500500000000002</v>
      </c>
      <c r="AH2073">
        <v>1</v>
      </c>
    </row>
    <row r="2074" spans="1:34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159</v>
      </c>
      <c r="U2074" t="str" cm="1">
        <f t="array" ref="U2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4" t="str" cm="1">
        <f t="array" ref="V2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mA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  <c r="AF2074">
        <f>AVERAGE(Table1[[#This Row],[Range2_Low]:[Range2_High]])</f>
        <v>2.7505000000000002E-2</v>
      </c>
      <c r="AG2074">
        <f>AVERAGE(Table1[[#This Row],[Range1_Low]:[Range1_High]])</f>
        <v>20.500500000000002</v>
      </c>
      <c r="AH2074">
        <v>1</v>
      </c>
    </row>
    <row r="2075" spans="1:34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159</v>
      </c>
      <c r="U2075" t="str" cm="1">
        <f t="array" ref="U2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5" t="str" cm="1">
        <f t="array" ref="V2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  <c r="AF2075">
        <f>AVERAGE(Table1[[#This Row],[Range2_Low]:[Range2_High]])</f>
        <v>10.004999999999999</v>
      </c>
      <c r="AG2075">
        <f>AVERAGE(Table1[[#This Row],[Range1_Low]:[Range1_High]])</f>
        <v>20.500500000000002</v>
      </c>
      <c r="AH2075">
        <v>1</v>
      </c>
    </row>
    <row r="2076" spans="1:34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159</v>
      </c>
      <c r="U2076" t="str" cm="1">
        <f t="array" ref="U2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6" t="str" cm="1">
        <f t="array" ref="V2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  <c r="AF2076">
        <f>AVERAGE(Table1[[#This Row],[Range2_Low]:[Range2_High]])</f>
        <v>3.0049999999999999</v>
      </c>
      <c r="AG2076">
        <f>AVERAGE(Table1[[#This Row],[Range1_Low]:[Range1_High]])</f>
        <v>20.500500000000002</v>
      </c>
      <c r="AH2076">
        <v>1</v>
      </c>
    </row>
    <row r="2077" spans="1:34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159</v>
      </c>
      <c r="U2077" t="str" cm="1">
        <f t="array" ref="U2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7" t="str" cm="1">
        <f t="array" ref="V2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mA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  <c r="AF2077">
        <f>AVERAGE(Table1[[#This Row],[Range2_Low]:[Range2_High]])</f>
        <v>0.522505</v>
      </c>
      <c r="AG2077">
        <f>AVERAGE(Table1[[#This Row],[Range1_Low]:[Range1_High]])</f>
        <v>20.500500000000002</v>
      </c>
      <c r="AH2077">
        <v>1</v>
      </c>
    </row>
    <row r="2078" spans="1:34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159</v>
      </c>
      <c r="U2078" t="str" cm="1">
        <f t="array" ref="U2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V2078" t="str" cm="1">
        <f t="array" ref="V2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mA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  <c r="AF2078">
        <f>AVERAGE(Table1[[#This Row],[Range2_Low]:[Range2_High]])</f>
        <v>2.7505000000000002E-2</v>
      </c>
      <c r="AG2078">
        <f>AVERAGE(Table1[[#This Row],[Range1_Low]:[Range1_High]])</f>
        <v>20.500500000000002</v>
      </c>
      <c r="AH2078">
        <v>1</v>
      </c>
    </row>
    <row r="2079" spans="1:34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159</v>
      </c>
      <c r="U2079" t="str" cm="1">
        <f t="array" ref="U2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9" t="str" cm="1">
        <f t="array" ref="V2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  <c r="AF2079">
        <f>AVERAGE(Table1[[#This Row],[Range2_Low]:[Range2_High]])</f>
        <v>10.004999999999999</v>
      </c>
      <c r="AG2079">
        <f>AVERAGE(Table1[[#This Row],[Range1_Low]:[Range1_High]])</f>
        <v>20.500500000000002</v>
      </c>
      <c r="AH2079">
        <v>1</v>
      </c>
    </row>
    <row r="2080" spans="1:34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159</v>
      </c>
      <c r="U2080" t="str" cm="1">
        <f t="array" ref="U2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80" t="str" cm="1">
        <f t="array" ref="V2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  <c r="AF2080">
        <f>AVERAGE(Table1[[#This Row],[Range2_Low]:[Range2_High]])</f>
        <v>3.0049999999999999</v>
      </c>
      <c r="AG2080">
        <f>AVERAGE(Table1[[#This Row],[Range1_Low]:[Range1_High]])</f>
        <v>20.500500000000002</v>
      </c>
      <c r="AH2080">
        <v>1</v>
      </c>
    </row>
    <row r="2081" spans="1:34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159</v>
      </c>
      <c r="U2081" t="str" cm="1">
        <f t="array" ref="U2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V2081" t="str" cm="1">
        <f t="array" ref="V2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  <c r="AF2081">
        <f>AVERAGE(Table1[[#This Row],[Range2_Low]:[Range2_High]])</f>
        <v>0.522505</v>
      </c>
      <c r="AG2081">
        <f>AVERAGE(Table1[[#This Row],[Range1_Low]:[Range1_High]])</f>
        <v>20.500500000000002</v>
      </c>
      <c r="AH2081">
        <v>1</v>
      </c>
    </row>
    <row r="2082" spans="1:34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159</v>
      </c>
      <c r="U2082" t="str" cm="1">
        <f t="array" ref="U2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82" t="str" cm="1">
        <f t="array" ref="V2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  <c r="AF2082">
        <f>AVERAGE(Table1[[#This Row],[Range2_Low]:[Range2_High]])</f>
        <v>7.5</v>
      </c>
      <c r="AG2082">
        <f>AVERAGE(Table1[[#This Row],[Range1_Low]:[Range1_High]])</f>
        <v>20.500500000000002</v>
      </c>
      <c r="AH2082">
        <v>1</v>
      </c>
    </row>
    <row r="2083" spans="1:34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159</v>
      </c>
      <c r="U2083" t="str" cm="1">
        <f t="array" ref="U2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3" t="str" cm="1">
        <f t="array" ref="V2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  <c r="AF2083">
        <f>AVERAGE(Table1[[#This Row],[Range2_Low]:[Range2_High]])</f>
        <v>2.7505000000000002E-2</v>
      </c>
      <c r="AG2083">
        <f>AVERAGE(Table1[[#This Row],[Range1_Low]:[Range1_High]])</f>
        <v>20.500500000000002</v>
      </c>
      <c r="AH2083">
        <v>1</v>
      </c>
    </row>
    <row r="2084" spans="1:34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159</v>
      </c>
      <c r="U2084" t="str" cm="1">
        <f t="array" ref="U2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4" t="str" cm="1">
        <f t="array" ref="V2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  <c r="AF2084">
        <f>AVERAGE(Table1[[#This Row],[Range2_Low]:[Range2_High]])</f>
        <v>7.5</v>
      </c>
      <c r="AG2084">
        <f>AVERAGE(Table1[[#This Row],[Range1_Low]:[Range1_High]])</f>
        <v>20.500500000000002</v>
      </c>
      <c r="AH2084">
        <v>1</v>
      </c>
    </row>
    <row r="2085" spans="1:34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159</v>
      </c>
      <c r="U2085" t="str" cm="1">
        <f t="array" ref="U2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5" t="str" cm="1">
        <f t="array" ref="V2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  <c r="AF2085">
        <f>AVERAGE(Table1[[#This Row],[Range2_Low]:[Range2_High]])</f>
        <v>10.004999999999999</v>
      </c>
      <c r="AG2085">
        <f>AVERAGE(Table1[[#This Row],[Range1_Low]:[Range1_High]])</f>
        <v>20.500500000000002</v>
      </c>
      <c r="AH2085">
        <v>1</v>
      </c>
    </row>
    <row r="2086" spans="1:34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159</v>
      </c>
      <c r="U2086" t="str" cm="1">
        <f t="array" ref="U2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086" t="str" cm="1">
        <f t="array" ref="V2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  <c r="AF2086">
        <f>AVERAGE(Table1[[#This Row],[Range2_Low]:[Range2_High]])</f>
        <v>3.0049999999999999</v>
      </c>
      <c r="AG2086">
        <f>AVERAGE(Table1[[#This Row],[Range1_Low]:[Range1_High]])</f>
        <v>20.500500000000002</v>
      </c>
      <c r="AH2086">
        <v>1</v>
      </c>
    </row>
    <row r="2087" spans="1:34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159</v>
      </c>
      <c r="U2087" t="str" cm="1">
        <f t="array" ref="U2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7" t="str" cm="1">
        <f t="array" ref="V2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  <c r="AF2087">
        <f>AVERAGE(Table1[[#This Row],[Range2_Low]:[Range2_High]])</f>
        <v>0.522505</v>
      </c>
      <c r="AG2087">
        <f>AVERAGE(Table1[[#This Row],[Range1_Low]:[Range1_High]])</f>
        <v>20.500500000000002</v>
      </c>
      <c r="AH2087">
        <v>1</v>
      </c>
    </row>
    <row r="2088" spans="1:34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159</v>
      </c>
      <c r="U2088" t="str" cm="1">
        <f t="array" ref="U2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8" t="str" cm="1">
        <f t="array" ref="V2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  <c r="AF2088">
        <f>AVERAGE(Table1[[#This Row],[Range2_Low]:[Range2_High]])</f>
        <v>2.7505000000000002E-2</v>
      </c>
      <c r="AG2088">
        <f>AVERAGE(Table1[[#This Row],[Range1_Low]:[Range1_High]])</f>
        <v>20.500500000000002</v>
      </c>
      <c r="AH2088">
        <v>1</v>
      </c>
    </row>
    <row r="2089" spans="1:34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159</v>
      </c>
      <c r="U2089" t="str" cm="1">
        <f t="array" ref="U2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9" t="str" cm="1">
        <f t="array" ref="V2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  <c r="AF2089">
        <f>AVERAGE(Table1[[#This Row],[Range2_Low]:[Range2_High]])</f>
        <v>10.004999999999999</v>
      </c>
      <c r="AG2089">
        <f>AVERAGE(Table1[[#This Row],[Range1_Low]:[Range1_High]])</f>
        <v>20.500500000000002</v>
      </c>
      <c r="AH2089">
        <v>1</v>
      </c>
    </row>
    <row r="2090" spans="1:34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159</v>
      </c>
      <c r="U2090" t="str" cm="1">
        <f t="array" ref="U2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0" t="str" cm="1">
        <f t="array" ref="V2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  <c r="AF2090">
        <f>AVERAGE(Table1[[#This Row],[Range2_Low]:[Range2_High]])</f>
        <v>7.5</v>
      </c>
      <c r="AG2090">
        <f>AVERAGE(Table1[[#This Row],[Range1_Low]:[Range1_High]])</f>
        <v>20.500500000000002</v>
      </c>
      <c r="AH2090">
        <v>1</v>
      </c>
    </row>
    <row r="2091" spans="1:34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159</v>
      </c>
      <c r="U2091" t="str" cm="1">
        <f t="array" ref="U2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1" t="str" cm="1">
        <f t="array" ref="V2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  <c r="AF2091">
        <f>AVERAGE(Table1[[#This Row],[Range2_Low]:[Range2_High]])</f>
        <v>3.0049999999999999</v>
      </c>
      <c r="AG2091">
        <f>AVERAGE(Table1[[#This Row],[Range1_Low]:[Range1_High]])</f>
        <v>20.500500000000002</v>
      </c>
      <c r="AH2091">
        <v>1</v>
      </c>
    </row>
    <row r="2092" spans="1:34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159</v>
      </c>
      <c r="U2092" t="str" cm="1">
        <f t="array" ref="U2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2" t="str" cm="1">
        <f t="array" ref="V2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  <c r="AF2092">
        <f>AVERAGE(Table1[[#This Row],[Range2_Low]:[Range2_High]])</f>
        <v>0.522505</v>
      </c>
      <c r="AG2092">
        <f>AVERAGE(Table1[[#This Row],[Range1_Low]:[Range1_High]])</f>
        <v>20.500500000000002</v>
      </c>
      <c r="AH2092">
        <v>1</v>
      </c>
    </row>
    <row r="2093" spans="1:34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159</v>
      </c>
      <c r="U2093" t="str" cm="1">
        <f t="array" ref="U2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93" t="str" cm="1">
        <f t="array" ref="V2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  <c r="AF2093">
        <f>AVERAGE(Table1[[#This Row],[Range2_Low]:[Range2_High]])</f>
        <v>0.55000500000000008</v>
      </c>
      <c r="AG2093">
        <f>AVERAGE(Table1[[#This Row],[Range1_Low]:[Range1_High]])</f>
        <v>70.004999999999995</v>
      </c>
      <c r="AH2093">
        <v>1</v>
      </c>
    </row>
    <row r="2094" spans="1:34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159</v>
      </c>
      <c r="U2094" t="str" cm="1">
        <f t="array" ref="U2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94" t="str" cm="1">
        <f t="array" ref="V2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  <c r="AF2094">
        <f>AVERAGE(Table1[[#This Row],[Range2_Low]:[Range2_High]])</f>
        <v>7.2505E-2</v>
      </c>
      <c r="AG2094">
        <f>AVERAGE(Table1[[#This Row],[Range1_Low]:[Range1_High]])</f>
        <v>70.004999999999995</v>
      </c>
      <c r="AH2094">
        <v>1</v>
      </c>
    </row>
    <row r="2095" spans="1:34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159</v>
      </c>
      <c r="U2095" t="str" cm="1">
        <f t="array" ref="U2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5" t="str" cm="1">
        <f t="array" ref="V2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  <c r="AF2095">
        <f>AVERAGE(Table1[[#This Row],[Range2_Low]:[Range2_High]])</f>
        <v>3</v>
      </c>
      <c r="AG2095">
        <f>AVERAGE(Table1[[#This Row],[Range1_Low]:[Range1_High]])</f>
        <v>70.004999999999995</v>
      </c>
      <c r="AH2095">
        <v>1</v>
      </c>
    </row>
    <row r="2096" spans="1:34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159</v>
      </c>
      <c r="U2096" t="str" cm="1">
        <f t="array" ref="U2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6" t="str" cm="1">
        <f t="array" ref="V2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  <c r="AF2096">
        <f>AVERAGE(Table1[[#This Row],[Range2_Low]:[Range2_High]])</f>
        <v>5.0049999999999999</v>
      </c>
      <c r="AG2096">
        <f>AVERAGE(Table1[[#This Row],[Range1_Low]:[Range1_High]])</f>
        <v>70.004999999999995</v>
      </c>
      <c r="AH2096">
        <v>1</v>
      </c>
    </row>
    <row r="2097" spans="1:34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159</v>
      </c>
      <c r="U2097" t="str" cm="1">
        <f t="array" ref="U2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7" t="str" cm="1">
        <f t="array" ref="V2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  <c r="AF2097">
        <f>AVERAGE(Table1[[#This Row],[Range2_Low]:[Range2_High]])</f>
        <v>5.0049999999999999</v>
      </c>
      <c r="AG2097">
        <f>AVERAGE(Table1[[#This Row],[Range1_Low]:[Range1_High]])</f>
        <v>70.004999999999995</v>
      </c>
      <c r="AH2097">
        <v>1</v>
      </c>
    </row>
    <row r="2098" spans="1:34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159</v>
      </c>
      <c r="U2098" t="str" cm="1">
        <f t="array" ref="U2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V2098" t="str" cm="1">
        <f t="array" ref="V2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  <c r="AF2098">
        <f>AVERAGE(Table1[[#This Row],[Range2_Low]:[Range2_High]])</f>
        <v>0.55000500000000008</v>
      </c>
      <c r="AG2098">
        <f>AVERAGE(Table1[[#This Row],[Range1_Low]:[Range1_High]])</f>
        <v>70.004999999999995</v>
      </c>
      <c r="AH2098">
        <v>1</v>
      </c>
    </row>
    <row r="2099" spans="1:34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159</v>
      </c>
      <c r="U2099" t="str" cm="1">
        <f t="array" ref="U2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9" t="str" cm="1">
        <f t="array" ref="V2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  <c r="AF2099">
        <f>AVERAGE(Table1[[#This Row],[Range2_Low]:[Range2_High]])</f>
        <v>3</v>
      </c>
      <c r="AG2099">
        <f>AVERAGE(Table1[[#This Row],[Range1_Low]:[Range1_High]])</f>
        <v>70.004999999999995</v>
      </c>
      <c r="AH2099">
        <v>1</v>
      </c>
    </row>
    <row r="2100" spans="1:34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159</v>
      </c>
      <c r="U2100" t="str" cm="1">
        <f t="array" ref="U2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100" t="str" cm="1">
        <f t="array" ref="V2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  <c r="AF2100">
        <f>AVERAGE(Table1[[#This Row],[Range2_Low]:[Range2_High]])</f>
        <v>7.2505E-2</v>
      </c>
      <c r="AG2100">
        <f>AVERAGE(Table1[[#This Row],[Range1_Low]:[Range1_High]])</f>
        <v>70.004999999999995</v>
      </c>
      <c r="AH2100">
        <v>1</v>
      </c>
    </row>
    <row r="2101" spans="1:34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159</v>
      </c>
      <c r="U2101" t="str" cm="1">
        <f t="array" ref="U2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1" t="str" cm="1">
        <f t="array" ref="V2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  <c r="AF2101">
        <f>AVERAGE(Table1[[#This Row],[Range2_Low]:[Range2_High]])</f>
        <v>3</v>
      </c>
      <c r="AG2101">
        <f>AVERAGE(Table1[[#This Row],[Range1_Low]:[Range1_High]])</f>
        <v>70.004999999999995</v>
      </c>
      <c r="AH2101">
        <v>1</v>
      </c>
    </row>
    <row r="2102" spans="1:34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159</v>
      </c>
      <c r="U2102" t="str" cm="1">
        <f t="array" ref="U2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2" t="str" cm="1">
        <f t="array" ref="V2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  <c r="AF2102">
        <f>AVERAGE(Table1[[#This Row],[Range2_Low]:[Range2_High]])</f>
        <v>7.2505E-2</v>
      </c>
      <c r="AG2102">
        <f>AVERAGE(Table1[[#This Row],[Range1_Low]:[Range1_High]])</f>
        <v>70.004999999999995</v>
      </c>
      <c r="AH2102">
        <v>1</v>
      </c>
    </row>
    <row r="2103" spans="1:34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159</v>
      </c>
      <c r="U2103" t="str" cm="1">
        <f t="array" ref="U2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3" t="str" cm="1">
        <f t="array" ref="V2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  <c r="AF2103">
        <f>AVERAGE(Table1[[#This Row],[Range2_Low]:[Range2_High]])</f>
        <v>5.0049999999999999</v>
      </c>
      <c r="AG2103">
        <f>AVERAGE(Table1[[#This Row],[Range1_Low]:[Range1_High]])</f>
        <v>70.004999999999995</v>
      </c>
      <c r="AH2103">
        <v>1</v>
      </c>
    </row>
    <row r="2104" spans="1:34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159</v>
      </c>
      <c r="U2104" t="str" cm="1">
        <f t="array" ref="U2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4" t="str" cm="1">
        <f t="array" ref="V2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  <c r="AF2104">
        <f>AVERAGE(Table1[[#This Row],[Range2_Low]:[Range2_High]])</f>
        <v>0.55000500000000008</v>
      </c>
      <c r="AG2104">
        <f>AVERAGE(Table1[[#This Row],[Range1_Low]:[Range1_High]])</f>
        <v>70.004999999999995</v>
      </c>
      <c r="AH2104">
        <v>1</v>
      </c>
    </row>
    <row r="2105" spans="1:34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159</v>
      </c>
      <c r="U2105" t="str" cm="1">
        <f t="array" ref="U2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5" t="str" cm="1">
        <f t="array" ref="V2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  <c r="AF2105">
        <f>AVERAGE(Table1[[#This Row],[Range2_Low]:[Range2_High]])</f>
        <v>3</v>
      </c>
      <c r="AG2105">
        <f>AVERAGE(Table1[[#This Row],[Range1_Low]:[Range1_High]])</f>
        <v>70.004999999999995</v>
      </c>
      <c r="AH2105">
        <v>1</v>
      </c>
    </row>
    <row r="2106" spans="1:34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159</v>
      </c>
      <c r="U2106" t="str" cm="1">
        <f t="array" ref="U2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6" t="str" cm="1">
        <f t="array" ref="V2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  <c r="AF2106">
        <f>AVERAGE(Table1[[#This Row],[Range2_Low]:[Range2_High]])</f>
        <v>7.2505E-2</v>
      </c>
      <c r="AG2106">
        <f>AVERAGE(Table1[[#This Row],[Range1_Low]:[Range1_High]])</f>
        <v>70.004999999999995</v>
      </c>
      <c r="AH2106">
        <v>1</v>
      </c>
    </row>
    <row r="2107" spans="1:34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159</v>
      </c>
      <c r="U2107" t="str" cm="1">
        <f t="array" ref="U2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7" t="str" cm="1">
        <f t="array" ref="V2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  <c r="AF2107">
        <f>AVERAGE(Table1[[#This Row],[Range2_Low]:[Range2_High]])</f>
        <v>0.55000500000000008</v>
      </c>
      <c r="AG2107">
        <f>AVERAGE(Table1[[#This Row],[Range1_Low]:[Range1_High]])</f>
        <v>70.004999999999995</v>
      </c>
      <c r="AH2107">
        <v>1</v>
      </c>
    </row>
    <row r="2108" spans="1:34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159</v>
      </c>
      <c r="U2108" t="str" cm="1">
        <f t="array" ref="U2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8" t="str" cm="1">
        <f t="array" ref="V2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  <c r="AF2108">
        <f>AVERAGE(Table1[[#This Row],[Range2_Low]:[Range2_High]])</f>
        <v>5.0049999999999999</v>
      </c>
      <c r="AG2108">
        <f>AVERAGE(Table1[[#This Row],[Range1_Low]:[Range1_High]])</f>
        <v>70.004999999999995</v>
      </c>
      <c r="AH2108">
        <v>1</v>
      </c>
    </row>
    <row r="2109" spans="1:34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159</v>
      </c>
      <c r="U2109" t="str" cm="1">
        <f t="array" ref="U2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09" t="str" cm="1">
        <f t="array" ref="V2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  <c r="AF2109">
        <f>AVERAGE(Table1[[#This Row],[Range2_Low]:[Range2_High]])</f>
        <v>3</v>
      </c>
      <c r="AG2109">
        <f>AVERAGE(Table1[[#This Row],[Range1_Low]:[Range1_High]])</f>
        <v>70.004999999999995</v>
      </c>
      <c r="AH2109">
        <v>1</v>
      </c>
    </row>
    <row r="2110" spans="1:34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159</v>
      </c>
      <c r="U2110" t="str" cm="1">
        <f t="array" ref="U2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0" t="str" cm="1">
        <f t="array" ref="V2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  <c r="AF2110">
        <f>AVERAGE(Table1[[#This Row],[Range2_Low]:[Range2_High]])</f>
        <v>7.2505E-2</v>
      </c>
      <c r="AG2110">
        <f>AVERAGE(Table1[[#This Row],[Range1_Low]:[Range1_High]])</f>
        <v>70.004999999999995</v>
      </c>
      <c r="AH2110">
        <v>1</v>
      </c>
    </row>
    <row r="2111" spans="1:34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159</v>
      </c>
      <c r="U2111" t="str" cm="1">
        <f t="array" ref="U2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1" t="str" cm="1">
        <f t="array" ref="V2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  <c r="AF2111">
        <f>AVERAGE(Table1[[#This Row],[Range2_Low]:[Range2_High]])</f>
        <v>5.0049999999999999</v>
      </c>
      <c r="AG2111">
        <f>AVERAGE(Table1[[#This Row],[Range1_Low]:[Range1_High]])</f>
        <v>70.004999999999995</v>
      </c>
      <c r="AH2111">
        <v>1</v>
      </c>
    </row>
    <row r="2112" spans="1:34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159</v>
      </c>
      <c r="U2112" t="str" cm="1">
        <f t="array" ref="U2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2" t="str" cm="1">
        <f t="array" ref="V2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  <c r="AF2112">
        <f>AVERAGE(Table1[[#This Row],[Range2_Low]:[Range2_High]])</f>
        <v>0.55000500000000008</v>
      </c>
      <c r="AG2112">
        <f>AVERAGE(Table1[[#This Row],[Range1_Low]:[Range1_High]])</f>
        <v>70.004999999999995</v>
      </c>
      <c r="AH2112">
        <v>1</v>
      </c>
    </row>
    <row r="2113" spans="1:34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159</v>
      </c>
      <c r="U2113" t="str" cm="1">
        <f t="array" ref="U2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3" t="str" cm="1">
        <f t="array" ref="V2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  <c r="AF2113">
        <f>AVERAGE(Table1[[#This Row],[Range2_Low]:[Range2_High]])</f>
        <v>3</v>
      </c>
      <c r="AG2113">
        <f>AVERAGE(Table1[[#This Row],[Range1_Low]:[Range1_High]])</f>
        <v>157.505</v>
      </c>
      <c r="AH2113">
        <v>1</v>
      </c>
    </row>
    <row r="2114" spans="1:34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159</v>
      </c>
      <c r="U2114" t="str" cm="1">
        <f t="array" ref="U2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4" t="str" cm="1">
        <f t="array" ref="V2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  <c r="AF2114">
        <f>AVERAGE(Table1[[#This Row],[Range2_Low]:[Range2_High]])</f>
        <v>5.0049999999999999</v>
      </c>
      <c r="AG2114">
        <f>AVERAGE(Table1[[#This Row],[Range1_Low]:[Range1_High]])</f>
        <v>157.505</v>
      </c>
      <c r="AH2114">
        <v>1</v>
      </c>
    </row>
    <row r="2115" spans="1:34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159</v>
      </c>
      <c r="U2115" t="str" cm="1">
        <f t="array" ref="U2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V2115" t="str" cm="1">
        <f t="array" ref="V2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  <c r="AF2115">
        <f>AVERAGE(Table1[[#This Row],[Range2_Low]:[Range2_High]])</f>
        <v>7.2505E-2</v>
      </c>
      <c r="AG2115">
        <f>AVERAGE(Table1[[#This Row],[Range1_Low]:[Range1_High]])</f>
        <v>157.505</v>
      </c>
      <c r="AH2115">
        <v>1</v>
      </c>
    </row>
    <row r="2116" spans="1:34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159</v>
      </c>
      <c r="U2116" t="str" cm="1">
        <f t="array" ref="U2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6" t="str" cm="1">
        <f t="array" ref="V2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  <c r="AF2116">
        <f>AVERAGE(Table1[[#This Row],[Range2_Low]:[Range2_High]])</f>
        <v>0.55000500000000008</v>
      </c>
      <c r="AG2116">
        <f>AVERAGE(Table1[[#This Row],[Range1_Low]:[Range1_High]])</f>
        <v>157.505</v>
      </c>
      <c r="AH2116">
        <v>1</v>
      </c>
    </row>
    <row r="2117" spans="1:34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159</v>
      </c>
      <c r="U2117" t="str" cm="1">
        <f t="array" ref="U2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V2117" t="str" cm="1">
        <f t="array" ref="V2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  <c r="AF2117">
        <f>AVERAGE(Table1[[#This Row],[Range2_Low]:[Range2_High]])</f>
        <v>7.2505E-2</v>
      </c>
      <c r="AG2117">
        <f>AVERAGE(Table1[[#This Row],[Range1_Low]:[Range1_High]])</f>
        <v>157.505</v>
      </c>
      <c r="AH2117">
        <v>1</v>
      </c>
    </row>
    <row r="2118" spans="1:34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159</v>
      </c>
      <c r="U2118" t="str" cm="1">
        <f t="array" ref="U2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8" t="str" cm="1">
        <f t="array" ref="V2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  <c r="AF2118">
        <f>AVERAGE(Table1[[#This Row],[Range2_Low]:[Range2_High]])</f>
        <v>3</v>
      </c>
      <c r="AG2118">
        <f>AVERAGE(Table1[[#This Row],[Range1_Low]:[Range1_High]])</f>
        <v>157.505</v>
      </c>
      <c r="AH2118">
        <v>1</v>
      </c>
    </row>
    <row r="2119" spans="1:34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159</v>
      </c>
      <c r="U2119" t="str" cm="1">
        <f t="array" ref="U2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9" t="str" cm="1">
        <f t="array" ref="V2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  <c r="AF2119">
        <f>AVERAGE(Table1[[#This Row],[Range2_Low]:[Range2_High]])</f>
        <v>0.55000500000000008</v>
      </c>
      <c r="AG2119">
        <f>AVERAGE(Table1[[#This Row],[Range1_Low]:[Range1_High]])</f>
        <v>157.505</v>
      </c>
      <c r="AH2119">
        <v>1</v>
      </c>
    </row>
    <row r="2120" spans="1:34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159</v>
      </c>
      <c r="U2120" t="str" cm="1">
        <f t="array" ref="U2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0" t="str" cm="1">
        <f t="array" ref="V2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  <c r="AF2120">
        <f>AVERAGE(Table1[[#This Row],[Range2_Low]:[Range2_High]])</f>
        <v>5.0049999999999999</v>
      </c>
      <c r="AG2120">
        <f>AVERAGE(Table1[[#This Row],[Range1_Low]:[Range1_High]])</f>
        <v>157.505</v>
      </c>
      <c r="AH2120">
        <v>1</v>
      </c>
    </row>
    <row r="2121" spans="1:34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159</v>
      </c>
      <c r="U2121" t="str" cm="1">
        <f t="array" ref="U2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2121" t="str" cm="1">
        <f t="array" ref="V2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  <c r="AF2121">
        <f>AVERAGE(Table1[[#This Row],[Range2_Low]:[Range2_High]])</f>
        <v>0.55000500000000008</v>
      </c>
      <c r="AG2121">
        <f>AVERAGE(Table1[[#This Row],[Range1_Low]:[Range1_High]])</f>
        <v>157.505</v>
      </c>
      <c r="AH2121">
        <v>1</v>
      </c>
    </row>
    <row r="2122" spans="1:34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159</v>
      </c>
      <c r="U2122" t="str" cm="1">
        <f t="array" ref="U2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V2122" t="str" cm="1">
        <f t="array" ref="V2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mA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  <c r="AF2122">
        <f>AVERAGE(Table1[[#This Row],[Range2_Low]:[Range2_High]])</f>
        <v>7.2505E-2</v>
      </c>
      <c r="AG2122">
        <f>AVERAGE(Table1[[#This Row],[Range1_Low]:[Range1_High]])</f>
        <v>157.505</v>
      </c>
      <c r="AH2122">
        <v>1</v>
      </c>
    </row>
    <row r="2123" spans="1:34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159</v>
      </c>
      <c r="U2123" t="str" cm="1">
        <f t="array" ref="U2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3" t="str" cm="1">
        <f t="array" ref="V2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  <c r="AF2123">
        <f>AVERAGE(Table1[[#This Row],[Range2_Low]:[Range2_High]])</f>
        <v>3</v>
      </c>
      <c r="AG2123">
        <f>AVERAGE(Table1[[#This Row],[Range1_Low]:[Range1_High]])</f>
        <v>157.505</v>
      </c>
      <c r="AH2123">
        <v>1</v>
      </c>
    </row>
    <row r="2124" spans="1:34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159</v>
      </c>
      <c r="U2124" t="str" cm="1">
        <f t="array" ref="U2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4" t="str" cm="1">
        <f t="array" ref="V2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  <c r="AF2124">
        <f>AVERAGE(Table1[[#This Row],[Range2_Low]:[Range2_High]])</f>
        <v>5.0049999999999999</v>
      </c>
      <c r="AG2124">
        <f>AVERAGE(Table1[[#This Row],[Range1_Low]:[Range1_High]])</f>
        <v>157.505</v>
      </c>
      <c r="AH2124">
        <v>1</v>
      </c>
    </row>
    <row r="2125" spans="1:34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159</v>
      </c>
      <c r="U2125" t="str" cm="1">
        <f t="array" ref="U2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5" t="str" cm="1">
        <f t="array" ref="V2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  <c r="AF2125">
        <f>AVERAGE(Table1[[#This Row],[Range2_Low]:[Range2_High]])</f>
        <v>3</v>
      </c>
      <c r="AG2125">
        <f>AVERAGE(Table1[[#This Row],[Range1_Low]:[Range1_High]])</f>
        <v>157.505</v>
      </c>
      <c r="AH2125">
        <v>1</v>
      </c>
    </row>
    <row r="2126" spans="1:34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159</v>
      </c>
      <c r="U2126" t="str" cm="1">
        <f t="array" ref="U2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6" t="str" cm="1">
        <f t="array" ref="V2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  <c r="AF2126">
        <f>AVERAGE(Table1[[#This Row],[Range2_Low]:[Range2_High]])</f>
        <v>7.2505E-2</v>
      </c>
      <c r="AG2126">
        <f>AVERAGE(Table1[[#This Row],[Range1_Low]:[Range1_High]])</f>
        <v>157.505</v>
      </c>
      <c r="AH2126">
        <v>1</v>
      </c>
    </row>
    <row r="2127" spans="1:34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159</v>
      </c>
      <c r="U2127" t="str" cm="1">
        <f t="array" ref="U2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7" t="str" cm="1">
        <f t="array" ref="V2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  <c r="AF2127">
        <f>AVERAGE(Table1[[#This Row],[Range2_Low]:[Range2_High]])</f>
        <v>5.0049999999999999</v>
      </c>
      <c r="AG2127">
        <f>AVERAGE(Table1[[#This Row],[Range1_Low]:[Range1_High]])</f>
        <v>157.505</v>
      </c>
      <c r="AH2127">
        <v>1</v>
      </c>
    </row>
    <row r="2128" spans="1:34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159</v>
      </c>
      <c r="U2128" t="str" cm="1">
        <f t="array" ref="U2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8" t="str" cm="1">
        <f t="array" ref="V2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  <c r="AF2128">
        <f>AVERAGE(Table1[[#This Row],[Range2_Low]:[Range2_High]])</f>
        <v>0.55000500000000008</v>
      </c>
      <c r="AG2128">
        <f>AVERAGE(Table1[[#This Row],[Range1_Low]:[Range1_High]])</f>
        <v>157.505</v>
      </c>
      <c r="AH2128">
        <v>1</v>
      </c>
    </row>
    <row r="2129" spans="1:34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159</v>
      </c>
      <c r="U2129" t="str" cm="1">
        <f t="array" ref="U2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29" t="str" cm="1">
        <f t="array" ref="V2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  <c r="AF2129">
        <f>AVERAGE(Table1[[#This Row],[Range2_Low]:[Range2_High]])</f>
        <v>0.55000500000000008</v>
      </c>
      <c r="AG2129">
        <f>AVERAGE(Table1[[#This Row],[Range1_Low]:[Range1_High]])</f>
        <v>157.505</v>
      </c>
      <c r="AH2129">
        <v>1</v>
      </c>
    </row>
    <row r="2130" spans="1:34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159</v>
      </c>
      <c r="U2130" t="str" cm="1">
        <f t="array" ref="U2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0" t="str" cm="1">
        <f t="array" ref="V2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  <c r="AF2130">
        <f>AVERAGE(Table1[[#This Row],[Range2_Low]:[Range2_High]])</f>
        <v>3</v>
      </c>
      <c r="AG2130">
        <f>AVERAGE(Table1[[#This Row],[Range1_Low]:[Range1_High]])</f>
        <v>157.505</v>
      </c>
      <c r="AH2130">
        <v>1</v>
      </c>
    </row>
    <row r="2131" spans="1:34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159</v>
      </c>
      <c r="U2131" t="str" cm="1">
        <f t="array" ref="U2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1" t="str" cm="1">
        <f t="array" ref="V2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  <c r="AF2131">
        <f>AVERAGE(Table1[[#This Row],[Range2_Low]:[Range2_High]])</f>
        <v>7.2505E-2</v>
      </c>
      <c r="AG2131">
        <f>AVERAGE(Table1[[#This Row],[Range1_Low]:[Range1_High]])</f>
        <v>157.505</v>
      </c>
      <c r="AH2131">
        <v>1</v>
      </c>
    </row>
    <row r="2132" spans="1:34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159</v>
      </c>
      <c r="U2132" t="str" cm="1">
        <f t="array" ref="U2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2" t="str" cm="1">
        <f t="array" ref="V2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  <c r="AF2132">
        <f>AVERAGE(Table1[[#This Row],[Range2_Low]:[Range2_High]])</f>
        <v>5.0049999999999999</v>
      </c>
      <c r="AG2132">
        <f>AVERAGE(Table1[[#This Row],[Range1_Low]:[Range1_High]])</f>
        <v>157.505</v>
      </c>
      <c r="AH2132">
        <v>1</v>
      </c>
    </row>
    <row r="2133" spans="1:34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tr" cm="1">
        <f t="array" ref="U2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33" t="str" cm="1">
        <f t="array" ref="V2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  <c r="AF2133">
        <f>AVERAGE(Table1[[#This Row],[Range2_Low]:[Range2_High]])</f>
        <v>7.5049999999999999</v>
      </c>
      <c r="AG2133">
        <f>AVERAGE(Table1[[#This Row],[Range1_Low]:[Range1_High]])</f>
        <v>1.65005E-4</v>
      </c>
      <c r="AH2133">
        <v>1</v>
      </c>
    </row>
    <row r="2134" spans="1:34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tr" cm="1">
        <f t="array" ref="U2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34" t="str" cm="1">
        <f t="array" ref="V2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  <c r="AF2134">
        <f>AVERAGE(Table1[[#This Row],[Range2_Low]:[Range2_High]])</f>
        <v>1.5005000000000001E-2</v>
      </c>
      <c r="AG2134">
        <f>AVERAGE(Table1[[#This Row],[Range1_Low]:[Range1_High]])</f>
        <v>1.65005E-4</v>
      </c>
      <c r="AH2134">
        <v>1</v>
      </c>
    </row>
    <row r="2135" spans="1:34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tr" cm="1">
        <f t="array" ref="U2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35" t="str" cm="1">
        <f t="array" ref="V2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  <c r="AF2135">
        <f>AVERAGE(Table1[[#This Row],[Range2_Low]:[Range2_High]])</f>
        <v>0.522505</v>
      </c>
      <c r="AG2135">
        <f>AVERAGE(Table1[[#This Row],[Range1_Low]:[Range1_High]])</f>
        <v>1.65005E-4</v>
      </c>
      <c r="AH2135">
        <v>1</v>
      </c>
    </row>
    <row r="2136" spans="1:34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tr" cm="1">
        <f t="array" ref="U2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6" t="str" cm="1">
        <f t="array" ref="V2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  <c r="AF2136">
        <f>AVERAGE(Table1[[#This Row],[Range2_Low]:[Range2_High]])</f>
        <v>20</v>
      </c>
      <c r="AG2136">
        <f>AVERAGE(Table1[[#This Row],[Range1_Low]:[Range1_High]])</f>
        <v>1.65005E-4</v>
      </c>
      <c r="AH2136">
        <v>1</v>
      </c>
    </row>
    <row r="2137" spans="1:34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tr" cm="1">
        <f t="array" ref="U2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37" t="str" cm="1">
        <f t="array" ref="V2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  <c r="AF2137">
        <f>AVERAGE(Table1[[#This Row],[Range2_Low]:[Range2_High]])</f>
        <v>3.2504999999999999E-2</v>
      </c>
      <c r="AG2137">
        <f>AVERAGE(Table1[[#This Row],[Range1_Low]:[Range1_High]])</f>
        <v>1.65005E-4</v>
      </c>
      <c r="AH2137">
        <v>1</v>
      </c>
    </row>
    <row r="2138" spans="1:34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tr" cm="1">
        <f t="array" ref="U2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8" t="str" cm="1">
        <f t="array" ref="V2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  <c r="AF2138">
        <f>AVERAGE(Table1[[#This Row],[Range2_Low]:[Range2_High]])</f>
        <v>30.05</v>
      </c>
      <c r="AG2138">
        <f>AVERAGE(Table1[[#This Row],[Range1_Low]:[Range1_High]])</f>
        <v>1.65005E-4</v>
      </c>
      <c r="AH2138">
        <v>1</v>
      </c>
    </row>
    <row r="2139" spans="1:34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tr" cm="1">
        <f t="array" ref="U2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39" t="str" cm="1">
        <f t="array" ref="V2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  <c r="AF2139">
        <f>AVERAGE(Table1[[#This Row],[Range2_Low]:[Range2_High]])</f>
        <v>3.0049999999999999</v>
      </c>
      <c r="AG2139">
        <f>AVERAGE(Table1[[#This Row],[Range1_Low]:[Range1_High]])</f>
        <v>1.65005E-4</v>
      </c>
      <c r="AH2139">
        <v>1</v>
      </c>
    </row>
    <row r="2140" spans="1:34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tr" cm="1">
        <f t="array" ref="U2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0" t="str" cm="1">
        <f t="array" ref="V2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  <c r="AF2140">
        <f>AVERAGE(Table1[[#This Row],[Range2_Low]:[Range2_High]])</f>
        <v>30.05</v>
      </c>
      <c r="AG2140">
        <f>AVERAGE(Table1[[#This Row],[Range1_Low]:[Range1_High]])</f>
        <v>1.65005E-4</v>
      </c>
      <c r="AH2140">
        <v>1</v>
      </c>
    </row>
    <row r="2141" spans="1:34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tr" cm="1">
        <f t="array" ref="U2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1" t="str" cm="1">
        <f t="array" ref="V2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  <c r="AF2141">
        <f>AVERAGE(Table1[[#This Row],[Range2_Low]:[Range2_High]])</f>
        <v>20</v>
      </c>
      <c r="AG2141">
        <f>AVERAGE(Table1[[#This Row],[Range1_Low]:[Range1_High]])</f>
        <v>1.65005E-4</v>
      </c>
      <c r="AH2141">
        <v>1</v>
      </c>
    </row>
    <row r="2142" spans="1:34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tr" cm="1">
        <f t="array" ref="U2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42" t="str" cm="1">
        <f t="array" ref="V2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  <c r="AF2142">
        <f>AVERAGE(Table1[[#This Row],[Range2_Low]:[Range2_High]])</f>
        <v>7.5049999999999999</v>
      </c>
      <c r="AG2142">
        <f>AVERAGE(Table1[[#This Row],[Range1_Low]:[Range1_High]])</f>
        <v>1.65005E-4</v>
      </c>
      <c r="AH2142">
        <v>1</v>
      </c>
    </row>
    <row r="2143" spans="1:34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tr" cm="1">
        <f t="array" ref="U2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43" t="str" cm="1">
        <f t="array" ref="V2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  <c r="AF2143">
        <f>AVERAGE(Table1[[#This Row],[Range2_Low]:[Range2_High]])</f>
        <v>0.522505</v>
      </c>
      <c r="AG2143">
        <f>AVERAGE(Table1[[#This Row],[Range1_Low]:[Range1_High]])</f>
        <v>1.65005E-4</v>
      </c>
      <c r="AH2143">
        <v>1</v>
      </c>
    </row>
    <row r="2144" spans="1:34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tr" cm="1">
        <f t="array" ref="U2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44" t="str" cm="1">
        <f t="array" ref="V2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  <c r="AF2144">
        <f>AVERAGE(Table1[[#This Row],[Range2_Low]:[Range2_High]])</f>
        <v>1.5005000000000001E-2</v>
      </c>
      <c r="AG2144">
        <f>AVERAGE(Table1[[#This Row],[Range1_Low]:[Range1_High]])</f>
        <v>1.65005E-4</v>
      </c>
      <c r="AH2144">
        <v>1</v>
      </c>
    </row>
    <row r="2145" spans="1:34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tr" cm="1">
        <f t="array" ref="U2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45" t="str" cm="1">
        <f t="array" ref="V2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  <c r="AF2145">
        <f>AVERAGE(Table1[[#This Row],[Range2_Low]:[Range2_High]])</f>
        <v>3.0049999999999999</v>
      </c>
      <c r="AG2145">
        <f>AVERAGE(Table1[[#This Row],[Range1_Low]:[Range1_High]])</f>
        <v>1.65005E-4</v>
      </c>
      <c r="AH2145">
        <v>1</v>
      </c>
    </row>
    <row r="2146" spans="1:34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tr" cm="1">
        <f t="array" ref="U2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46" t="str" cm="1">
        <f t="array" ref="V2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  <c r="AF2146">
        <f>AVERAGE(Table1[[#This Row],[Range2_Low]:[Range2_High]])</f>
        <v>3.2504999999999999E-2</v>
      </c>
      <c r="AG2146">
        <f>AVERAGE(Table1[[#This Row],[Range1_Low]:[Range1_High]])</f>
        <v>1.65005E-4</v>
      </c>
      <c r="AH2146">
        <v>1</v>
      </c>
    </row>
    <row r="2147" spans="1:34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tr" cm="1">
        <f t="array" ref="U2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µA</v>
      </c>
      <c r="V2147" t="str" cm="1">
        <f t="array" ref="V2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µA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  <c r="AF2147">
        <f>AVERAGE(Table1[[#This Row],[Range2_Low]:[Range2_High]])</f>
        <v>1.5005000000000001E-2</v>
      </c>
      <c r="AG2147">
        <f>AVERAGE(Table1[[#This Row],[Range1_Low]:[Range1_High]])</f>
        <v>1.65005E-4</v>
      </c>
      <c r="AH2147">
        <v>1</v>
      </c>
    </row>
    <row r="2148" spans="1:34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tr" cm="1">
        <f t="array" ref="U2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148" t="str" cm="1">
        <f t="array" ref="V2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  <c r="AF2148">
        <f>AVERAGE(Table1[[#This Row],[Range2_Low]:[Range2_High]])</f>
        <v>7.5049999999999999</v>
      </c>
      <c r="AG2148">
        <f>AVERAGE(Table1[[#This Row],[Range1_Low]:[Range1_High]])</f>
        <v>1.65005E-4</v>
      </c>
      <c r="AH2148">
        <v>1</v>
      </c>
    </row>
    <row r="2149" spans="1:34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tr" cm="1">
        <f t="array" ref="U2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µA</v>
      </c>
      <c r="V2149" t="str" cm="1">
        <f t="array" ref="V2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µA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  <c r="AF2149">
        <f>AVERAGE(Table1[[#This Row],[Range2_Low]:[Range2_High]])</f>
        <v>3.0049999999999999</v>
      </c>
      <c r="AG2149">
        <f>AVERAGE(Table1[[#This Row],[Range1_Low]:[Range1_High]])</f>
        <v>1.65005E-4</v>
      </c>
      <c r="AH2149">
        <v>1</v>
      </c>
    </row>
    <row r="2150" spans="1:34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tr" cm="1">
        <f t="array" ref="U2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µA</v>
      </c>
      <c r="V2150" t="str" cm="1">
        <f t="array" ref="V2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  <c r="AF2150">
        <f>AVERAGE(Table1[[#This Row],[Range2_Low]:[Range2_High]])</f>
        <v>0.522505</v>
      </c>
      <c r="AG2150">
        <f>AVERAGE(Table1[[#This Row],[Range1_Low]:[Range1_High]])</f>
        <v>1.65005E-4</v>
      </c>
      <c r="AH2150">
        <v>1</v>
      </c>
    </row>
    <row r="2151" spans="1:34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tr" cm="1">
        <f t="array" ref="U2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1" t="str" cm="1">
        <f t="array" ref="V2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  <c r="AF2151">
        <f>AVERAGE(Table1[[#This Row],[Range2_Low]:[Range2_High]])</f>
        <v>20</v>
      </c>
      <c r="AG2151">
        <f>AVERAGE(Table1[[#This Row],[Range1_Low]:[Range1_High]])</f>
        <v>1.65005E-4</v>
      </c>
      <c r="AH2151">
        <v>1</v>
      </c>
    </row>
    <row r="2152" spans="1:34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tr" cm="1">
        <f t="array" ref="U2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2" t="str" cm="1">
        <f t="array" ref="V2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  <c r="AF2152">
        <f>AVERAGE(Table1[[#This Row],[Range2_Low]:[Range2_High]])</f>
        <v>30.05</v>
      </c>
      <c r="AG2152">
        <f>AVERAGE(Table1[[#This Row],[Range1_Low]:[Range1_High]])</f>
        <v>1.65005E-4</v>
      </c>
      <c r="AH2152">
        <v>1</v>
      </c>
    </row>
    <row r="2153" spans="1:34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tr" cm="1">
        <f t="array" ref="U2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µA</v>
      </c>
      <c r="V2153" t="str" cm="1">
        <f t="array" ref="V2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µA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  <c r="AF2153">
        <f>AVERAGE(Table1[[#This Row],[Range2_Low]:[Range2_High]])</f>
        <v>3.2504999999999999E-2</v>
      </c>
      <c r="AG2153">
        <f>AVERAGE(Table1[[#This Row],[Range1_Low]:[Range1_High]])</f>
        <v>1.65005E-4</v>
      </c>
      <c r="AH2153">
        <v>1</v>
      </c>
    </row>
    <row r="2154" spans="1:34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tr" cm="1">
        <f t="array" ref="U2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4" t="str" cm="1">
        <f t="array" ref="V2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  <c r="AF2154">
        <f>AVERAGE(Table1[[#This Row],[Range2_Low]:[Range2_High]])</f>
        <v>0.522505</v>
      </c>
      <c r="AG2154">
        <f>AVERAGE(Table1[[#This Row],[Range1_Low]:[Range1_High]])</f>
        <v>1.65005E-4</v>
      </c>
      <c r="AH2154">
        <v>1</v>
      </c>
    </row>
    <row r="2155" spans="1:34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tr" cm="1">
        <f t="array" ref="U2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5" t="str" cm="1">
        <f t="array" ref="V2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  <c r="AF2155">
        <f>AVERAGE(Table1[[#This Row],[Range2_Low]:[Range2_High]])</f>
        <v>30.05</v>
      </c>
      <c r="AG2155">
        <f>AVERAGE(Table1[[#This Row],[Range1_Low]:[Range1_High]])</f>
        <v>1.65005E-4</v>
      </c>
      <c r="AH2155">
        <v>1</v>
      </c>
    </row>
    <row r="2156" spans="1:34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06" t="str" cm="1">
        <f t="array" ref="U2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156" t="str" cm="1">
        <f t="array" ref="V2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µA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  <c r="AF2156">
        <f>AVERAGE(Table1[[#This Row],[Range2_Low]:[Range2_High]])</f>
        <v>7.5049999999999999</v>
      </c>
      <c r="AG2156">
        <f>AVERAGE(Table1[[#This Row],[Range1_Low]:[Range1_High]])</f>
        <v>1.65005E-4</v>
      </c>
      <c r="AH2156">
        <v>1</v>
      </c>
    </row>
    <row r="2157" spans="1:34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tr" cm="1">
        <f t="array" ref="U2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7" t="str" cm="1">
        <f t="array" ref="V2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  <c r="AF2157">
        <f>AVERAGE(Table1[[#This Row],[Range2_Low]:[Range2_High]])</f>
        <v>1.5005000000000001E-2</v>
      </c>
      <c r="AG2157">
        <f>AVERAGE(Table1[[#This Row],[Range1_Low]:[Range1_High]])</f>
        <v>1.65005E-4</v>
      </c>
      <c r="AH2157">
        <v>1</v>
      </c>
    </row>
    <row r="2158" spans="1:34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tr" cm="1">
        <f t="array" ref="U2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8" t="str" cm="1">
        <f t="array" ref="V2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  <c r="AF2158">
        <f>AVERAGE(Table1[[#This Row],[Range2_Low]:[Range2_High]])</f>
        <v>3.0049999999999999</v>
      </c>
      <c r="AG2158">
        <f>AVERAGE(Table1[[#This Row],[Range1_Low]:[Range1_High]])</f>
        <v>1.65005E-4</v>
      </c>
      <c r="AH2158">
        <v>1</v>
      </c>
    </row>
    <row r="2159" spans="1:34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tr" cm="1">
        <f t="array" ref="U2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9" t="str" cm="1">
        <f t="array" ref="V2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  <c r="AF2159">
        <f>AVERAGE(Table1[[#This Row],[Range2_Low]:[Range2_High]])</f>
        <v>20</v>
      </c>
      <c r="AG2159">
        <f>AVERAGE(Table1[[#This Row],[Range1_Low]:[Range1_High]])</f>
        <v>1.65005E-4</v>
      </c>
      <c r="AH2159">
        <v>1</v>
      </c>
    </row>
    <row r="2160" spans="1:34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tr" cm="1">
        <f t="array" ref="U2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60" t="str" cm="1">
        <f t="array" ref="V2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  <c r="AF2160">
        <f>AVERAGE(Table1[[#This Row],[Range2_Low]:[Range2_High]])</f>
        <v>3.2504999999999999E-2</v>
      </c>
      <c r="AG2160">
        <f>AVERAGE(Table1[[#This Row],[Range1_Low]:[Range1_High]])</f>
        <v>1.65005E-4</v>
      </c>
      <c r="AH2160">
        <v>1</v>
      </c>
    </row>
    <row r="2161" spans="1:34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tr" cm="1">
        <f t="array" ref="U2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1" t="str" cm="1">
        <f t="array" ref="V2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  <c r="AF2161">
        <f>AVERAGE(Table1[[#This Row],[Range2_Low]:[Range2_High]])</f>
        <v>20</v>
      </c>
      <c r="AG2161">
        <f>AVERAGE(Table1[[#This Row],[Range1_Low]:[Range1_High]])</f>
        <v>1.65005E-4</v>
      </c>
      <c r="AH2161">
        <v>1</v>
      </c>
    </row>
    <row r="2162" spans="1:34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tr" cm="1">
        <f t="array" ref="U2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2" t="str" cm="1">
        <f t="array" ref="V2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  <c r="AF2162">
        <f>AVERAGE(Table1[[#This Row],[Range2_Low]:[Range2_High]])</f>
        <v>1.5005000000000001E-2</v>
      </c>
      <c r="AG2162">
        <f>AVERAGE(Table1[[#This Row],[Range1_Low]:[Range1_High]])</f>
        <v>1.65005E-4</v>
      </c>
      <c r="AH2162">
        <v>1</v>
      </c>
    </row>
    <row r="2163" spans="1:34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tr" cm="1">
        <f t="array" ref="U2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3" t="str" cm="1">
        <f t="array" ref="V2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  <c r="AF2163">
        <f>AVERAGE(Table1[[#This Row],[Range2_Low]:[Range2_High]])</f>
        <v>3.2504999999999999E-2</v>
      </c>
      <c r="AG2163">
        <f>AVERAGE(Table1[[#This Row],[Range1_Low]:[Range1_High]])</f>
        <v>1.65005E-4</v>
      </c>
      <c r="AH2163">
        <v>1</v>
      </c>
    </row>
    <row r="2164" spans="1:34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tr" cm="1">
        <f t="array" ref="U2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4" t="str" cm="1">
        <f t="array" ref="V2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  <c r="AF2164">
        <f>AVERAGE(Table1[[#This Row],[Range2_Low]:[Range2_High]])</f>
        <v>7.5049999999999999</v>
      </c>
      <c r="AG2164">
        <f>AVERAGE(Table1[[#This Row],[Range1_Low]:[Range1_High]])</f>
        <v>1.65005E-4</v>
      </c>
      <c r="AH2164">
        <v>1</v>
      </c>
    </row>
    <row r="2165" spans="1:34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tr" cm="1">
        <f t="array" ref="U2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5" t="str" cm="1">
        <f t="array" ref="V2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  <c r="AF2165">
        <f>AVERAGE(Table1[[#This Row],[Range2_Low]:[Range2_High]])</f>
        <v>30.05</v>
      </c>
      <c r="AG2165">
        <f>AVERAGE(Table1[[#This Row],[Range1_Low]:[Range1_High]])</f>
        <v>1.65005E-4</v>
      </c>
      <c r="AH2165">
        <v>1</v>
      </c>
    </row>
    <row r="2166" spans="1:34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tr" cm="1">
        <f t="array" ref="U2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6" t="str" cm="1">
        <f t="array" ref="V2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  <c r="AF2166">
        <f>AVERAGE(Table1[[#This Row],[Range2_Low]:[Range2_High]])</f>
        <v>0.522505</v>
      </c>
      <c r="AG2166">
        <f>AVERAGE(Table1[[#This Row],[Range1_Low]:[Range1_High]])</f>
        <v>1.65005E-4</v>
      </c>
      <c r="AH2166">
        <v>1</v>
      </c>
    </row>
    <row r="2167" spans="1:34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tr" cm="1">
        <f t="array" ref="U2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7" t="str" cm="1">
        <f t="array" ref="V2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  <c r="AF2167">
        <f>AVERAGE(Table1[[#This Row],[Range2_Low]:[Range2_High]])</f>
        <v>3.0049999999999999</v>
      </c>
      <c r="AG2167">
        <f>AVERAGE(Table1[[#This Row],[Range1_Low]:[Range1_High]])</f>
        <v>1.65005E-4</v>
      </c>
      <c r="AH2167">
        <v>1</v>
      </c>
    </row>
    <row r="2168" spans="1:34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tr" cm="1">
        <f t="array" ref="U2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8" t="str" cm="1">
        <f t="array" ref="V2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  <c r="AF2168">
        <f>AVERAGE(Table1[[#This Row],[Range2_Low]:[Range2_High]])</f>
        <v>3.0049999999999999</v>
      </c>
      <c r="AG2168">
        <f>AVERAGE(Table1[[#This Row],[Range1_Low]:[Range1_High]])</f>
        <v>1.65005E-4</v>
      </c>
      <c r="AH2168">
        <v>1</v>
      </c>
    </row>
    <row r="2169" spans="1:34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tr" cm="1">
        <f t="array" ref="U2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9" t="str" cm="1">
        <f t="array" ref="V2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  <c r="AF2169">
        <f>AVERAGE(Table1[[#This Row],[Range2_Low]:[Range2_High]])</f>
        <v>0.522505</v>
      </c>
      <c r="AG2169">
        <f>AVERAGE(Table1[[#This Row],[Range1_Low]:[Range1_High]])</f>
        <v>1.65005E-4</v>
      </c>
      <c r="AH2169">
        <v>1</v>
      </c>
    </row>
    <row r="2170" spans="1:34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tr" cm="1">
        <f t="array" ref="U2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0" t="str" cm="1">
        <f t="array" ref="V2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  <c r="AF2170">
        <f>AVERAGE(Table1[[#This Row],[Range2_Low]:[Range2_High]])</f>
        <v>1.5005000000000001E-2</v>
      </c>
      <c r="AG2170">
        <f>AVERAGE(Table1[[#This Row],[Range1_Low]:[Range1_High]])</f>
        <v>1.65005E-4</v>
      </c>
      <c r="AH2170">
        <v>1</v>
      </c>
    </row>
    <row r="2171" spans="1:34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tr" cm="1">
        <f t="array" ref="U2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1" t="str" cm="1">
        <f t="array" ref="V2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  <c r="AF2171">
        <f>AVERAGE(Table1[[#This Row],[Range2_Low]:[Range2_High]])</f>
        <v>3.2504999999999999E-2</v>
      </c>
      <c r="AG2171">
        <f>AVERAGE(Table1[[#This Row],[Range1_Low]:[Range1_High]])</f>
        <v>1.65005E-4</v>
      </c>
      <c r="AH2171">
        <v>1</v>
      </c>
    </row>
    <row r="2172" spans="1:34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tr" cm="1">
        <f t="array" ref="U2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2" t="str" cm="1">
        <f t="array" ref="V2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  <c r="AF2172">
        <f>AVERAGE(Table1[[#This Row],[Range2_Low]:[Range2_High]])</f>
        <v>20</v>
      </c>
      <c r="AG2172">
        <f>AVERAGE(Table1[[#This Row],[Range1_Low]:[Range1_High]])</f>
        <v>1.65005E-4</v>
      </c>
      <c r="AH2172">
        <v>1</v>
      </c>
    </row>
    <row r="2173" spans="1:34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tr" cm="1">
        <f t="array" ref="U2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3" t="str" cm="1">
        <f t="array" ref="V2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  <c r="AF2173">
        <f>AVERAGE(Table1[[#This Row],[Range2_Low]:[Range2_High]])</f>
        <v>30.05</v>
      </c>
      <c r="AG2173">
        <f>AVERAGE(Table1[[#This Row],[Range1_Low]:[Range1_High]])</f>
        <v>1.65005E-4</v>
      </c>
      <c r="AH2173">
        <v>1</v>
      </c>
    </row>
    <row r="2174" spans="1:34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tr" cm="1">
        <f t="array" ref="U2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4" t="str" cm="1">
        <f t="array" ref="V2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  <c r="AF2174">
        <f>AVERAGE(Table1[[#This Row],[Range2_Low]:[Range2_High]])</f>
        <v>7.5049999999999999</v>
      </c>
      <c r="AG2174">
        <f>AVERAGE(Table1[[#This Row],[Range1_Low]:[Range1_High]])</f>
        <v>1.65005E-4</v>
      </c>
      <c r="AH2174">
        <v>1</v>
      </c>
    </row>
    <row r="2175" spans="1:34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tr" cm="1">
        <f t="array" ref="U2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5" t="str" cm="1">
        <f t="array" ref="V2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  <c r="AF2175">
        <f>AVERAGE(Table1[[#This Row],[Range2_Low]:[Range2_High]])</f>
        <v>3.2504999999999999E-2</v>
      </c>
      <c r="AG2175">
        <f>AVERAGE(Table1[[#This Row],[Range1_Low]:[Range1_High]])</f>
        <v>1.65005E-4</v>
      </c>
      <c r="AH2175">
        <v>1</v>
      </c>
    </row>
    <row r="2176" spans="1:34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tr" cm="1">
        <f t="array" ref="U2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6" t="str" cm="1">
        <f t="array" ref="V2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  <c r="AF2176">
        <f>AVERAGE(Table1[[#This Row],[Range2_Low]:[Range2_High]])</f>
        <v>7.5049999999999999</v>
      </c>
      <c r="AG2176">
        <f>AVERAGE(Table1[[#This Row],[Range1_Low]:[Range1_High]])</f>
        <v>1.65005E-4</v>
      </c>
      <c r="AH2176">
        <v>1</v>
      </c>
    </row>
    <row r="2177" spans="1:34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tr" cm="1">
        <f t="array" ref="U2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7" t="str" cm="1">
        <f t="array" ref="V2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  <c r="AF2177">
        <f>AVERAGE(Table1[[#This Row],[Range2_Low]:[Range2_High]])</f>
        <v>0.522505</v>
      </c>
      <c r="AG2177">
        <f>AVERAGE(Table1[[#This Row],[Range1_Low]:[Range1_High]])</f>
        <v>1.65005E-4</v>
      </c>
      <c r="AH2177">
        <v>1</v>
      </c>
    </row>
    <row r="2178" spans="1:34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tr" cm="1">
        <f t="array" ref="U2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8" t="str" cm="1">
        <f t="array" ref="V2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  <c r="AF2178">
        <f>AVERAGE(Table1[[#This Row],[Range2_Low]:[Range2_High]])</f>
        <v>3.0049999999999999</v>
      </c>
      <c r="AG2178">
        <f>AVERAGE(Table1[[#This Row],[Range1_Low]:[Range1_High]])</f>
        <v>1.65005E-4</v>
      </c>
      <c r="AH2178">
        <v>1</v>
      </c>
    </row>
    <row r="2179" spans="1:34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tr" cm="1">
        <f t="array" ref="U2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9" t="str" cm="1">
        <f t="array" ref="V2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  <c r="AF2179">
        <f>AVERAGE(Table1[[#This Row],[Range2_Low]:[Range2_High]])</f>
        <v>30.05</v>
      </c>
      <c r="AG2179">
        <f>AVERAGE(Table1[[#This Row],[Range1_Low]:[Range1_High]])</f>
        <v>1.65005E-4</v>
      </c>
      <c r="AH2179">
        <v>1</v>
      </c>
    </row>
    <row r="2180" spans="1:34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tr" cm="1">
        <f t="array" ref="U2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0" t="str" cm="1">
        <f t="array" ref="V2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  <c r="AF2180">
        <f>AVERAGE(Table1[[#This Row],[Range2_Low]:[Range2_High]])</f>
        <v>1.5005000000000001E-2</v>
      </c>
      <c r="AG2180">
        <f>AVERAGE(Table1[[#This Row],[Range1_Low]:[Range1_High]])</f>
        <v>1.65005E-4</v>
      </c>
      <c r="AH2180">
        <v>1</v>
      </c>
    </row>
    <row r="2181" spans="1:34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tr" cm="1">
        <f t="array" ref="U2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1" t="str" cm="1">
        <f t="array" ref="V2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  <c r="AF2181">
        <f>AVERAGE(Table1[[#This Row],[Range2_Low]:[Range2_High]])</f>
        <v>20</v>
      </c>
      <c r="AG2181">
        <f>AVERAGE(Table1[[#This Row],[Range1_Low]:[Range1_High]])</f>
        <v>1.65005E-4</v>
      </c>
      <c r="AH2181">
        <v>1</v>
      </c>
    </row>
    <row r="2182" spans="1:34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tr" cm="1">
        <f t="array" ref="U2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2" t="str" cm="1">
        <f t="array" ref="V2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  <c r="AF2182">
        <f>AVERAGE(Table1[[#This Row],[Range2_Low]:[Range2_High]])</f>
        <v>30.05</v>
      </c>
      <c r="AG2182">
        <f>AVERAGE(Table1[[#This Row],[Range1_Low]:[Range1_High]])</f>
        <v>1.65005E-4</v>
      </c>
      <c r="AH2182">
        <v>1</v>
      </c>
    </row>
    <row r="2183" spans="1:34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tr" cm="1">
        <f t="array" ref="U2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3" t="str" cm="1">
        <f t="array" ref="V2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  <c r="AF2183">
        <f>AVERAGE(Table1[[#This Row],[Range2_Low]:[Range2_High]])</f>
        <v>1.5005000000000001E-2</v>
      </c>
      <c r="AG2183">
        <f>AVERAGE(Table1[[#This Row],[Range1_Low]:[Range1_High]])</f>
        <v>1.65005E-4</v>
      </c>
      <c r="AH2183">
        <v>1</v>
      </c>
    </row>
    <row r="2184" spans="1:34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tr" cm="1">
        <f t="array" ref="U2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4" t="str" cm="1">
        <f t="array" ref="V2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  <c r="AF2184">
        <f>AVERAGE(Table1[[#This Row],[Range2_Low]:[Range2_High]])</f>
        <v>7.5049999999999999</v>
      </c>
      <c r="AG2184">
        <f>AVERAGE(Table1[[#This Row],[Range1_Low]:[Range1_High]])</f>
        <v>1.65005E-4</v>
      </c>
      <c r="AH2184">
        <v>1</v>
      </c>
    </row>
    <row r="2185" spans="1:34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tr" cm="1">
        <f t="array" ref="U2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5" t="str" cm="1">
        <f t="array" ref="V2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  <c r="AF2185">
        <f>AVERAGE(Table1[[#This Row],[Range2_Low]:[Range2_High]])</f>
        <v>0.522505</v>
      </c>
      <c r="AG2185">
        <f>AVERAGE(Table1[[#This Row],[Range1_Low]:[Range1_High]])</f>
        <v>1.65005E-4</v>
      </c>
      <c r="AH2185">
        <v>1</v>
      </c>
    </row>
    <row r="2186" spans="1:34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tr" cm="1">
        <f t="array" ref="U2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6" t="str" cm="1">
        <f t="array" ref="V2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  <c r="AF2186">
        <f>AVERAGE(Table1[[#This Row],[Range2_Low]:[Range2_High]])</f>
        <v>20</v>
      </c>
      <c r="AG2186">
        <f>AVERAGE(Table1[[#This Row],[Range1_Low]:[Range1_High]])</f>
        <v>1.65005E-4</v>
      </c>
      <c r="AH2186">
        <v>1</v>
      </c>
    </row>
    <row r="2187" spans="1:34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tr" cm="1">
        <f t="array" ref="U2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7" t="str" cm="1">
        <f t="array" ref="V2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  <c r="AF2187">
        <f>AVERAGE(Table1[[#This Row],[Range2_Low]:[Range2_High]])</f>
        <v>3.2504999999999999E-2</v>
      </c>
      <c r="AG2187">
        <f>AVERAGE(Table1[[#This Row],[Range1_Low]:[Range1_High]])</f>
        <v>1.65005E-4</v>
      </c>
      <c r="AH2187">
        <v>1</v>
      </c>
    </row>
    <row r="2188" spans="1:34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tr" cm="1">
        <f t="array" ref="U2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8" t="str" cm="1">
        <f t="array" ref="V2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  <c r="AF2188">
        <f>AVERAGE(Table1[[#This Row],[Range2_Low]:[Range2_High]])</f>
        <v>3.0049999999999999</v>
      </c>
      <c r="AG2188">
        <f>AVERAGE(Table1[[#This Row],[Range1_Low]:[Range1_High]])</f>
        <v>1.65005E-4</v>
      </c>
      <c r="AH2188">
        <v>1</v>
      </c>
    </row>
    <row r="2189" spans="1:34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tr" cm="1">
        <f t="array" ref="U2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89" t="str" cm="1">
        <f t="array" ref="V2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  <c r="AF2189">
        <f>AVERAGE(Table1[[#This Row],[Range2_Low]:[Range2_High]])</f>
        <v>1.5005000000000001E-2</v>
      </c>
      <c r="AG2189">
        <f>AVERAGE(Table1[[#This Row],[Range1_Low]:[Range1_High]])</f>
        <v>1.65005E-4</v>
      </c>
      <c r="AH2189">
        <v>1</v>
      </c>
    </row>
    <row r="2190" spans="1:34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tr" cm="1">
        <f t="array" ref="U2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0" t="str" cm="1">
        <f t="array" ref="V2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  <c r="AF2190">
        <f>AVERAGE(Table1[[#This Row],[Range2_Low]:[Range2_High]])</f>
        <v>30.05</v>
      </c>
      <c r="AG2190">
        <f>AVERAGE(Table1[[#This Row],[Range1_Low]:[Range1_High]])</f>
        <v>1.65005E-4</v>
      </c>
      <c r="AH2190">
        <v>1</v>
      </c>
    </row>
    <row r="2191" spans="1:34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tr" cm="1">
        <f t="array" ref="U2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1" t="str" cm="1">
        <f t="array" ref="V2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  <c r="AF2191">
        <f>AVERAGE(Table1[[#This Row],[Range2_Low]:[Range2_High]])</f>
        <v>0.522505</v>
      </c>
      <c r="AG2191">
        <f>AVERAGE(Table1[[#This Row],[Range1_Low]:[Range1_High]])</f>
        <v>1.65005E-4</v>
      </c>
      <c r="AH2191">
        <v>1</v>
      </c>
    </row>
    <row r="2192" spans="1:34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tr" cm="1">
        <f t="array" ref="U2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2" t="str" cm="1">
        <f t="array" ref="V2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  <c r="AF2192">
        <f>AVERAGE(Table1[[#This Row],[Range2_Low]:[Range2_High]])</f>
        <v>7.5049999999999999</v>
      </c>
      <c r="AG2192">
        <f>AVERAGE(Table1[[#This Row],[Range1_Low]:[Range1_High]])</f>
        <v>1.65005E-4</v>
      </c>
      <c r="AH2192">
        <v>1</v>
      </c>
    </row>
    <row r="2193" spans="1:34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tr" cm="1">
        <f t="array" ref="U2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3" t="str" cm="1">
        <f t="array" ref="V2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  <c r="AF2193">
        <f>AVERAGE(Table1[[#This Row],[Range2_Low]:[Range2_High]])</f>
        <v>3.2504999999999999E-2</v>
      </c>
      <c r="AG2193">
        <f>AVERAGE(Table1[[#This Row],[Range1_Low]:[Range1_High]])</f>
        <v>1.65005E-4</v>
      </c>
      <c r="AH2193">
        <v>1</v>
      </c>
    </row>
    <row r="2194" spans="1:34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tr" cm="1">
        <f t="array" ref="U2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4" t="str" cm="1">
        <f t="array" ref="V2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  <c r="AF2194">
        <f>AVERAGE(Table1[[#This Row],[Range2_Low]:[Range2_High]])</f>
        <v>20</v>
      </c>
      <c r="AG2194">
        <f>AVERAGE(Table1[[#This Row],[Range1_Low]:[Range1_High]])</f>
        <v>1.65005E-4</v>
      </c>
      <c r="AH2194">
        <v>1</v>
      </c>
    </row>
    <row r="2195" spans="1:34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tr" cm="1">
        <f t="array" ref="U2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5" t="str" cm="1">
        <f t="array" ref="V2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  <c r="AF2195">
        <f>AVERAGE(Table1[[#This Row],[Range2_Low]:[Range2_High]])</f>
        <v>3.0049999999999999</v>
      </c>
      <c r="AG2195">
        <f>AVERAGE(Table1[[#This Row],[Range1_Low]:[Range1_High]])</f>
        <v>1.65005E-4</v>
      </c>
      <c r="AH2195">
        <v>1</v>
      </c>
    </row>
    <row r="2196" spans="1:34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tr" cm="1">
        <f t="array" ref="U2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6" t="str" cm="1">
        <f t="array" ref="V2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  <c r="AF2196">
        <f>AVERAGE(Table1[[#This Row],[Range2_Low]:[Range2_High]])</f>
        <v>7.5049999999999999</v>
      </c>
      <c r="AG2196">
        <f>AVERAGE(Table1[[#This Row],[Range1_Low]:[Range1_High]])</f>
        <v>1.65005E-4</v>
      </c>
      <c r="AH2196">
        <v>1</v>
      </c>
    </row>
    <row r="2197" spans="1:34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tr" cm="1">
        <f t="array" ref="U2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7" t="str" cm="1">
        <f t="array" ref="V2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  <c r="AF2197">
        <f>AVERAGE(Table1[[#This Row],[Range2_Low]:[Range2_High]])</f>
        <v>3.0049999999999999</v>
      </c>
      <c r="AG2197">
        <f>AVERAGE(Table1[[#This Row],[Range1_Low]:[Range1_High]])</f>
        <v>1.65005E-4</v>
      </c>
      <c r="AH2197">
        <v>1</v>
      </c>
    </row>
    <row r="2198" spans="1:34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tr" cm="1">
        <f t="array" ref="U2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8" t="str" cm="1">
        <f t="array" ref="V2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  <c r="AF2198">
        <f>AVERAGE(Table1[[#This Row],[Range2_Low]:[Range2_High]])</f>
        <v>1.5005000000000001E-2</v>
      </c>
      <c r="AG2198">
        <f>AVERAGE(Table1[[#This Row],[Range1_Low]:[Range1_High]])</f>
        <v>1.65005E-4</v>
      </c>
      <c r="AH2198">
        <v>1</v>
      </c>
    </row>
    <row r="2199" spans="1:34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tr" cm="1">
        <f t="array" ref="U2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9" t="str" cm="1">
        <f t="array" ref="V2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  <c r="AF2199">
        <f>AVERAGE(Table1[[#This Row],[Range2_Low]:[Range2_High]])</f>
        <v>20</v>
      </c>
      <c r="AG2199">
        <f>AVERAGE(Table1[[#This Row],[Range1_Low]:[Range1_High]])</f>
        <v>1.65005E-4</v>
      </c>
      <c r="AH2199">
        <v>1</v>
      </c>
    </row>
    <row r="2200" spans="1:34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tr" cm="1">
        <f t="array" ref="U2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0" t="str" cm="1">
        <f t="array" ref="V2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  <c r="AF2200">
        <f>AVERAGE(Table1[[#This Row],[Range2_Low]:[Range2_High]])</f>
        <v>0.522505</v>
      </c>
      <c r="AG2200">
        <f>AVERAGE(Table1[[#This Row],[Range1_Low]:[Range1_High]])</f>
        <v>1.65005E-4</v>
      </c>
      <c r="AH2200">
        <v>1</v>
      </c>
    </row>
    <row r="2201" spans="1:34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tr" cm="1">
        <f t="array" ref="U2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1" t="str" cm="1">
        <f t="array" ref="V2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  <c r="AF2201">
        <f>AVERAGE(Table1[[#This Row],[Range2_Low]:[Range2_High]])</f>
        <v>30.05</v>
      </c>
      <c r="AG2201">
        <f>AVERAGE(Table1[[#This Row],[Range1_Low]:[Range1_High]])</f>
        <v>1.65005E-4</v>
      </c>
      <c r="AH2201">
        <v>1</v>
      </c>
    </row>
    <row r="2202" spans="1:34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tr" cm="1">
        <f t="array" ref="U2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2" t="str" cm="1">
        <f t="array" ref="V2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  <c r="AF2202">
        <f>AVERAGE(Table1[[#This Row],[Range2_Low]:[Range2_High]])</f>
        <v>3.2504999999999999E-2</v>
      </c>
      <c r="AG2202">
        <f>AVERAGE(Table1[[#This Row],[Range1_Low]:[Range1_High]])</f>
        <v>1.65005E-4</v>
      </c>
      <c r="AH2202">
        <v>1</v>
      </c>
    </row>
    <row r="2203" spans="1:34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tr" cm="1">
        <f t="array" ref="U2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03" s="106" t="str" cm="1">
        <f t="array" ref="V2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  <c r="AF2203">
        <f>AVERAGE(Table1[[#This Row],[Range2_Low]:[Range2_High]])</f>
        <v>0.522505</v>
      </c>
      <c r="AG2203">
        <f>AVERAGE(Table1[[#This Row],[Range1_Low]:[Range1_High]])</f>
        <v>1.8150499999999999E-3</v>
      </c>
      <c r="AH2203">
        <v>1</v>
      </c>
    </row>
    <row r="2204" spans="1:34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tr" cm="1">
        <f t="array" ref="U2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4" t="str" cm="1">
        <f t="array" ref="V2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  <c r="AF2204">
        <f>AVERAGE(Table1[[#This Row],[Range2_Low]:[Range2_High]])</f>
        <v>3.0049999999999999</v>
      </c>
      <c r="AG2204">
        <f>AVERAGE(Table1[[#This Row],[Range1_Low]:[Range1_High]])</f>
        <v>1.8150499999999999E-3</v>
      </c>
      <c r="AH2204">
        <v>1</v>
      </c>
    </row>
    <row r="2205" spans="1:34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tr" cm="1">
        <f t="array" ref="U2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5" t="str" cm="1">
        <f t="array" ref="V2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  <c r="AF2205">
        <f>AVERAGE(Table1[[#This Row],[Range2_Low]:[Range2_High]])</f>
        <v>1.5005000000000001E-2</v>
      </c>
      <c r="AG2205">
        <f>AVERAGE(Table1[[#This Row],[Range1_Low]:[Range1_High]])</f>
        <v>1.8150499999999999E-3</v>
      </c>
      <c r="AH2205">
        <v>1</v>
      </c>
    </row>
    <row r="2206" spans="1:34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tr" cm="1">
        <f t="array" ref="U2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6" t="str" cm="1">
        <f t="array" ref="V2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  <c r="AF2206">
        <f>AVERAGE(Table1[[#This Row],[Range2_Low]:[Range2_High]])</f>
        <v>30.05</v>
      </c>
      <c r="AG2206">
        <f>AVERAGE(Table1[[#This Row],[Range1_Low]:[Range1_High]])</f>
        <v>1.8150499999999999E-3</v>
      </c>
      <c r="AH2206">
        <v>1</v>
      </c>
    </row>
    <row r="2207" spans="1:34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tr" cm="1">
        <f t="array" ref="U2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7" t="str" cm="1">
        <f t="array" ref="V2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  <c r="AF2207">
        <f>AVERAGE(Table1[[#This Row],[Range2_Low]:[Range2_High]])</f>
        <v>20</v>
      </c>
      <c r="AG2207">
        <f>AVERAGE(Table1[[#This Row],[Range1_Low]:[Range1_High]])</f>
        <v>1.8150499999999999E-3</v>
      </c>
      <c r="AH2207">
        <v>1</v>
      </c>
    </row>
    <row r="2208" spans="1:34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tr" cm="1">
        <f t="array" ref="U2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08" t="str" cm="1">
        <f t="array" ref="V2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  <c r="AF2208">
        <f>AVERAGE(Table1[[#This Row],[Range2_Low]:[Range2_High]])</f>
        <v>3.2504999999999999E-2</v>
      </c>
      <c r="AG2208">
        <f>AVERAGE(Table1[[#This Row],[Range1_Low]:[Range1_High]])</f>
        <v>1.8150499999999999E-3</v>
      </c>
      <c r="AH2208">
        <v>1</v>
      </c>
    </row>
    <row r="2209" spans="1:34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06" t="str" cm="1">
        <f t="array" ref="U2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09" t="str" cm="1">
        <f t="array" ref="V2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  <c r="AF2209">
        <f>AVERAGE(Table1[[#This Row],[Range2_Low]:[Range2_High]])</f>
        <v>7.5049999999999999</v>
      </c>
      <c r="AG2209">
        <f>AVERAGE(Table1[[#This Row],[Range1_Low]:[Range1_High]])</f>
        <v>1.8150499999999999E-3</v>
      </c>
      <c r="AH2209">
        <v>1</v>
      </c>
    </row>
    <row r="2210" spans="1:34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tr" cm="1">
        <f t="array" ref="U2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0" t="str" cm="1">
        <f t="array" ref="V2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  <c r="AF2210">
        <f>AVERAGE(Table1[[#This Row],[Range2_Low]:[Range2_High]])</f>
        <v>1.5005000000000001E-2</v>
      </c>
      <c r="AG2210">
        <f>AVERAGE(Table1[[#This Row],[Range1_Low]:[Range1_High]])</f>
        <v>1.8150499999999999E-3</v>
      </c>
      <c r="AH2210">
        <v>1</v>
      </c>
    </row>
    <row r="2211" spans="1:34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tr" cm="1">
        <f t="array" ref="U2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11" s="106" t="str" cm="1">
        <f t="array" ref="V2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  <c r="AF2211">
        <f>AVERAGE(Table1[[#This Row],[Range2_Low]:[Range2_High]])</f>
        <v>0.522505</v>
      </c>
      <c r="AG2211">
        <f>AVERAGE(Table1[[#This Row],[Range1_Low]:[Range1_High]])</f>
        <v>1.8150499999999999E-3</v>
      </c>
      <c r="AH2211">
        <v>1</v>
      </c>
    </row>
    <row r="2212" spans="1:34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tr" cm="1">
        <f t="array" ref="U2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2" t="str" cm="1">
        <f t="array" ref="V2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  <c r="AF2212">
        <f>AVERAGE(Table1[[#This Row],[Range2_Low]:[Range2_High]])</f>
        <v>3.0049999999999999</v>
      </c>
      <c r="AG2212">
        <f>AVERAGE(Table1[[#This Row],[Range1_Low]:[Range1_High]])</f>
        <v>1.8150499999999999E-3</v>
      </c>
      <c r="AH2212">
        <v>1</v>
      </c>
    </row>
    <row r="2213" spans="1:34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06" t="str" cm="1">
        <f t="array" ref="U2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13" t="str" cm="1">
        <f t="array" ref="V2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  <c r="AF2213">
        <f>AVERAGE(Table1[[#This Row],[Range2_Low]:[Range2_High]])</f>
        <v>7.5049999999999999</v>
      </c>
      <c r="AG2213">
        <f>AVERAGE(Table1[[#This Row],[Range1_Low]:[Range1_High]])</f>
        <v>1.8150499999999999E-3</v>
      </c>
      <c r="AH2213">
        <v>1</v>
      </c>
    </row>
    <row r="2214" spans="1:34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tr" cm="1">
        <f t="array" ref="U2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4" t="str" cm="1">
        <f t="array" ref="V2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  <c r="AF2214">
        <f>AVERAGE(Table1[[#This Row],[Range2_Low]:[Range2_High]])</f>
        <v>30.05</v>
      </c>
      <c r="AG2214">
        <f>AVERAGE(Table1[[#This Row],[Range1_Low]:[Range1_High]])</f>
        <v>1.8150499999999999E-3</v>
      </c>
      <c r="AH2214">
        <v>1</v>
      </c>
    </row>
    <row r="2215" spans="1:34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tr" cm="1">
        <f t="array" ref="U2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5" t="str" cm="1">
        <f t="array" ref="V2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  <c r="AF2215">
        <f>AVERAGE(Table1[[#This Row],[Range2_Low]:[Range2_High]])</f>
        <v>3.2504999999999999E-2</v>
      </c>
      <c r="AG2215">
        <f>AVERAGE(Table1[[#This Row],[Range1_Low]:[Range1_High]])</f>
        <v>1.8150499999999999E-3</v>
      </c>
      <c r="AH2215">
        <v>1</v>
      </c>
    </row>
    <row r="2216" spans="1:34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tr" cm="1">
        <f t="array" ref="U2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6" t="str" cm="1">
        <f t="array" ref="V2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  <c r="AF2216">
        <f>AVERAGE(Table1[[#This Row],[Range2_Low]:[Range2_High]])</f>
        <v>20</v>
      </c>
      <c r="AG2216">
        <f>AVERAGE(Table1[[#This Row],[Range1_Low]:[Range1_High]])</f>
        <v>1.8150499999999999E-3</v>
      </c>
      <c r="AH2216">
        <v>1</v>
      </c>
    </row>
    <row r="2217" spans="1:34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tr" cm="1">
        <f t="array" ref="U2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7" t="str" cm="1">
        <f t="array" ref="V2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  <c r="AF2217">
        <f>AVERAGE(Table1[[#This Row],[Range2_Low]:[Range2_High]])</f>
        <v>20</v>
      </c>
      <c r="AG2217">
        <f>AVERAGE(Table1[[#This Row],[Range1_Low]:[Range1_High]])</f>
        <v>1.8150499999999999E-3</v>
      </c>
      <c r="AH2217">
        <v>1</v>
      </c>
    </row>
    <row r="2218" spans="1:34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tr" cm="1">
        <f t="array" ref="U2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µA</v>
      </c>
      <c r="V2218" t="str" cm="1">
        <f t="array" ref="V2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  <c r="AF2218">
        <f>AVERAGE(Table1[[#This Row],[Range2_Low]:[Range2_High]])</f>
        <v>3.0049999999999999</v>
      </c>
      <c r="AG2218">
        <f>AVERAGE(Table1[[#This Row],[Range1_Low]:[Range1_High]])</f>
        <v>1.8150499999999999E-3</v>
      </c>
      <c r="AH2218">
        <v>1</v>
      </c>
    </row>
    <row r="2219" spans="1:34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tr" cm="1">
        <f t="array" ref="U2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9" t="str" cm="1">
        <f t="array" ref="V2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  <c r="AF2219">
        <f>AVERAGE(Table1[[#This Row],[Range2_Low]:[Range2_High]])</f>
        <v>3.2504999999999999E-2</v>
      </c>
      <c r="AG2219">
        <f>AVERAGE(Table1[[#This Row],[Range1_Low]:[Range1_High]])</f>
        <v>1.8150499999999999E-3</v>
      </c>
      <c r="AH2219">
        <v>1</v>
      </c>
    </row>
    <row r="2220" spans="1:34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tr" cm="1">
        <f t="array" ref="U2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20" t="str" cm="1">
        <f t="array" ref="V2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  <c r="AF2220">
        <f>AVERAGE(Table1[[#This Row],[Range2_Low]:[Range2_High]])</f>
        <v>30.05</v>
      </c>
      <c r="AG2220">
        <f>AVERAGE(Table1[[#This Row],[Range1_Low]:[Range1_High]])</f>
        <v>1.8150499999999999E-3</v>
      </c>
      <c r="AH2220">
        <v>1</v>
      </c>
    </row>
    <row r="2221" spans="1:34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06" t="str" cm="1">
        <f t="array" ref="U2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21" t="str" cm="1">
        <f t="array" ref="V2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  <c r="AF2221">
        <f>AVERAGE(Table1[[#This Row],[Range2_Low]:[Range2_High]])</f>
        <v>7.5049999999999999</v>
      </c>
      <c r="AG2221">
        <f>AVERAGE(Table1[[#This Row],[Range1_Low]:[Range1_High]])</f>
        <v>1.8150499999999999E-3</v>
      </c>
      <c r="AH2221">
        <v>1</v>
      </c>
    </row>
    <row r="2222" spans="1:34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tr" cm="1">
        <f t="array" ref="U2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22" t="str" cm="1">
        <f t="array" ref="V2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  <c r="AF2222">
        <f>AVERAGE(Table1[[#This Row],[Range2_Low]:[Range2_High]])</f>
        <v>1.5005000000000001E-2</v>
      </c>
      <c r="AG2222">
        <f>AVERAGE(Table1[[#This Row],[Range1_Low]:[Range1_High]])</f>
        <v>1.8150499999999999E-3</v>
      </c>
      <c r="AH2222">
        <v>1</v>
      </c>
    </row>
    <row r="2223" spans="1:34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tr" cm="1">
        <f t="array" ref="U2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V2223" s="106" t="str" cm="1">
        <f t="array" ref="V2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  <c r="AF2223">
        <f>AVERAGE(Table1[[#This Row],[Range2_Low]:[Range2_High]])</f>
        <v>0.522505</v>
      </c>
      <c r="AG2223">
        <f>AVERAGE(Table1[[#This Row],[Range1_Low]:[Range1_High]])</f>
        <v>1.8150499999999999E-3</v>
      </c>
      <c r="AH2223">
        <v>1</v>
      </c>
    </row>
    <row r="2224" spans="1:34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06" t="str" cm="1">
        <f t="array" ref="U2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24" t="str" cm="1">
        <f t="array" ref="V2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  <c r="AF2224">
        <f>AVERAGE(Table1[[#This Row],[Range2_Low]:[Range2_High]])</f>
        <v>7.5049999999999999</v>
      </c>
      <c r="AG2224">
        <f>AVERAGE(Table1[[#This Row],[Range1_Low]:[Range1_High]])</f>
        <v>1.8150499999999999E-3</v>
      </c>
      <c r="AH2224">
        <v>1</v>
      </c>
    </row>
    <row r="2225" spans="1:34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tr" cm="1">
        <f t="array" ref="U2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5" t="str" cm="1">
        <f t="array" ref="V2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  <c r="AF2225">
        <f>AVERAGE(Table1[[#This Row],[Range2_Low]:[Range2_High]])</f>
        <v>20</v>
      </c>
      <c r="AG2225">
        <f>AVERAGE(Table1[[#This Row],[Range1_Low]:[Range1_High]])</f>
        <v>1.8150499999999999E-3</v>
      </c>
      <c r="AH2225">
        <v>1</v>
      </c>
    </row>
    <row r="2226" spans="1:34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tr" cm="1">
        <f t="array" ref="U2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V2226" t="str" cm="1">
        <f t="array" ref="V2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µA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  <c r="AF2226">
        <f>AVERAGE(Table1[[#This Row],[Range2_Low]:[Range2_High]])</f>
        <v>3.0049999999999999</v>
      </c>
      <c r="AG2226">
        <f>AVERAGE(Table1[[#This Row],[Range1_Low]:[Range1_High]])</f>
        <v>1.8150499999999999E-3</v>
      </c>
      <c r="AH2226">
        <v>1</v>
      </c>
    </row>
    <row r="2227" spans="1:34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tr" cm="1">
        <f t="array" ref="U2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227" s="106" t="str" cm="1">
        <f t="array" ref="V2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  <c r="AF2227">
        <f>AVERAGE(Table1[[#This Row],[Range2_Low]:[Range2_High]])</f>
        <v>3.2504999999999999E-2</v>
      </c>
      <c r="AG2227">
        <f>AVERAGE(Table1[[#This Row],[Range1_Low]:[Range1_High]])</f>
        <v>1.8150499999999999E-3</v>
      </c>
      <c r="AH2227">
        <v>1</v>
      </c>
    </row>
    <row r="2228" spans="1:34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tr" cm="1">
        <f t="array" ref="U2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µA</v>
      </c>
      <c r="V2228" t="str" cm="1">
        <f t="array" ref="V2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  <c r="AF2228">
        <f>AVERAGE(Table1[[#This Row],[Range2_Low]:[Range2_High]])</f>
        <v>0.522505</v>
      </c>
      <c r="AG2228">
        <f>AVERAGE(Table1[[#This Row],[Range1_Low]:[Range1_High]])</f>
        <v>1.8150499999999999E-3</v>
      </c>
      <c r="AH2228">
        <v>1</v>
      </c>
    </row>
    <row r="2229" spans="1:34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tr" cm="1">
        <f t="array" ref="U2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9" t="str" cm="1">
        <f t="array" ref="V2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  <c r="AF2229">
        <f>AVERAGE(Table1[[#This Row],[Range2_Low]:[Range2_High]])</f>
        <v>30.05</v>
      </c>
      <c r="AG2229">
        <f>AVERAGE(Table1[[#This Row],[Range1_Low]:[Range1_High]])</f>
        <v>1.8150499999999999E-3</v>
      </c>
      <c r="AH2229">
        <v>1</v>
      </c>
    </row>
    <row r="2230" spans="1:34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tr" cm="1">
        <f t="array" ref="U2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2230" t="str" cm="1">
        <f t="array" ref="V2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8.4 µA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  <c r="AF2230">
        <f>AVERAGE(Table1[[#This Row],[Range2_Low]:[Range2_High]])</f>
        <v>1.5005000000000001E-2</v>
      </c>
      <c r="AG2230">
        <f>AVERAGE(Table1[[#This Row],[Range1_Low]:[Range1_High]])</f>
        <v>1.8150499999999999E-3</v>
      </c>
      <c r="AH2230">
        <v>1</v>
      </c>
    </row>
    <row r="2231" spans="1:34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tr" cm="1">
        <f t="array" ref="U2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1" t="str" cm="1">
        <f t="array" ref="V2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  <c r="AF2231">
        <f>AVERAGE(Table1[[#This Row],[Range2_Low]:[Range2_High]])</f>
        <v>20</v>
      </c>
      <c r="AG2231">
        <f>AVERAGE(Table1[[#This Row],[Range1_Low]:[Range1_High]])</f>
        <v>1.8150499999999999E-3</v>
      </c>
      <c r="AH2231">
        <v>1</v>
      </c>
    </row>
    <row r="2232" spans="1:34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tr" cm="1">
        <f t="array" ref="U2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32" t="str" cm="1">
        <f t="array" ref="V2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  <c r="AF2232">
        <f>AVERAGE(Table1[[#This Row],[Range2_Low]:[Range2_High]])</f>
        <v>7.5049999999999999</v>
      </c>
      <c r="AG2232">
        <f>AVERAGE(Table1[[#This Row],[Range1_Low]:[Range1_High]])</f>
        <v>1.8150499999999999E-3</v>
      </c>
      <c r="AH2232">
        <v>1</v>
      </c>
    </row>
    <row r="2233" spans="1:34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tr" cm="1">
        <f t="array" ref="U2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3" t="str" cm="1">
        <f t="array" ref="V2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  <c r="AF2233">
        <f>AVERAGE(Table1[[#This Row],[Range2_Low]:[Range2_High]])</f>
        <v>3.0049999999999999</v>
      </c>
      <c r="AG2233">
        <f>AVERAGE(Table1[[#This Row],[Range1_Low]:[Range1_High]])</f>
        <v>1.8150499999999999E-3</v>
      </c>
      <c r="AH2233">
        <v>1</v>
      </c>
    </row>
    <row r="2234" spans="1:34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tr" cm="1">
        <f t="array" ref="U2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4" t="str" cm="1">
        <f t="array" ref="V2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  <c r="AF2234">
        <f>AVERAGE(Table1[[#This Row],[Range2_Low]:[Range2_High]])</f>
        <v>30.05</v>
      </c>
      <c r="AG2234">
        <f>AVERAGE(Table1[[#This Row],[Range1_Low]:[Range1_High]])</f>
        <v>1.8150499999999999E-3</v>
      </c>
      <c r="AH2234">
        <v>1</v>
      </c>
    </row>
    <row r="2235" spans="1:34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tr" cm="1">
        <f t="array" ref="U2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5" t="str" cm="1">
        <f t="array" ref="V2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  <c r="AF2235">
        <f>AVERAGE(Table1[[#This Row],[Range2_Low]:[Range2_High]])</f>
        <v>1.5005000000000001E-2</v>
      </c>
      <c r="AG2235">
        <f>AVERAGE(Table1[[#This Row],[Range1_Low]:[Range1_High]])</f>
        <v>1.8150499999999999E-3</v>
      </c>
      <c r="AH2235">
        <v>1</v>
      </c>
    </row>
    <row r="2236" spans="1:34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tr" cm="1">
        <f t="array" ref="U2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6" t="str" cm="1">
        <f t="array" ref="V2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  <c r="AF2236">
        <f>AVERAGE(Table1[[#This Row],[Range2_Low]:[Range2_High]])</f>
        <v>0.522505</v>
      </c>
      <c r="AG2236">
        <f>AVERAGE(Table1[[#This Row],[Range1_Low]:[Range1_High]])</f>
        <v>1.8150499999999999E-3</v>
      </c>
      <c r="AH2236">
        <v>1</v>
      </c>
    </row>
    <row r="2237" spans="1:34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tr" cm="1">
        <f t="array" ref="U2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7" t="str" cm="1">
        <f t="array" ref="V2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  <c r="AF2237">
        <f>AVERAGE(Table1[[#This Row],[Range2_Low]:[Range2_High]])</f>
        <v>3.2504999999999999E-2</v>
      </c>
      <c r="AG2237">
        <f>AVERAGE(Table1[[#This Row],[Range1_Low]:[Range1_High]])</f>
        <v>1.8150499999999999E-3</v>
      </c>
      <c r="AH2237">
        <v>1</v>
      </c>
    </row>
    <row r="2238" spans="1:34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tr" cm="1">
        <f t="array" ref="U2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38" t="str" cm="1">
        <f t="array" ref="V2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  <c r="AF2238">
        <f>AVERAGE(Table1[[#This Row],[Range2_Low]:[Range2_High]])</f>
        <v>3.2504999999999999E-2</v>
      </c>
      <c r="AG2238">
        <f>AVERAGE(Table1[[#This Row],[Range1_Low]:[Range1_High]])</f>
        <v>1.81505E-2</v>
      </c>
      <c r="AH2238">
        <v>1</v>
      </c>
    </row>
    <row r="2239" spans="1:34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tr" cm="1">
        <f t="array" ref="U2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39" t="str" cm="1">
        <f t="array" ref="V2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  <c r="AF2239">
        <f>AVERAGE(Table1[[#This Row],[Range2_Low]:[Range2_High]])</f>
        <v>0.522505</v>
      </c>
      <c r="AG2239">
        <f>AVERAGE(Table1[[#This Row],[Range1_Low]:[Range1_High]])</f>
        <v>1.81505E-2</v>
      </c>
      <c r="AH2239">
        <v>1</v>
      </c>
    </row>
    <row r="2240" spans="1:34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tr" cm="1">
        <f t="array" ref="U2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0" t="str" cm="1">
        <f t="array" ref="V2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  <c r="AF2240">
        <f>AVERAGE(Table1[[#This Row],[Range2_Low]:[Range2_High]])</f>
        <v>1.5005000000000001E-2</v>
      </c>
      <c r="AG2240">
        <f>AVERAGE(Table1[[#This Row],[Range1_Low]:[Range1_High]])</f>
        <v>1.81505E-2</v>
      </c>
      <c r="AH2240">
        <v>1</v>
      </c>
    </row>
    <row r="2241" spans="1:34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tr" cm="1">
        <f t="array" ref="U2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1" t="str" cm="1">
        <f t="array" ref="V2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  <c r="AF2241">
        <f>AVERAGE(Table1[[#This Row],[Range2_Low]:[Range2_High]])</f>
        <v>7.5049999999999999</v>
      </c>
      <c r="AG2241">
        <f>AVERAGE(Table1[[#This Row],[Range1_Low]:[Range1_High]])</f>
        <v>1.81505E-2</v>
      </c>
      <c r="AH2241">
        <v>1</v>
      </c>
    </row>
    <row r="2242" spans="1:34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tr" cm="1">
        <f t="array" ref="U2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2" t="str" cm="1">
        <f t="array" ref="V2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  <c r="AF2242">
        <f>AVERAGE(Table1[[#This Row],[Range2_Low]:[Range2_High]])</f>
        <v>20</v>
      </c>
      <c r="AG2242">
        <f>AVERAGE(Table1[[#This Row],[Range1_Low]:[Range1_High]])</f>
        <v>1.81505E-2</v>
      </c>
      <c r="AH2242">
        <v>1</v>
      </c>
    </row>
    <row r="2243" spans="1:34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tr" cm="1">
        <f t="array" ref="U2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3" t="str" cm="1">
        <f t="array" ref="V2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  <c r="AF2243">
        <f>AVERAGE(Table1[[#This Row],[Range2_Low]:[Range2_High]])</f>
        <v>3.0049999999999999</v>
      </c>
      <c r="AG2243">
        <f>AVERAGE(Table1[[#This Row],[Range1_Low]:[Range1_High]])</f>
        <v>1.81505E-2</v>
      </c>
      <c r="AH2243">
        <v>1</v>
      </c>
    </row>
    <row r="2244" spans="1:34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tr" cm="1">
        <f t="array" ref="U2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44" t="str" cm="1">
        <f t="array" ref="V2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  <c r="AF2244">
        <f>AVERAGE(Table1[[#This Row],[Range2_Low]:[Range2_High]])</f>
        <v>3.2504999999999999E-2</v>
      </c>
      <c r="AG2244">
        <f>AVERAGE(Table1[[#This Row],[Range1_Low]:[Range1_High]])</f>
        <v>1.81505E-2</v>
      </c>
      <c r="AH2244">
        <v>1</v>
      </c>
    </row>
    <row r="2245" spans="1:34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tr" cm="1">
        <f t="array" ref="U2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5" t="str" cm="1">
        <f t="array" ref="V2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  <c r="AF2245">
        <f>AVERAGE(Table1[[#This Row],[Range2_Low]:[Range2_High]])</f>
        <v>1.5005000000000001E-2</v>
      </c>
      <c r="AG2245">
        <f>AVERAGE(Table1[[#This Row],[Range1_Low]:[Range1_High]])</f>
        <v>1.81505E-2</v>
      </c>
      <c r="AH2245">
        <v>1</v>
      </c>
    </row>
    <row r="2246" spans="1:34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tr" cm="1">
        <f t="array" ref="U2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6" t="str" cm="1">
        <f t="array" ref="V2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  <c r="AF2246">
        <f>AVERAGE(Table1[[#This Row],[Range2_Low]:[Range2_High]])</f>
        <v>3.0049999999999999</v>
      </c>
      <c r="AG2246">
        <f>AVERAGE(Table1[[#This Row],[Range1_Low]:[Range1_High]])</f>
        <v>1.81505E-2</v>
      </c>
      <c r="AH2246">
        <v>1</v>
      </c>
    </row>
    <row r="2247" spans="1:34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tr" cm="1">
        <f t="array" ref="U2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7" t="str" cm="1">
        <f t="array" ref="V2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  <c r="AF2247">
        <f>AVERAGE(Table1[[#This Row],[Range2_Low]:[Range2_High]])</f>
        <v>20</v>
      </c>
      <c r="AG2247">
        <f>AVERAGE(Table1[[#This Row],[Range1_Low]:[Range1_High]])</f>
        <v>1.81505E-2</v>
      </c>
      <c r="AH2247">
        <v>1</v>
      </c>
    </row>
    <row r="2248" spans="1:34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tr" cm="1">
        <f t="array" ref="U2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48" t="str" cm="1">
        <f t="array" ref="V2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  <c r="AF2248">
        <f>AVERAGE(Table1[[#This Row],[Range2_Low]:[Range2_High]])</f>
        <v>0.522505</v>
      </c>
      <c r="AG2248">
        <f>AVERAGE(Table1[[#This Row],[Range1_Low]:[Range1_High]])</f>
        <v>1.81505E-2</v>
      </c>
      <c r="AH2248">
        <v>1</v>
      </c>
    </row>
    <row r="2249" spans="1:34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tr" cm="1">
        <f t="array" ref="U2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9" t="str" cm="1">
        <f t="array" ref="V2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  <c r="AF2249">
        <f>AVERAGE(Table1[[#This Row],[Range2_Low]:[Range2_High]])</f>
        <v>7.5049999999999999</v>
      </c>
      <c r="AG2249">
        <f>AVERAGE(Table1[[#This Row],[Range1_Low]:[Range1_High]])</f>
        <v>1.81505E-2</v>
      </c>
      <c r="AH2249">
        <v>1</v>
      </c>
    </row>
    <row r="2250" spans="1:34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06" t="str" cm="1">
        <f t="array" ref="U2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50" t="str" cm="1">
        <f t="array" ref="V2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  <c r="AF2250">
        <f>AVERAGE(Table1[[#This Row],[Range2_Low]:[Range2_High]])</f>
        <v>0.522505</v>
      </c>
      <c r="AG2250">
        <f>AVERAGE(Table1[[#This Row],[Range1_Low]:[Range1_High]])</f>
        <v>1.81505E-2</v>
      </c>
      <c r="AH2250">
        <v>1</v>
      </c>
    </row>
    <row r="2251" spans="1:34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tr" cm="1">
        <f t="array" ref="U2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251" t="str" cm="1">
        <f t="array" ref="V2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  <c r="AF2251">
        <f>AVERAGE(Table1[[#This Row],[Range2_Low]:[Range2_High]])</f>
        <v>3.0049999999999999</v>
      </c>
      <c r="AG2251">
        <f>AVERAGE(Table1[[#This Row],[Range1_Low]:[Range1_High]])</f>
        <v>1.81505E-2</v>
      </c>
      <c r="AH2251">
        <v>1</v>
      </c>
    </row>
    <row r="2252" spans="1:34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tr" cm="1">
        <f t="array" ref="U2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52" t="str" cm="1">
        <f t="array" ref="V2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  <c r="AF2252">
        <f>AVERAGE(Table1[[#This Row],[Range2_Low]:[Range2_High]])</f>
        <v>3.2504999999999999E-2</v>
      </c>
      <c r="AG2252">
        <f>AVERAGE(Table1[[#This Row],[Range1_Low]:[Range1_High]])</f>
        <v>1.81505E-2</v>
      </c>
      <c r="AH2252">
        <v>1</v>
      </c>
    </row>
    <row r="2253" spans="1:34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tr" cm="1">
        <f t="array" ref="U2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V2253" t="str" cm="1">
        <f t="array" ref="V2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  <c r="AF2253">
        <f>AVERAGE(Table1[[#This Row],[Range2_Low]:[Range2_High]])</f>
        <v>1.5005000000000001E-2</v>
      </c>
      <c r="AG2253">
        <f>AVERAGE(Table1[[#This Row],[Range1_Low]:[Range1_High]])</f>
        <v>1.81505E-2</v>
      </c>
      <c r="AH2253">
        <v>1</v>
      </c>
    </row>
    <row r="2254" spans="1:34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tr" cm="1">
        <f t="array" ref="U2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V2254" t="str" cm="1">
        <f t="array" ref="V2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  <c r="AF2254">
        <f>AVERAGE(Table1[[#This Row],[Range2_Low]:[Range2_High]])</f>
        <v>7.5049999999999999</v>
      </c>
      <c r="AG2254">
        <f>AVERAGE(Table1[[#This Row],[Range1_Low]:[Range1_High]])</f>
        <v>1.81505E-2</v>
      </c>
      <c r="AH2254">
        <v>1</v>
      </c>
    </row>
    <row r="2255" spans="1:34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tr" cm="1">
        <f t="array" ref="U2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55" t="str" cm="1">
        <f t="array" ref="V2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  <c r="AF2255">
        <f>AVERAGE(Table1[[#This Row],[Range2_Low]:[Range2_High]])</f>
        <v>20</v>
      </c>
      <c r="AG2255">
        <f>AVERAGE(Table1[[#This Row],[Range1_Low]:[Range1_High]])</f>
        <v>1.81505E-2</v>
      </c>
      <c r="AH2255">
        <v>1</v>
      </c>
    </row>
    <row r="2256" spans="1:34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tr" cm="1">
        <f t="array" ref="U2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V2256" t="str" cm="1">
        <f t="array" ref="V2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µA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  <c r="AF2256">
        <f>AVERAGE(Table1[[#This Row],[Range2_Low]:[Range2_High]])</f>
        <v>20</v>
      </c>
      <c r="AG2256">
        <f>AVERAGE(Table1[[#This Row],[Range1_Low]:[Range1_High]])</f>
        <v>1.81505E-2</v>
      </c>
      <c r="AH2256">
        <v>1</v>
      </c>
    </row>
    <row r="2257" spans="1:34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tr" cm="1">
        <f t="array" ref="U2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57" t="str" cm="1">
        <f t="array" ref="V2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  <c r="AF2257">
        <f>AVERAGE(Table1[[#This Row],[Range2_Low]:[Range2_High]])</f>
        <v>0.522505</v>
      </c>
      <c r="AG2257">
        <f>AVERAGE(Table1[[#This Row],[Range1_Low]:[Range1_High]])</f>
        <v>1.81505E-2</v>
      </c>
      <c r="AH2257">
        <v>1</v>
      </c>
    </row>
    <row r="2258" spans="1:34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tr" cm="1">
        <f t="array" ref="U2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V2258" t="str" cm="1">
        <f t="array" ref="V2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µA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  <c r="AF2258">
        <f>AVERAGE(Table1[[#This Row],[Range2_Low]:[Range2_High]])</f>
        <v>7.5049999999999999</v>
      </c>
      <c r="AG2258">
        <f>AVERAGE(Table1[[#This Row],[Range1_Low]:[Range1_High]])</f>
        <v>1.81505E-2</v>
      </c>
      <c r="AH2258">
        <v>1</v>
      </c>
    </row>
    <row r="2259" spans="1:34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tr" cm="1">
        <f t="array" ref="U2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59" t="str" cm="1">
        <f t="array" ref="V2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  <c r="AF2259">
        <f>AVERAGE(Table1[[#This Row],[Range2_Low]:[Range2_High]])</f>
        <v>3.0049999999999999</v>
      </c>
      <c r="AG2259">
        <f>AVERAGE(Table1[[#This Row],[Range1_Low]:[Range1_High]])</f>
        <v>1.81505E-2</v>
      </c>
      <c r="AH2259">
        <v>1</v>
      </c>
    </row>
    <row r="2260" spans="1:34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tr" cm="1">
        <f t="array" ref="U2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2260" t="str" cm="1">
        <f t="array" ref="V2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  <c r="AF2260">
        <f>AVERAGE(Table1[[#This Row],[Range2_Low]:[Range2_High]])</f>
        <v>1.5005000000000001E-2</v>
      </c>
      <c r="AG2260">
        <f>AVERAGE(Table1[[#This Row],[Range1_Low]:[Range1_High]])</f>
        <v>1.81505E-2</v>
      </c>
      <c r="AH2260">
        <v>1</v>
      </c>
    </row>
    <row r="2261" spans="1:34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tr" cm="1">
        <f t="array" ref="U2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61" t="str" cm="1">
        <f t="array" ref="V2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  <c r="AF2261">
        <f>AVERAGE(Table1[[#This Row],[Range2_Low]:[Range2_High]])</f>
        <v>3.2504999999999999E-2</v>
      </c>
      <c r="AG2261">
        <f>AVERAGE(Table1[[#This Row],[Range1_Low]:[Range1_High]])</f>
        <v>1.81505E-2</v>
      </c>
      <c r="AH2261">
        <v>1</v>
      </c>
    </row>
    <row r="2262" spans="1:34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tr" cm="1">
        <f t="array" ref="U2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2" t="str" cm="1">
        <f t="array" ref="V2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  <c r="AF2262">
        <f>AVERAGE(Table1[[#This Row],[Range2_Low]:[Range2_High]])</f>
        <v>3.0049999999999999</v>
      </c>
      <c r="AG2262">
        <f>AVERAGE(Table1[[#This Row],[Range1_Low]:[Range1_High]])</f>
        <v>1.81505E-2</v>
      </c>
      <c r="AH2262">
        <v>1</v>
      </c>
    </row>
    <row r="2263" spans="1:34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tr" cm="1">
        <f t="array" ref="U2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3" t="str" cm="1">
        <f t="array" ref="V2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  <c r="AF2263">
        <f>AVERAGE(Table1[[#This Row],[Range2_Low]:[Range2_High]])</f>
        <v>30.005000000000003</v>
      </c>
      <c r="AG2263">
        <f>AVERAGE(Table1[[#This Row],[Range1_Low]:[Range1_High]])</f>
        <v>1.81505E-2</v>
      </c>
      <c r="AH2263">
        <v>1</v>
      </c>
    </row>
    <row r="2264" spans="1:34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tr" cm="1">
        <f t="array" ref="U2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4" t="str" cm="1">
        <f t="array" ref="V2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  <c r="AF2264">
        <f>AVERAGE(Table1[[#This Row],[Range2_Low]:[Range2_High]])</f>
        <v>7.5049999999999999</v>
      </c>
      <c r="AG2264">
        <f>AVERAGE(Table1[[#This Row],[Range1_Low]:[Range1_High]])</f>
        <v>1.81505E-2</v>
      </c>
      <c r="AH2264">
        <v>1</v>
      </c>
    </row>
    <row r="2265" spans="1:34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tr" cm="1">
        <f t="array" ref="U2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5" t="str" cm="1">
        <f t="array" ref="V2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  <c r="AF2265">
        <f>AVERAGE(Table1[[#This Row],[Range2_Low]:[Range2_High]])</f>
        <v>20</v>
      </c>
      <c r="AG2265">
        <f>AVERAGE(Table1[[#This Row],[Range1_Low]:[Range1_High]])</f>
        <v>1.81505E-2</v>
      </c>
      <c r="AH2265">
        <v>1</v>
      </c>
    </row>
    <row r="2266" spans="1:34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tr" cm="1">
        <f t="array" ref="U2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6" t="str" cm="1">
        <f t="array" ref="V2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  <c r="AF2266">
        <f>AVERAGE(Table1[[#This Row],[Range2_Low]:[Range2_High]])</f>
        <v>0.522505</v>
      </c>
      <c r="AG2266">
        <f>AVERAGE(Table1[[#This Row],[Range1_Low]:[Range1_High]])</f>
        <v>1.81505E-2</v>
      </c>
      <c r="AH2266">
        <v>1</v>
      </c>
    </row>
    <row r="2267" spans="1:34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tr" cm="1">
        <f t="array" ref="U2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7" t="str" cm="1">
        <f t="array" ref="V2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  <c r="AF2267">
        <f>AVERAGE(Table1[[#This Row],[Range2_Low]:[Range2_High]])</f>
        <v>3.2504999999999999E-2</v>
      </c>
      <c r="AG2267">
        <f>AVERAGE(Table1[[#This Row],[Range1_Low]:[Range1_High]])</f>
        <v>1.81505E-2</v>
      </c>
      <c r="AH2267">
        <v>1</v>
      </c>
    </row>
    <row r="2268" spans="1:34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tr" cm="1">
        <f t="array" ref="U2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8" t="str" cm="1">
        <f t="array" ref="V2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  <c r="AF2268">
        <f>AVERAGE(Table1[[#This Row],[Range2_Low]:[Range2_High]])</f>
        <v>1.5005000000000001E-2</v>
      </c>
      <c r="AG2268">
        <f>AVERAGE(Table1[[#This Row],[Range1_Low]:[Range1_High]])</f>
        <v>1.81505E-2</v>
      </c>
      <c r="AH2268">
        <v>1</v>
      </c>
    </row>
    <row r="2269" spans="1:34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tr" cm="1">
        <f t="array" ref="U2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69" t="str" cm="1">
        <f t="array" ref="V2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  <c r="AF2269">
        <f>AVERAGE(Table1[[#This Row],[Range2_Low]:[Range2_High]])</f>
        <v>1.5005000000000001E-2</v>
      </c>
      <c r="AG2269">
        <f>AVERAGE(Table1[[#This Row],[Range1_Low]:[Range1_High]])</f>
        <v>0.18150500000000003</v>
      </c>
      <c r="AH2269">
        <v>1</v>
      </c>
    </row>
    <row r="2270" spans="1:34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tr" cm="1">
        <f t="array" ref="U2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0" t="str" cm="1">
        <f t="array" ref="V2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  <c r="AF2270">
        <f>AVERAGE(Table1[[#This Row],[Range2_Low]:[Range2_High]])</f>
        <v>7.5049999999999999</v>
      </c>
      <c r="AG2270">
        <f>AVERAGE(Table1[[#This Row],[Range1_Low]:[Range1_High]])</f>
        <v>0.18150500000000003</v>
      </c>
      <c r="AH2270">
        <v>1</v>
      </c>
    </row>
    <row r="2271" spans="1:34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tr" cm="1">
        <f t="array" ref="U2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71" t="str" cm="1">
        <f t="array" ref="V2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  <c r="AF2271">
        <f>AVERAGE(Table1[[#This Row],[Range2_Low]:[Range2_High]])</f>
        <v>3.0049999999999999</v>
      </c>
      <c r="AG2271">
        <f>AVERAGE(Table1[[#This Row],[Range1_Low]:[Range1_High]])</f>
        <v>0.18150500000000003</v>
      </c>
      <c r="AH2271">
        <v>1</v>
      </c>
    </row>
    <row r="2272" spans="1:34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tr" cm="1">
        <f t="array" ref="U2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2" t="str" cm="1">
        <f t="array" ref="V2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  <c r="AF2272">
        <f>AVERAGE(Table1[[#This Row],[Range2_Low]:[Range2_High]])</f>
        <v>0.522505</v>
      </c>
      <c r="AG2272">
        <f>AVERAGE(Table1[[#This Row],[Range1_Low]:[Range1_High]])</f>
        <v>0.18150500000000003</v>
      </c>
      <c r="AH2272">
        <v>1</v>
      </c>
    </row>
    <row r="2273" spans="1:34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tr" cm="1">
        <f t="array" ref="U2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3" t="str" cm="1">
        <f t="array" ref="V2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  <c r="AF2273">
        <f>AVERAGE(Table1[[#This Row],[Range2_Low]:[Range2_High]])</f>
        <v>20</v>
      </c>
      <c r="AG2273">
        <f>AVERAGE(Table1[[#This Row],[Range1_Low]:[Range1_High]])</f>
        <v>0.18150500000000003</v>
      </c>
      <c r="AH2273">
        <v>1</v>
      </c>
    </row>
    <row r="2274" spans="1:34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tr" cm="1">
        <f t="array" ref="U2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4" t="str" cm="1">
        <f t="array" ref="V2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  <c r="AF2274">
        <f>AVERAGE(Table1[[#This Row],[Range2_Low]:[Range2_High]])</f>
        <v>30.005000000000003</v>
      </c>
      <c r="AG2274">
        <f>AVERAGE(Table1[[#This Row],[Range1_Low]:[Range1_High]])</f>
        <v>0.18150500000000003</v>
      </c>
      <c r="AH2274">
        <v>1</v>
      </c>
    </row>
    <row r="2275" spans="1:34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tr" cm="1">
        <f t="array" ref="U2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75" t="str" cm="1">
        <f t="array" ref="V2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  <c r="AF2275">
        <f>AVERAGE(Table1[[#This Row],[Range2_Low]:[Range2_High]])</f>
        <v>3.2504999999999999E-2</v>
      </c>
      <c r="AG2275">
        <f>AVERAGE(Table1[[#This Row],[Range1_Low]:[Range1_High]])</f>
        <v>0.18150500000000003</v>
      </c>
      <c r="AH2275">
        <v>1</v>
      </c>
    </row>
    <row r="2276" spans="1:34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tr" cm="1">
        <f t="array" ref="U2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6" t="str" cm="1">
        <f t="array" ref="V2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  <c r="AF2276">
        <f>AVERAGE(Table1[[#This Row],[Range2_Low]:[Range2_High]])</f>
        <v>0.522505</v>
      </c>
      <c r="AG2276">
        <f>AVERAGE(Table1[[#This Row],[Range1_Low]:[Range1_High]])</f>
        <v>0.18150500000000003</v>
      </c>
      <c r="AH2276">
        <v>1</v>
      </c>
    </row>
    <row r="2277" spans="1:34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tr" cm="1">
        <f t="array" ref="U2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7" t="str" cm="1">
        <f t="array" ref="V2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  <c r="AF2277">
        <f>AVERAGE(Table1[[#This Row],[Range2_Low]:[Range2_High]])</f>
        <v>30.005000000000003</v>
      </c>
      <c r="AG2277">
        <f>AVERAGE(Table1[[#This Row],[Range1_Low]:[Range1_High]])</f>
        <v>0.18150500000000003</v>
      </c>
      <c r="AH2277">
        <v>1</v>
      </c>
    </row>
    <row r="2278" spans="1:34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tr" cm="1">
        <f t="array" ref="U2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78" t="str" cm="1">
        <f t="array" ref="V2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  <c r="AF2278">
        <f>AVERAGE(Table1[[#This Row],[Range2_Low]:[Range2_High]])</f>
        <v>1.5005000000000001E-2</v>
      </c>
      <c r="AG2278">
        <f>AVERAGE(Table1[[#This Row],[Range1_Low]:[Range1_High]])</f>
        <v>0.18150500000000003</v>
      </c>
      <c r="AH2278">
        <v>1</v>
      </c>
    </row>
    <row r="2279" spans="1:34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tr" cm="1">
        <f t="array" ref="U2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9" t="str" cm="1">
        <f t="array" ref="V2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  <c r="AF2279">
        <f>AVERAGE(Table1[[#This Row],[Range2_Low]:[Range2_High]])</f>
        <v>7.5049999999999999</v>
      </c>
      <c r="AG2279">
        <f>AVERAGE(Table1[[#This Row],[Range1_Low]:[Range1_High]])</f>
        <v>0.18150500000000003</v>
      </c>
      <c r="AH2279">
        <v>1</v>
      </c>
    </row>
    <row r="2280" spans="1:34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tr" cm="1">
        <f t="array" ref="U2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80" t="str" cm="1">
        <f t="array" ref="V2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  <c r="AF2280">
        <f>AVERAGE(Table1[[#This Row],[Range2_Low]:[Range2_High]])</f>
        <v>3.2504999999999999E-2</v>
      </c>
      <c r="AG2280">
        <f>AVERAGE(Table1[[#This Row],[Range1_Low]:[Range1_High]])</f>
        <v>0.18150500000000003</v>
      </c>
      <c r="AH2280">
        <v>1</v>
      </c>
    </row>
    <row r="2281" spans="1:34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tr" cm="1">
        <f t="array" ref="U2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81" t="str" cm="1">
        <f t="array" ref="V2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  <c r="AF2281">
        <f>AVERAGE(Table1[[#This Row],[Range2_Low]:[Range2_High]])</f>
        <v>3.0049999999999999</v>
      </c>
      <c r="AG2281">
        <f>AVERAGE(Table1[[#This Row],[Range1_Low]:[Range1_High]])</f>
        <v>0.18150500000000003</v>
      </c>
      <c r="AH2281">
        <v>1</v>
      </c>
    </row>
    <row r="2282" spans="1:34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tr" cm="1">
        <f t="array" ref="U2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2" t="str" cm="1">
        <f t="array" ref="V2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  <c r="AF2282">
        <f>AVERAGE(Table1[[#This Row],[Range2_Low]:[Range2_High]])</f>
        <v>20</v>
      </c>
      <c r="AG2282">
        <f>AVERAGE(Table1[[#This Row],[Range1_Low]:[Range1_High]])</f>
        <v>0.18150500000000003</v>
      </c>
      <c r="AH2282">
        <v>1</v>
      </c>
    </row>
    <row r="2283" spans="1:34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tr" cm="1">
        <f t="array" ref="U2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mA</v>
      </c>
      <c r="V2283" t="str" cm="1">
        <f t="array" ref="V2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mA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  <c r="AF2283">
        <f>AVERAGE(Table1[[#This Row],[Range2_Low]:[Range2_High]])</f>
        <v>0.522505</v>
      </c>
      <c r="AG2283">
        <f>AVERAGE(Table1[[#This Row],[Range1_Low]:[Range1_High]])</f>
        <v>0.18150500000000003</v>
      </c>
      <c r="AH2283">
        <v>1</v>
      </c>
    </row>
    <row r="2284" spans="1:34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tr" cm="1">
        <f t="array" ref="U2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mA</v>
      </c>
      <c r="V2284" t="str" cm="1">
        <f t="array" ref="V2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mA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  <c r="AF2284">
        <f>AVERAGE(Table1[[#This Row],[Range2_Low]:[Range2_High]])</f>
        <v>3.2504999999999999E-2</v>
      </c>
      <c r="AG2284">
        <f>AVERAGE(Table1[[#This Row],[Range1_Low]:[Range1_High]])</f>
        <v>0.18150500000000003</v>
      </c>
      <c r="AH2284">
        <v>1</v>
      </c>
    </row>
    <row r="2285" spans="1:34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tr" cm="1">
        <f t="array" ref="U2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mA</v>
      </c>
      <c r="V2285" t="str" cm="1">
        <f t="array" ref="V2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  <c r="AF2285">
        <f>AVERAGE(Table1[[#This Row],[Range2_Low]:[Range2_High]])</f>
        <v>3.0049999999999999</v>
      </c>
      <c r="AG2285">
        <f>AVERAGE(Table1[[#This Row],[Range1_Low]:[Range1_High]])</f>
        <v>0.18150500000000003</v>
      </c>
      <c r="AH2285">
        <v>1</v>
      </c>
    </row>
    <row r="2286" spans="1:34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tr" cm="1">
        <f t="array" ref="U2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6" t="str" cm="1">
        <f t="array" ref="V2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  <c r="AF2286">
        <f>AVERAGE(Table1[[#This Row],[Range2_Low]:[Range2_High]])</f>
        <v>20</v>
      </c>
      <c r="AG2286">
        <f>AVERAGE(Table1[[#This Row],[Range1_Low]:[Range1_High]])</f>
        <v>0.18150500000000003</v>
      </c>
      <c r="AH2286">
        <v>1</v>
      </c>
    </row>
    <row r="2287" spans="1:34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tr" cm="1">
        <f t="array" ref="U2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mA</v>
      </c>
      <c r="V2287" t="str" cm="1">
        <f t="array" ref="V2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  <c r="AF2287">
        <f>AVERAGE(Table1[[#This Row],[Range2_Low]:[Range2_High]])</f>
        <v>7.5049999999999999</v>
      </c>
      <c r="AG2287">
        <f>AVERAGE(Table1[[#This Row],[Range1_Low]:[Range1_High]])</f>
        <v>0.18150500000000003</v>
      </c>
      <c r="AH2287">
        <v>1</v>
      </c>
    </row>
    <row r="2288" spans="1:34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tr" cm="1">
        <f t="array" ref="U2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8" t="str" cm="1">
        <f t="array" ref="V2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  <c r="AF2288">
        <f>AVERAGE(Table1[[#This Row],[Range2_Low]:[Range2_High]])</f>
        <v>30.005000000000003</v>
      </c>
      <c r="AG2288">
        <f>AVERAGE(Table1[[#This Row],[Range1_Low]:[Range1_High]])</f>
        <v>0.18150500000000003</v>
      </c>
      <c r="AH2288">
        <v>1</v>
      </c>
    </row>
    <row r="2289" spans="1:34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tr" cm="1">
        <f t="array" ref="U2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mA</v>
      </c>
      <c r="V2289" t="str" cm="1">
        <f t="array" ref="V2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  <c r="AF2289">
        <f>AVERAGE(Table1[[#This Row],[Range2_Low]:[Range2_High]])</f>
        <v>1.5005000000000001E-2</v>
      </c>
      <c r="AG2289">
        <f>AVERAGE(Table1[[#This Row],[Range1_Low]:[Range1_High]])</f>
        <v>0.18150500000000003</v>
      </c>
      <c r="AH2289">
        <v>1</v>
      </c>
    </row>
    <row r="2290" spans="1:34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tr" cm="1">
        <f t="array" ref="U2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2290" t="str" cm="1">
        <f t="array" ref="V2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  <c r="AF2290">
        <f>AVERAGE(Table1[[#This Row],[Range2_Low]:[Range2_High]])</f>
        <v>3.2504999999999999E-2</v>
      </c>
      <c r="AG2290">
        <f>AVERAGE(Table1[[#This Row],[Range1_Low]:[Range1_High]])</f>
        <v>0.18150500000000003</v>
      </c>
      <c r="AH2290">
        <v>1</v>
      </c>
    </row>
    <row r="2291" spans="1:34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tr" cm="1">
        <f t="array" ref="U2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1" t="str" cm="1">
        <f t="array" ref="V2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  <c r="AF2291">
        <f>AVERAGE(Table1[[#This Row],[Range2_Low]:[Range2_High]])</f>
        <v>30.005000000000003</v>
      </c>
      <c r="AG2291">
        <f>AVERAGE(Table1[[#This Row],[Range1_Low]:[Range1_High]])</f>
        <v>0.18150500000000003</v>
      </c>
      <c r="AH2291">
        <v>1</v>
      </c>
    </row>
    <row r="2292" spans="1:34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tr" cm="1">
        <f t="array" ref="U2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mA</v>
      </c>
      <c r="V2292" t="str" cm="1">
        <f t="array" ref="V2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  <c r="AF2292">
        <f>AVERAGE(Table1[[#This Row],[Range2_Low]:[Range2_High]])</f>
        <v>7.5049999999999999</v>
      </c>
      <c r="AG2292">
        <f>AVERAGE(Table1[[#This Row],[Range1_Low]:[Range1_High]])</f>
        <v>0.18150500000000003</v>
      </c>
      <c r="AH2292">
        <v>1</v>
      </c>
    </row>
    <row r="2293" spans="1:34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tr" cm="1">
        <f t="array" ref="U2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mA</v>
      </c>
      <c r="V2293" t="str" cm="1">
        <f t="array" ref="V2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mA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  <c r="AF2293">
        <f>AVERAGE(Table1[[#This Row],[Range2_Low]:[Range2_High]])</f>
        <v>1.5005000000000001E-2</v>
      </c>
      <c r="AG2293">
        <f>AVERAGE(Table1[[#This Row],[Range1_Low]:[Range1_High]])</f>
        <v>0.18150500000000003</v>
      </c>
      <c r="AH2293">
        <v>1</v>
      </c>
    </row>
    <row r="2294" spans="1:34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tr" cm="1">
        <f t="array" ref="U2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2294" t="str" cm="1">
        <f t="array" ref="V2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mA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  <c r="AF2294">
        <f>AVERAGE(Table1[[#This Row],[Range2_Low]:[Range2_High]])</f>
        <v>0.522505</v>
      </c>
      <c r="AG2294">
        <f>AVERAGE(Table1[[#This Row],[Range1_Low]:[Range1_High]])</f>
        <v>0.18150500000000003</v>
      </c>
      <c r="AH2294">
        <v>1</v>
      </c>
    </row>
    <row r="2295" spans="1:34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tr" cm="1">
        <f t="array" ref="U2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5" t="str" cm="1">
        <f t="array" ref="V2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  <c r="AF2295">
        <f>AVERAGE(Table1[[#This Row],[Range2_Low]:[Range2_High]])</f>
        <v>20</v>
      </c>
      <c r="AG2295">
        <f>AVERAGE(Table1[[#This Row],[Range1_Low]:[Range1_High]])</f>
        <v>0.18150500000000003</v>
      </c>
      <c r="AH2295">
        <v>1</v>
      </c>
    </row>
    <row r="2296" spans="1:34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tr" cm="1">
        <f t="array" ref="U2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mA</v>
      </c>
      <c r="V2296" t="str" cm="1">
        <f t="array" ref="V2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mA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  <c r="AF2296">
        <f>AVERAGE(Table1[[#This Row],[Range2_Low]:[Range2_High]])</f>
        <v>3.0049999999999999</v>
      </c>
      <c r="AG2296">
        <f>AVERAGE(Table1[[#This Row],[Range1_Low]:[Range1_High]])</f>
        <v>0.18150500000000003</v>
      </c>
      <c r="AH2296">
        <v>1</v>
      </c>
    </row>
    <row r="2297" spans="1:34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tr" cm="1">
        <f t="array" ref="U2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297" s="106" t="str" cm="1">
        <f t="array" ref="V2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  <c r="AF2297">
        <f>AVERAGE(Table1[[#This Row],[Range2_Low]:[Range2_High]])</f>
        <v>20</v>
      </c>
      <c r="AG2297">
        <f>AVERAGE(Table1[[#This Row],[Range1_Low]:[Range1_High]])</f>
        <v>0.18150500000000003</v>
      </c>
      <c r="AH2297">
        <v>1</v>
      </c>
    </row>
    <row r="2298" spans="1:34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tr" cm="1">
        <f t="array" ref="U2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8" t="str" cm="1">
        <f t="array" ref="V2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  <c r="AF2298">
        <f>AVERAGE(Table1[[#This Row],[Range2_Low]:[Range2_High]])</f>
        <v>1.5005000000000001E-2</v>
      </c>
      <c r="AG2298">
        <f>AVERAGE(Table1[[#This Row],[Range1_Low]:[Range1_High]])</f>
        <v>0.18150500000000003</v>
      </c>
      <c r="AH2298">
        <v>1</v>
      </c>
    </row>
    <row r="2299" spans="1:34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tr" cm="1">
        <f t="array" ref="U2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9" t="str" cm="1">
        <f t="array" ref="V2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  <c r="AF2299">
        <f>AVERAGE(Table1[[#This Row],[Range2_Low]:[Range2_High]])</f>
        <v>3.0049999999999999</v>
      </c>
      <c r="AG2299">
        <f>AVERAGE(Table1[[#This Row],[Range1_Low]:[Range1_High]])</f>
        <v>0.18150500000000003</v>
      </c>
      <c r="AH2299">
        <v>1</v>
      </c>
    </row>
    <row r="2300" spans="1:34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tr" cm="1">
        <f t="array" ref="U2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0" t="str" cm="1">
        <f t="array" ref="V2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  <c r="AF2300">
        <f>AVERAGE(Table1[[#This Row],[Range2_Low]:[Range2_High]])</f>
        <v>3.2504999999999999E-2</v>
      </c>
      <c r="AG2300">
        <f>AVERAGE(Table1[[#This Row],[Range1_Low]:[Range1_High]])</f>
        <v>0.18150500000000003</v>
      </c>
      <c r="AH2300">
        <v>1</v>
      </c>
    </row>
    <row r="2301" spans="1:34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tr" cm="1">
        <f t="array" ref="U2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301" s="106" t="str" cm="1">
        <f t="array" ref="V2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  <c r="AF2301">
        <f>AVERAGE(Table1[[#This Row],[Range2_Low]:[Range2_High]])</f>
        <v>30.005000000000003</v>
      </c>
      <c r="AG2301">
        <f>AVERAGE(Table1[[#This Row],[Range1_Low]:[Range1_High]])</f>
        <v>0.18150500000000003</v>
      </c>
      <c r="AH2301">
        <v>1</v>
      </c>
    </row>
    <row r="2302" spans="1:34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tr" cm="1">
        <f t="array" ref="U2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2" t="str" cm="1">
        <f t="array" ref="V2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  <c r="AF2302">
        <f>AVERAGE(Table1[[#This Row],[Range2_Low]:[Range2_High]])</f>
        <v>0.522505</v>
      </c>
      <c r="AG2302">
        <f>AVERAGE(Table1[[#This Row],[Range1_Low]:[Range1_High]])</f>
        <v>0.18150500000000003</v>
      </c>
      <c r="AH2302">
        <v>1</v>
      </c>
    </row>
    <row r="2303" spans="1:34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tr" cm="1">
        <f t="array" ref="U2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3" t="str" cm="1">
        <f t="array" ref="V2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  <c r="AF2303">
        <f>AVERAGE(Table1[[#This Row],[Range2_Low]:[Range2_High]])</f>
        <v>7.5049999999999999</v>
      </c>
      <c r="AG2303">
        <f>AVERAGE(Table1[[#This Row],[Range1_Low]:[Range1_High]])</f>
        <v>0.18150500000000003</v>
      </c>
      <c r="AH2303">
        <v>1</v>
      </c>
    </row>
    <row r="2304" spans="1:34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tr" cm="1">
        <f t="array" ref="U2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04" s="106" t="str" cm="1">
        <f t="array" ref="V2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  <c r="AF2304">
        <f>AVERAGE(Table1[[#This Row],[Range2_Low]:[Range2_High]])</f>
        <v>3.0049999999999999</v>
      </c>
      <c r="AG2304">
        <f>AVERAGE(Table1[[#This Row],[Range1_Low]:[Range1_High]])</f>
        <v>0.715005</v>
      </c>
      <c r="AH2304">
        <v>1</v>
      </c>
    </row>
    <row r="2305" spans="1:34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tr" cm="1">
        <f t="array" ref="U2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05" t="str" cm="1">
        <f t="array" ref="V2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  <c r="AF2305">
        <f>AVERAGE(Table1[[#This Row],[Range2_Low]:[Range2_High]])</f>
        <v>0.522505</v>
      </c>
      <c r="AG2305">
        <f>AVERAGE(Table1[[#This Row],[Range1_Low]:[Range1_High]])</f>
        <v>0.715005</v>
      </c>
      <c r="AH2305">
        <v>1</v>
      </c>
    </row>
    <row r="2306" spans="1:34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tr" cm="1">
        <f t="array" ref="U2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6" t="str" cm="1">
        <f t="array" ref="V2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  <c r="AF2306">
        <f>AVERAGE(Table1[[#This Row],[Range2_Low]:[Range2_High]])</f>
        <v>10.004999999999999</v>
      </c>
      <c r="AG2306">
        <f>AVERAGE(Table1[[#This Row],[Range1_Low]:[Range1_High]])</f>
        <v>0.715005</v>
      </c>
      <c r="AH2306">
        <v>1</v>
      </c>
    </row>
    <row r="2307" spans="1:34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tr" cm="1">
        <f t="array" ref="U2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07" t="str" cm="1">
        <f t="array" ref="V2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  <c r="AF2307">
        <f>AVERAGE(Table1[[#This Row],[Range2_Low]:[Range2_High]])</f>
        <v>2.7505000000000002E-2</v>
      </c>
      <c r="AG2307">
        <f>AVERAGE(Table1[[#This Row],[Range1_Low]:[Range1_High]])</f>
        <v>0.715005</v>
      </c>
      <c r="AH2307">
        <v>1</v>
      </c>
    </row>
    <row r="2308" spans="1:34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tr" cm="1">
        <f t="array" ref="U2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8" t="str" cm="1">
        <f t="array" ref="V2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  <c r="AF2308">
        <f>AVERAGE(Table1[[#This Row],[Range2_Low]:[Range2_High]])</f>
        <v>7.5</v>
      </c>
      <c r="AG2308">
        <f>AVERAGE(Table1[[#This Row],[Range1_Low]:[Range1_High]])</f>
        <v>0.715005</v>
      </c>
      <c r="AH2308">
        <v>1</v>
      </c>
    </row>
    <row r="2309" spans="1:34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tr" cm="1">
        <f t="array" ref="U2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9" t="str" cm="1">
        <f t="array" ref="V2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  <c r="AF2309">
        <f>AVERAGE(Table1[[#This Row],[Range2_Low]:[Range2_High]])</f>
        <v>10.004999999999999</v>
      </c>
      <c r="AG2309">
        <f>AVERAGE(Table1[[#This Row],[Range1_Low]:[Range1_High]])</f>
        <v>0.715005</v>
      </c>
      <c r="AH2309">
        <v>1</v>
      </c>
    </row>
    <row r="2310" spans="1:34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tr" cm="1">
        <f t="array" ref="U2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0" s="106" t="str" cm="1">
        <f t="array" ref="V2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  <c r="AF2310">
        <f>AVERAGE(Table1[[#This Row],[Range2_Low]:[Range2_High]])</f>
        <v>3.0049999999999999</v>
      </c>
      <c r="AG2310">
        <f>AVERAGE(Table1[[#This Row],[Range1_Low]:[Range1_High]])</f>
        <v>0.715005</v>
      </c>
      <c r="AH2310">
        <v>1</v>
      </c>
    </row>
    <row r="2311" spans="1:34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tr" cm="1">
        <f t="array" ref="U2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11" t="str" cm="1">
        <f t="array" ref="V2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  <c r="AF2311">
        <f>AVERAGE(Table1[[#This Row],[Range2_Low]:[Range2_High]])</f>
        <v>2.7505000000000002E-2</v>
      </c>
      <c r="AG2311">
        <f>AVERAGE(Table1[[#This Row],[Range1_Low]:[Range1_High]])</f>
        <v>0.715005</v>
      </c>
      <c r="AH2311">
        <v>1</v>
      </c>
    </row>
    <row r="2312" spans="1:34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tr" cm="1">
        <f t="array" ref="U2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12" t="str" cm="1">
        <f t="array" ref="V2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  <c r="AF2312">
        <f>AVERAGE(Table1[[#This Row],[Range2_Low]:[Range2_High]])</f>
        <v>0.522505</v>
      </c>
      <c r="AG2312">
        <f>AVERAGE(Table1[[#This Row],[Range1_Low]:[Range1_High]])</f>
        <v>0.715005</v>
      </c>
      <c r="AH2312">
        <v>1</v>
      </c>
    </row>
    <row r="2313" spans="1:34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tr" cm="1">
        <f t="array" ref="U2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3" t="str" cm="1">
        <f t="array" ref="V2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  <c r="AF2313">
        <f>AVERAGE(Table1[[#This Row],[Range2_Low]:[Range2_High]])</f>
        <v>7.5</v>
      </c>
      <c r="AG2313">
        <f>AVERAGE(Table1[[#This Row],[Range1_Low]:[Range1_High]])</f>
        <v>0.715005</v>
      </c>
      <c r="AH2313">
        <v>1</v>
      </c>
    </row>
    <row r="2314" spans="1:34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tr" cm="1">
        <f t="array" ref="U2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4" s="106" t="str" cm="1">
        <f t="array" ref="V2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  <c r="AF2314">
        <f>AVERAGE(Table1[[#This Row],[Range2_Low]:[Range2_High]])</f>
        <v>3.0049999999999999</v>
      </c>
      <c r="AG2314">
        <f>AVERAGE(Table1[[#This Row],[Range1_Low]:[Range1_High]])</f>
        <v>0.715005</v>
      </c>
      <c r="AH2314">
        <v>1</v>
      </c>
    </row>
    <row r="2315" spans="1:34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tr" cm="1">
        <f t="array" ref="U2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V2315" s="106" t="str" cm="1">
        <f t="array" ref="V2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mA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  <c r="AF2315">
        <f>AVERAGE(Table1[[#This Row],[Range2_Low]:[Range2_High]])</f>
        <v>2.7505000000000002E-2</v>
      </c>
      <c r="AG2315">
        <f>AVERAGE(Table1[[#This Row],[Range1_Low]:[Range1_High]])</f>
        <v>0.715005</v>
      </c>
      <c r="AH2315">
        <v>1</v>
      </c>
    </row>
    <row r="2316" spans="1:34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tr" cm="1">
        <f t="array" ref="U2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mA</v>
      </c>
      <c r="V2316" t="str" cm="1">
        <f t="array" ref="V2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  <c r="AF2316">
        <f>AVERAGE(Table1[[#This Row],[Range2_Low]:[Range2_High]])</f>
        <v>0.522505</v>
      </c>
      <c r="AG2316">
        <f>AVERAGE(Table1[[#This Row],[Range1_Low]:[Range1_High]])</f>
        <v>0.715005</v>
      </c>
      <c r="AH2316">
        <v>1</v>
      </c>
    </row>
    <row r="2317" spans="1:34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tr" cm="1">
        <f t="array" ref="U2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7" t="str" cm="1">
        <f t="array" ref="V2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  <c r="AF2317">
        <f>AVERAGE(Table1[[#This Row],[Range2_Low]:[Range2_High]])</f>
        <v>7.5</v>
      </c>
      <c r="AG2317">
        <f>AVERAGE(Table1[[#This Row],[Range1_Low]:[Range1_High]])</f>
        <v>0.715005</v>
      </c>
      <c r="AH2317">
        <v>1</v>
      </c>
    </row>
    <row r="2318" spans="1:34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tr" cm="1">
        <f t="array" ref="U2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8" t="str" cm="1">
        <f t="array" ref="V2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  <c r="AF2318">
        <f>AVERAGE(Table1[[#This Row],[Range2_Low]:[Range2_High]])</f>
        <v>10.004999999999999</v>
      </c>
      <c r="AG2318">
        <f>AVERAGE(Table1[[#This Row],[Range1_Low]:[Range1_High]])</f>
        <v>0.715005</v>
      </c>
      <c r="AH2318">
        <v>1</v>
      </c>
    </row>
    <row r="2319" spans="1:34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tr" cm="1">
        <f t="array" ref="U2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19" t="str" cm="1">
        <f t="array" ref="V2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  <c r="AF2319">
        <f>AVERAGE(Table1[[#This Row],[Range2_Low]:[Range2_High]])</f>
        <v>7.5</v>
      </c>
      <c r="AG2319">
        <f>AVERAGE(Table1[[#This Row],[Range1_Low]:[Range1_High]])</f>
        <v>0.715005</v>
      </c>
      <c r="AH2319">
        <v>1</v>
      </c>
    </row>
    <row r="2320" spans="1:34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06" t="str" cm="1">
        <f t="array" ref="U2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mA</v>
      </c>
      <c r="V2320" t="str" cm="1">
        <f t="array" ref="V2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  <c r="AF2320">
        <f>AVERAGE(Table1[[#This Row],[Range2_Low]:[Range2_High]])</f>
        <v>3.0049999999999999</v>
      </c>
      <c r="AG2320">
        <f>AVERAGE(Table1[[#This Row],[Range1_Low]:[Range1_High]])</f>
        <v>0.715005</v>
      </c>
      <c r="AH2320">
        <v>1</v>
      </c>
    </row>
    <row r="2321" spans="1:34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06" t="str" cm="1">
        <f t="array" ref="U2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21" t="str" cm="1">
        <f t="array" ref="V2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  <c r="AF2321">
        <f>AVERAGE(Table1[[#This Row],[Range2_Low]:[Range2_High]])</f>
        <v>2.7505000000000002E-2</v>
      </c>
      <c r="AG2321">
        <f>AVERAGE(Table1[[#This Row],[Range1_Low]:[Range1_High]])</f>
        <v>0.715005</v>
      </c>
      <c r="AH2321">
        <v>1</v>
      </c>
    </row>
    <row r="2322" spans="1:34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tr" cm="1">
        <f t="array" ref="U2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22" t="str" cm="1">
        <f t="array" ref="V2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  <c r="AF2322">
        <f>AVERAGE(Table1[[#This Row],[Range2_Low]:[Range2_High]])</f>
        <v>10.004999999999999</v>
      </c>
      <c r="AG2322">
        <f>AVERAGE(Table1[[#This Row],[Range1_Low]:[Range1_High]])</f>
        <v>0.715005</v>
      </c>
      <c r="AH2322">
        <v>1</v>
      </c>
    </row>
    <row r="2323" spans="1:34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tr" cm="1">
        <f t="array" ref="U2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23" t="str" cm="1">
        <f t="array" ref="V2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  <c r="AF2323">
        <f>AVERAGE(Table1[[#This Row],[Range2_Low]:[Range2_High]])</f>
        <v>0.522505</v>
      </c>
      <c r="AG2323">
        <f>AVERAGE(Table1[[#This Row],[Range1_Low]:[Range1_High]])</f>
        <v>0.715005</v>
      </c>
      <c r="AH2323">
        <v>1</v>
      </c>
    </row>
    <row r="2324" spans="1:34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tr" cm="1">
        <f t="array" ref="U2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4" t="str" cm="1">
        <f t="array" ref="V2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  <c r="AF2324">
        <f>AVERAGE(Table1[[#This Row],[Range2_Low]:[Range2_High]])</f>
        <v>2.7505000000000002E-2</v>
      </c>
      <c r="AG2324">
        <f>AVERAGE(Table1[[#This Row],[Range1_Low]:[Range1_High]])</f>
        <v>0.715005</v>
      </c>
      <c r="AH2324">
        <v>1</v>
      </c>
    </row>
    <row r="2325" spans="1:34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tr" cm="1">
        <f t="array" ref="U2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5" t="str" cm="1">
        <f t="array" ref="V2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  <c r="AF2325">
        <f>AVERAGE(Table1[[#This Row],[Range2_Low]:[Range2_High]])</f>
        <v>10.004999999999999</v>
      </c>
      <c r="AG2325">
        <f>AVERAGE(Table1[[#This Row],[Range1_Low]:[Range1_High]])</f>
        <v>0.715005</v>
      </c>
      <c r="AH2325">
        <v>1</v>
      </c>
    </row>
    <row r="2326" spans="1:34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tr" cm="1">
        <f t="array" ref="U2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6" t="str" cm="1">
        <f t="array" ref="V2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  <c r="AF2326">
        <f>AVERAGE(Table1[[#This Row],[Range2_Low]:[Range2_High]])</f>
        <v>7.5</v>
      </c>
      <c r="AG2326">
        <f>AVERAGE(Table1[[#This Row],[Range1_Low]:[Range1_High]])</f>
        <v>0.715005</v>
      </c>
      <c r="AH2326">
        <v>1</v>
      </c>
    </row>
    <row r="2327" spans="1:34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tr" cm="1">
        <f t="array" ref="U2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7" t="str" cm="1">
        <f t="array" ref="V2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  <c r="AF2327">
        <f>AVERAGE(Table1[[#This Row],[Range2_Low]:[Range2_High]])</f>
        <v>3.0049999999999999</v>
      </c>
      <c r="AG2327">
        <f>AVERAGE(Table1[[#This Row],[Range1_Low]:[Range1_High]])</f>
        <v>0.715005</v>
      </c>
      <c r="AH2327">
        <v>1</v>
      </c>
    </row>
    <row r="2328" spans="1:34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tr" cm="1">
        <f t="array" ref="U2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8" t="str" cm="1">
        <f t="array" ref="V2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  <c r="AF2328">
        <f>AVERAGE(Table1[[#This Row],[Range2_Low]:[Range2_High]])</f>
        <v>0.522505</v>
      </c>
      <c r="AG2328">
        <f>AVERAGE(Table1[[#This Row],[Range1_Low]:[Range1_High]])</f>
        <v>0.715005</v>
      </c>
      <c r="AH2328">
        <v>1</v>
      </c>
    </row>
    <row r="2329" spans="1:34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tr" cm="1">
        <f t="array" ref="U2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29" t="str" cm="1">
        <f t="array" ref="V2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  <c r="AF2329">
        <f>AVERAGE(Table1[[#This Row],[Range2_Low]:[Range2_High]])</f>
        <v>10.004999999999999</v>
      </c>
      <c r="AG2329">
        <f>AVERAGE(Table1[[#This Row],[Range1_Low]:[Range1_High]])</f>
        <v>2.0505</v>
      </c>
      <c r="AH2329">
        <v>1</v>
      </c>
    </row>
    <row r="2330" spans="1:34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tr" cm="1">
        <f t="array" ref="U2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0" t="str" cm="1">
        <f t="array" ref="V2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  <c r="AF2330">
        <f>AVERAGE(Table1[[#This Row],[Range2_Low]:[Range2_High]])</f>
        <v>0.522505</v>
      </c>
      <c r="AG2330">
        <f>AVERAGE(Table1[[#This Row],[Range1_Low]:[Range1_High]])</f>
        <v>2.0505</v>
      </c>
      <c r="AH2330">
        <v>1</v>
      </c>
    </row>
    <row r="2331" spans="1:34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tr" cm="1">
        <f t="array" ref="U2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1" t="str" cm="1">
        <f t="array" ref="V2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  <c r="AF2331">
        <f>AVERAGE(Table1[[#This Row],[Range2_Low]:[Range2_High]])</f>
        <v>7.5</v>
      </c>
      <c r="AG2331">
        <f>AVERAGE(Table1[[#This Row],[Range1_Low]:[Range1_High]])</f>
        <v>2.0505</v>
      </c>
      <c r="AH2331">
        <v>1</v>
      </c>
    </row>
    <row r="2332" spans="1:34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tr" cm="1">
        <f t="array" ref="U2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2" t="str" cm="1">
        <f t="array" ref="V2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  <c r="AF2332">
        <f>AVERAGE(Table1[[#This Row],[Range2_Low]:[Range2_High]])</f>
        <v>3.0049999999999999</v>
      </c>
      <c r="AG2332">
        <f>AVERAGE(Table1[[#This Row],[Range1_Low]:[Range1_High]])</f>
        <v>2.0505</v>
      </c>
      <c r="AH2332">
        <v>1</v>
      </c>
    </row>
    <row r="2333" spans="1:34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tr" cm="1">
        <f t="array" ref="U2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3" t="str" cm="1">
        <f t="array" ref="V2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  <c r="AF2333">
        <f>AVERAGE(Table1[[#This Row],[Range2_Low]:[Range2_High]])</f>
        <v>2.7505000000000002E-2</v>
      </c>
      <c r="AG2333">
        <f>AVERAGE(Table1[[#This Row],[Range1_Low]:[Range1_High]])</f>
        <v>2.0505</v>
      </c>
      <c r="AH2333">
        <v>1</v>
      </c>
    </row>
    <row r="2334" spans="1:34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tr" cm="1">
        <f t="array" ref="U2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4" t="str" cm="1">
        <f t="array" ref="V2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  <c r="AF2334">
        <f>AVERAGE(Table1[[#This Row],[Range2_Low]:[Range2_High]])</f>
        <v>7.5</v>
      </c>
      <c r="AG2334">
        <f>AVERAGE(Table1[[#This Row],[Range1_Low]:[Range1_High]])</f>
        <v>2.0505</v>
      </c>
      <c r="AH2334">
        <v>1</v>
      </c>
    </row>
    <row r="2335" spans="1:34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tr" cm="1">
        <f t="array" ref="U2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5" t="str" cm="1">
        <f t="array" ref="V2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  <c r="AF2335">
        <f>AVERAGE(Table1[[#This Row],[Range2_Low]:[Range2_High]])</f>
        <v>2.7505000000000002E-2</v>
      </c>
      <c r="AG2335">
        <f>AVERAGE(Table1[[#This Row],[Range1_Low]:[Range1_High]])</f>
        <v>2.0505</v>
      </c>
      <c r="AH2335">
        <v>1</v>
      </c>
    </row>
    <row r="2336" spans="1:34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tr" cm="1">
        <f t="array" ref="U2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6" t="str" cm="1">
        <f t="array" ref="V2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  <c r="AF2336">
        <f>AVERAGE(Table1[[#This Row],[Range2_Low]:[Range2_High]])</f>
        <v>10.004999999999999</v>
      </c>
      <c r="AG2336">
        <f>AVERAGE(Table1[[#This Row],[Range1_Low]:[Range1_High]])</f>
        <v>2.0505</v>
      </c>
      <c r="AH2336">
        <v>1</v>
      </c>
    </row>
    <row r="2337" spans="1:34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tr" cm="1">
        <f t="array" ref="U2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7" t="str" cm="1">
        <f t="array" ref="V2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  <c r="AF2337">
        <f>AVERAGE(Table1[[#This Row],[Range2_Low]:[Range2_High]])</f>
        <v>3.0049999999999999</v>
      </c>
      <c r="AG2337">
        <f>AVERAGE(Table1[[#This Row],[Range1_Low]:[Range1_High]])</f>
        <v>2.0505</v>
      </c>
      <c r="AH2337">
        <v>1</v>
      </c>
    </row>
    <row r="2338" spans="1:34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tr" cm="1">
        <f t="array" ref="U2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8" t="str" cm="1">
        <f t="array" ref="V2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  <c r="AF2338">
        <f>AVERAGE(Table1[[#This Row],[Range2_Low]:[Range2_High]])</f>
        <v>0.522505</v>
      </c>
      <c r="AG2338">
        <f>AVERAGE(Table1[[#This Row],[Range1_Low]:[Range1_High]])</f>
        <v>2.0505</v>
      </c>
      <c r="AH2338">
        <v>1</v>
      </c>
    </row>
    <row r="2339" spans="1:34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tr" cm="1">
        <f t="array" ref="U2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9" t="str" cm="1">
        <f t="array" ref="V2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  <c r="AF2339">
        <f>AVERAGE(Table1[[#This Row],[Range2_Low]:[Range2_High]])</f>
        <v>10.004999999999999</v>
      </c>
      <c r="AG2339">
        <f>AVERAGE(Table1[[#This Row],[Range1_Low]:[Range1_High]])</f>
        <v>2.0505</v>
      </c>
      <c r="AH2339">
        <v>1</v>
      </c>
    </row>
    <row r="2340" spans="1:34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tr" cm="1">
        <f t="array" ref="U2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40" t="str" cm="1">
        <f t="array" ref="V2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  <c r="AF2340">
        <f>AVERAGE(Table1[[#This Row],[Range2_Low]:[Range2_High]])</f>
        <v>3.0049999999999999</v>
      </c>
      <c r="AG2340">
        <f>AVERAGE(Table1[[#This Row],[Range1_Low]:[Range1_High]])</f>
        <v>2.0505</v>
      </c>
      <c r="AH2340">
        <v>1</v>
      </c>
    </row>
    <row r="2341" spans="1:34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tr" cm="1">
        <f t="array" ref="U2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41" t="str" cm="1">
        <f t="array" ref="V2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  <c r="AF2341">
        <f>AVERAGE(Table1[[#This Row],[Range2_Low]:[Range2_High]])</f>
        <v>0.522505</v>
      </c>
      <c r="AG2341">
        <f>AVERAGE(Table1[[#This Row],[Range1_Low]:[Range1_High]])</f>
        <v>2.0505</v>
      </c>
      <c r="AH2341">
        <v>1</v>
      </c>
    </row>
    <row r="2342" spans="1:34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tr" cm="1">
        <f t="array" ref="U2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2" t="str" cm="1">
        <f t="array" ref="V2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  <c r="AF2342">
        <f>AVERAGE(Table1[[#This Row],[Range2_Low]:[Range2_High]])</f>
        <v>7.5</v>
      </c>
      <c r="AG2342">
        <f>AVERAGE(Table1[[#This Row],[Range1_Low]:[Range1_High]])</f>
        <v>2.0505</v>
      </c>
      <c r="AH2342">
        <v>1</v>
      </c>
    </row>
    <row r="2343" spans="1:34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tr" cm="1">
        <f t="array" ref="U2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43" t="str" cm="1">
        <f t="array" ref="V2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  <c r="AF2343">
        <f>AVERAGE(Table1[[#This Row],[Range2_Low]:[Range2_High]])</f>
        <v>2.7505000000000002E-2</v>
      </c>
      <c r="AG2343">
        <f>AVERAGE(Table1[[#This Row],[Range1_Low]:[Range1_High]])</f>
        <v>2.0505</v>
      </c>
      <c r="AH2343">
        <v>1</v>
      </c>
    </row>
    <row r="2344" spans="1:34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06" t="str" cm="1">
        <f t="array" ref="U2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44" t="str" cm="1">
        <f t="array" ref="V2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  <c r="AF2344">
        <f>AVERAGE(Table1[[#This Row],[Range2_Low]:[Range2_High]])</f>
        <v>0.522505</v>
      </c>
      <c r="AG2344">
        <f>AVERAGE(Table1[[#This Row],[Range1_Low]:[Range1_High]])</f>
        <v>2.0505</v>
      </c>
      <c r="AH2344">
        <v>1</v>
      </c>
    </row>
    <row r="2345" spans="1:34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tr" cm="1">
        <f t="array" ref="U2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5" t="str" cm="1">
        <f t="array" ref="V2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  <c r="AF2345">
        <f>AVERAGE(Table1[[#This Row],[Range2_Low]:[Range2_High]])</f>
        <v>10.004999999999999</v>
      </c>
      <c r="AG2345">
        <f>AVERAGE(Table1[[#This Row],[Range1_Low]:[Range1_High]])</f>
        <v>2.0505</v>
      </c>
      <c r="AH2345">
        <v>1</v>
      </c>
    </row>
    <row r="2346" spans="1:34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tr" cm="1">
        <f t="array" ref="U2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mA</v>
      </c>
      <c r="V2346" t="str" cm="1">
        <f t="array" ref="V2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  <c r="AF2346">
        <f>AVERAGE(Table1[[#This Row],[Range2_Low]:[Range2_High]])</f>
        <v>3.0049999999999999</v>
      </c>
      <c r="AG2346">
        <f>AVERAGE(Table1[[#This Row],[Range1_Low]:[Range1_High]])</f>
        <v>2.0505</v>
      </c>
      <c r="AH2346">
        <v>1</v>
      </c>
    </row>
    <row r="2347" spans="1:34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06" t="str" cm="1">
        <f t="array" ref="U2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V2347" t="str" cm="1">
        <f t="array" ref="V2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mA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  <c r="AF2347">
        <f>AVERAGE(Table1[[#This Row],[Range2_Low]:[Range2_High]])</f>
        <v>2.7505000000000002E-2</v>
      </c>
      <c r="AG2347">
        <f>AVERAGE(Table1[[#This Row],[Range1_Low]:[Range1_High]])</f>
        <v>2.0505</v>
      </c>
      <c r="AH2347">
        <v>1</v>
      </c>
    </row>
    <row r="2348" spans="1:34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tr" cm="1">
        <f t="array" ref="U2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8" t="str" cm="1">
        <f t="array" ref="V2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  <c r="AF2348">
        <f>AVERAGE(Table1[[#This Row],[Range2_Low]:[Range2_High]])</f>
        <v>7.5</v>
      </c>
      <c r="AG2348">
        <f>AVERAGE(Table1[[#This Row],[Range1_Low]:[Range1_High]])</f>
        <v>2.0505</v>
      </c>
      <c r="AH2348">
        <v>1</v>
      </c>
    </row>
    <row r="2349" spans="1:34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tr" cm="1">
        <f t="array" ref="U2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49" t="str" cm="1">
        <f t="array" ref="V2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  <c r="AF2349">
        <f>AVERAGE(Table1[[#This Row],[Range2_Low]:[Range2_High]])</f>
        <v>3.0049999999999999</v>
      </c>
      <c r="AG2349">
        <f>AVERAGE(Table1[[#This Row],[Range1_Low]:[Range1_High]])</f>
        <v>2.0505</v>
      </c>
      <c r="AH2349">
        <v>1</v>
      </c>
    </row>
    <row r="2350" spans="1:34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tr" cm="1">
        <f t="array" ref="U2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0" t="str" cm="1">
        <f t="array" ref="V2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  <c r="AF2350">
        <f>AVERAGE(Table1[[#This Row],[Range2_Low]:[Range2_High]])</f>
        <v>10.004999999999999</v>
      </c>
      <c r="AG2350">
        <f>AVERAGE(Table1[[#This Row],[Range1_Low]:[Range1_High]])</f>
        <v>2.0505</v>
      </c>
      <c r="AH2350">
        <v>1</v>
      </c>
    </row>
    <row r="2351" spans="1:34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tr" cm="1">
        <f t="array" ref="U2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1" t="str" cm="1">
        <f t="array" ref="V2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  <c r="AF2351">
        <f>AVERAGE(Table1[[#This Row],[Range2_Low]:[Range2_High]])</f>
        <v>0.522505</v>
      </c>
      <c r="AG2351">
        <f>AVERAGE(Table1[[#This Row],[Range1_Low]:[Range1_High]])</f>
        <v>2.0505</v>
      </c>
      <c r="AH2351">
        <v>1</v>
      </c>
    </row>
    <row r="2352" spans="1:34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tr" cm="1">
        <f t="array" ref="U2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2" t="str" cm="1">
        <f t="array" ref="V2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  <c r="AF2352">
        <f>AVERAGE(Table1[[#This Row],[Range2_Low]:[Range2_High]])</f>
        <v>7.5</v>
      </c>
      <c r="AG2352">
        <f>AVERAGE(Table1[[#This Row],[Range1_Low]:[Range1_High]])</f>
        <v>2.0505</v>
      </c>
      <c r="AH2352">
        <v>1</v>
      </c>
    </row>
    <row r="2353" spans="1:34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tr" cm="1">
        <f t="array" ref="U2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3" t="str" cm="1">
        <f t="array" ref="V2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  <c r="AF2353">
        <f>AVERAGE(Table1[[#This Row],[Range2_Low]:[Range2_High]])</f>
        <v>2.7505000000000002E-2</v>
      </c>
      <c r="AG2353">
        <f>AVERAGE(Table1[[#This Row],[Range1_Low]:[Range1_High]])</f>
        <v>2.0505</v>
      </c>
      <c r="AH2353">
        <v>1</v>
      </c>
    </row>
    <row r="2354" spans="1:34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tr" cm="1">
        <f t="array" ref="U2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54" t="str" cm="1">
        <f t="array" ref="V2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  <c r="AF2354">
        <f>AVERAGE(Table1[[#This Row],[Range2_Low]:[Range2_High]])</f>
        <v>7.2505E-2</v>
      </c>
      <c r="AG2354">
        <f>AVERAGE(Table1[[#This Row],[Range1_Low]:[Range1_High]])</f>
        <v>7.0004999999999997</v>
      </c>
      <c r="AH2354">
        <v>1</v>
      </c>
    </row>
    <row r="2355" spans="1:34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tr" cm="1">
        <f t="array" ref="U2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5" s="106" t="str" cm="1">
        <f t="array" ref="V2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  <c r="AF2355">
        <f>AVERAGE(Table1[[#This Row],[Range2_Low]:[Range2_High]])</f>
        <v>0.55000500000000008</v>
      </c>
      <c r="AG2355">
        <f>AVERAGE(Table1[[#This Row],[Range1_Low]:[Range1_High]])</f>
        <v>7.0004999999999997</v>
      </c>
      <c r="AH2355">
        <v>1</v>
      </c>
    </row>
    <row r="2356" spans="1:34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tr" cm="1">
        <f t="array" ref="U2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6" t="str" cm="1">
        <f t="array" ref="V2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  <c r="AF2356">
        <f>AVERAGE(Table1[[#This Row],[Range2_Low]:[Range2_High]])</f>
        <v>5.0049999999999999</v>
      </c>
      <c r="AG2356">
        <f>AVERAGE(Table1[[#This Row],[Range1_Low]:[Range1_High]])</f>
        <v>7.0004999999999997</v>
      </c>
      <c r="AH2356">
        <v>1</v>
      </c>
    </row>
    <row r="2357" spans="1:34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tr" cm="1">
        <f t="array" ref="U2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7" t="str" cm="1">
        <f t="array" ref="V2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  <c r="AF2357">
        <f>AVERAGE(Table1[[#This Row],[Range2_Low]:[Range2_High]])</f>
        <v>3</v>
      </c>
      <c r="AG2357">
        <f>AVERAGE(Table1[[#This Row],[Range1_Low]:[Range1_High]])</f>
        <v>7.0004999999999997</v>
      </c>
      <c r="AH2357">
        <v>1</v>
      </c>
    </row>
    <row r="2358" spans="1:34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tr" cm="1">
        <f t="array" ref="U2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8" t="str" cm="1">
        <f t="array" ref="V2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  <c r="AF2358">
        <f>AVERAGE(Table1[[#This Row],[Range2_Low]:[Range2_High]])</f>
        <v>3</v>
      </c>
      <c r="AG2358">
        <f>AVERAGE(Table1[[#This Row],[Range1_Low]:[Range1_High]])</f>
        <v>7.0004999999999997</v>
      </c>
      <c r="AH2358">
        <v>1</v>
      </c>
    </row>
    <row r="2359" spans="1:34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tr" cm="1">
        <f t="array" ref="U2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9" s="106" t="str" cm="1">
        <f t="array" ref="V2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  <c r="AF2359">
        <f>AVERAGE(Table1[[#This Row],[Range2_Low]:[Range2_High]])</f>
        <v>0.55000500000000008</v>
      </c>
      <c r="AG2359">
        <f>AVERAGE(Table1[[#This Row],[Range1_Low]:[Range1_High]])</f>
        <v>7.0004999999999997</v>
      </c>
      <c r="AH2359">
        <v>1</v>
      </c>
    </row>
    <row r="2360" spans="1:34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tr" cm="1">
        <f t="array" ref="U2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0" t="str" cm="1">
        <f t="array" ref="V2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  <c r="AF2360">
        <f>AVERAGE(Table1[[#This Row],[Range2_Low]:[Range2_High]])</f>
        <v>5.0049999999999999</v>
      </c>
      <c r="AG2360">
        <f>AVERAGE(Table1[[#This Row],[Range1_Low]:[Range1_High]])</f>
        <v>7.0004999999999997</v>
      </c>
      <c r="AH2360">
        <v>1</v>
      </c>
    </row>
    <row r="2361" spans="1:34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tr" cm="1">
        <f t="array" ref="U2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61" t="str" cm="1">
        <f t="array" ref="V2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  <c r="AF2361">
        <f>AVERAGE(Table1[[#This Row],[Range2_Low]:[Range2_High]])</f>
        <v>7.2505E-2</v>
      </c>
      <c r="AG2361">
        <f>AVERAGE(Table1[[#This Row],[Range1_Low]:[Range1_High]])</f>
        <v>7.0004999999999997</v>
      </c>
      <c r="AH2361">
        <v>1</v>
      </c>
    </row>
    <row r="2362" spans="1:34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tr" cm="1">
        <f t="array" ref="U2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2" t="str" cm="1">
        <f t="array" ref="V2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  <c r="AF2362">
        <f>AVERAGE(Table1[[#This Row],[Range2_Low]:[Range2_High]])</f>
        <v>5.0049999999999999</v>
      </c>
      <c r="AG2362">
        <f>AVERAGE(Table1[[#This Row],[Range1_Low]:[Range1_High]])</f>
        <v>7.0004999999999997</v>
      </c>
      <c r="AH2362">
        <v>1</v>
      </c>
    </row>
    <row r="2363" spans="1:34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tr" cm="1">
        <f t="array" ref="U2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3" t="str" cm="1">
        <f t="array" ref="V2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  <c r="AF2363">
        <f>AVERAGE(Table1[[#This Row],[Range2_Low]:[Range2_High]])</f>
        <v>3</v>
      </c>
      <c r="AG2363">
        <f>AVERAGE(Table1[[#This Row],[Range1_Low]:[Range1_High]])</f>
        <v>7.0004999999999997</v>
      </c>
      <c r="AH2363">
        <v>1</v>
      </c>
    </row>
    <row r="2364" spans="1:34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06" t="str" cm="1">
        <f t="array" ref="U2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V2364" t="str" cm="1">
        <f t="array" ref="V2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  <c r="AF2364">
        <f>AVERAGE(Table1[[#This Row],[Range2_Low]:[Range2_High]])</f>
        <v>0.55000500000000008</v>
      </c>
      <c r="AG2364">
        <f>AVERAGE(Table1[[#This Row],[Range1_Low]:[Range1_High]])</f>
        <v>7.0004999999999997</v>
      </c>
      <c r="AH2364">
        <v>1</v>
      </c>
    </row>
    <row r="2365" spans="1:34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tr" cm="1">
        <f t="array" ref="U2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2365" s="106" t="str" cm="1">
        <f t="array" ref="V2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mA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  <c r="AF2365">
        <f>AVERAGE(Table1[[#This Row],[Range2_Low]:[Range2_High]])</f>
        <v>7.2505E-2</v>
      </c>
      <c r="AG2365">
        <f>AVERAGE(Table1[[#This Row],[Range1_Low]:[Range1_High]])</f>
        <v>7.0004999999999997</v>
      </c>
      <c r="AH2365">
        <v>1</v>
      </c>
    </row>
    <row r="2366" spans="1:34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tr" cm="1">
        <f t="array" ref="U2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6" t="str" cm="1">
        <f t="array" ref="V2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  <c r="AF2366">
        <f>AVERAGE(Table1[[#This Row],[Range2_Low]:[Range2_High]])</f>
        <v>5.0049999999999999</v>
      </c>
      <c r="AG2366">
        <f>AVERAGE(Table1[[#This Row],[Range1_Low]:[Range1_High]])</f>
        <v>7.0004999999999997</v>
      </c>
      <c r="AH2366">
        <v>1</v>
      </c>
    </row>
    <row r="2367" spans="1:34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tr" cm="1">
        <f t="array" ref="U2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67" t="str" cm="1">
        <f t="array" ref="V2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  <c r="AF2367">
        <f>AVERAGE(Table1[[#This Row],[Range2_Low]:[Range2_High]])</f>
        <v>7.2505E-2</v>
      </c>
      <c r="AG2367">
        <f>AVERAGE(Table1[[#This Row],[Range1_Low]:[Range1_High]])</f>
        <v>7.0004999999999997</v>
      </c>
      <c r="AH2367">
        <v>1</v>
      </c>
    </row>
    <row r="2368" spans="1:34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tr" cm="1">
        <f t="array" ref="U2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8" t="str" cm="1">
        <f t="array" ref="V2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  <c r="AF2368">
        <f>AVERAGE(Table1[[#This Row],[Range2_Low]:[Range2_High]])</f>
        <v>3</v>
      </c>
      <c r="AG2368">
        <f>AVERAGE(Table1[[#This Row],[Range1_Low]:[Range1_High]])</f>
        <v>7.0004999999999997</v>
      </c>
      <c r="AH2368">
        <v>1</v>
      </c>
    </row>
    <row r="2369" spans="1:34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tr" cm="1">
        <f t="array" ref="U2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69" t="str" cm="1">
        <f t="array" ref="V2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  <c r="AF2369">
        <f>AVERAGE(Table1[[#This Row],[Range2_Low]:[Range2_High]])</f>
        <v>0.55000500000000008</v>
      </c>
      <c r="AG2369">
        <f>AVERAGE(Table1[[#This Row],[Range1_Low]:[Range1_High]])</f>
        <v>7.0004999999999997</v>
      </c>
      <c r="AH2369">
        <v>1</v>
      </c>
    </row>
    <row r="2370" spans="1:34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tr" cm="1">
        <f t="array" ref="U2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0" t="str" cm="1">
        <f t="array" ref="V2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  <c r="AF2370">
        <f>AVERAGE(Table1[[#This Row],[Range2_Low]:[Range2_High]])</f>
        <v>5.0049999999999999</v>
      </c>
      <c r="AG2370">
        <f>AVERAGE(Table1[[#This Row],[Range1_Low]:[Range1_High]])</f>
        <v>7.0004999999999997</v>
      </c>
      <c r="AH2370">
        <v>1</v>
      </c>
    </row>
    <row r="2371" spans="1:34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tr" cm="1">
        <f t="array" ref="U2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1" t="str" cm="1">
        <f t="array" ref="V2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  <c r="AF2371">
        <f>AVERAGE(Table1[[#This Row],[Range2_Low]:[Range2_High]])</f>
        <v>3</v>
      </c>
      <c r="AG2371">
        <f>AVERAGE(Table1[[#This Row],[Range1_Low]:[Range1_High]])</f>
        <v>7.0004999999999997</v>
      </c>
      <c r="AH2371">
        <v>1</v>
      </c>
    </row>
    <row r="2372" spans="1:34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tr" cm="1">
        <f t="array" ref="U2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2" t="str" cm="1">
        <f t="array" ref="V2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  <c r="AF2372">
        <f>AVERAGE(Table1[[#This Row],[Range2_Low]:[Range2_High]])</f>
        <v>7.2505E-2</v>
      </c>
      <c r="AG2372">
        <f>AVERAGE(Table1[[#This Row],[Range1_Low]:[Range1_High]])</f>
        <v>7.0004999999999997</v>
      </c>
      <c r="AH2372">
        <v>1</v>
      </c>
    </row>
    <row r="2373" spans="1:34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tr" cm="1">
        <f t="array" ref="U2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3" t="str" cm="1">
        <f t="array" ref="V2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  <c r="AF2373">
        <f>AVERAGE(Table1[[#This Row],[Range2_Low]:[Range2_High]])</f>
        <v>0.55000500000000008</v>
      </c>
      <c r="AG2373">
        <f>AVERAGE(Table1[[#This Row],[Range1_Low]:[Range1_High]])</f>
        <v>7.0004999999999997</v>
      </c>
      <c r="AH2373">
        <v>1</v>
      </c>
    </row>
    <row r="2374" spans="1:34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tr" cm="1">
        <f t="array" ref="U2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4" t="str" cm="1">
        <f t="array" ref="V2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  <c r="AF2374">
        <f>AVERAGE(Table1[[#This Row],[Range2_Low]:[Range2_High]])</f>
        <v>0.55000500000000008</v>
      </c>
      <c r="AG2374">
        <f>AVERAGE(Table1[[#This Row],[Range1_Low]:[Range1_High]])</f>
        <v>15.750500000000001</v>
      </c>
      <c r="AH2374">
        <v>1</v>
      </c>
    </row>
    <row r="2375" spans="1:34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tr" cm="1">
        <f t="array" ref="U2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75" t="str" cm="1">
        <f t="array" ref="V2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  <c r="AF2375">
        <f>AVERAGE(Table1[[#This Row],[Range2_Low]:[Range2_High]])</f>
        <v>7.2505E-2</v>
      </c>
      <c r="AG2375">
        <f>AVERAGE(Table1[[#This Row],[Range1_Low]:[Range1_High]])</f>
        <v>15.750500000000001</v>
      </c>
      <c r="AH2375">
        <v>1</v>
      </c>
    </row>
    <row r="2376" spans="1:34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tr" cm="1">
        <f t="array" ref="U2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6" t="str" cm="1">
        <f t="array" ref="V2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  <c r="AF2376">
        <f>AVERAGE(Table1[[#This Row],[Range2_Low]:[Range2_High]])</f>
        <v>5.0049999999999999</v>
      </c>
      <c r="AG2376">
        <f>AVERAGE(Table1[[#This Row],[Range1_Low]:[Range1_High]])</f>
        <v>15.750500000000001</v>
      </c>
      <c r="AH2376">
        <v>1</v>
      </c>
    </row>
    <row r="2377" spans="1:34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tr" cm="1">
        <f t="array" ref="U2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7" t="str" cm="1">
        <f t="array" ref="V2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  <c r="AF2377">
        <f>AVERAGE(Table1[[#This Row],[Range2_Low]:[Range2_High]])</f>
        <v>3</v>
      </c>
      <c r="AG2377">
        <f>AVERAGE(Table1[[#This Row],[Range1_Low]:[Range1_High]])</f>
        <v>15.750500000000001</v>
      </c>
      <c r="AH2377">
        <v>1</v>
      </c>
    </row>
    <row r="2378" spans="1:34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tr" cm="1">
        <f t="array" ref="U2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8" t="str" cm="1">
        <f t="array" ref="V2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  <c r="AF2378">
        <f>AVERAGE(Table1[[#This Row],[Range2_Low]:[Range2_High]])</f>
        <v>3</v>
      </c>
      <c r="AG2378">
        <f>AVERAGE(Table1[[#This Row],[Range1_Low]:[Range1_High]])</f>
        <v>15.750500000000001</v>
      </c>
      <c r="AH2378">
        <v>1</v>
      </c>
    </row>
    <row r="2379" spans="1:34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tr" cm="1">
        <f t="array" ref="U2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9" t="str" cm="1">
        <f t="array" ref="V2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  <c r="AF2379">
        <f>AVERAGE(Table1[[#This Row],[Range2_Low]:[Range2_High]])</f>
        <v>0.55000500000000008</v>
      </c>
      <c r="AG2379">
        <f>AVERAGE(Table1[[#This Row],[Range1_Low]:[Range1_High]])</f>
        <v>15.750500000000001</v>
      </c>
      <c r="AH2379">
        <v>1</v>
      </c>
    </row>
    <row r="2380" spans="1:34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tr" cm="1">
        <f t="array" ref="U2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0" t="str" cm="1">
        <f t="array" ref="V2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  <c r="AF2380">
        <f>AVERAGE(Table1[[#This Row],[Range2_Low]:[Range2_High]])</f>
        <v>7.2505E-2</v>
      </c>
      <c r="AG2380">
        <f>AVERAGE(Table1[[#This Row],[Range1_Low]:[Range1_High]])</f>
        <v>15.750500000000001</v>
      </c>
      <c r="AH2380">
        <v>1</v>
      </c>
    </row>
    <row r="2381" spans="1:34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tr" cm="1">
        <f t="array" ref="U2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1" t="str" cm="1">
        <f t="array" ref="V2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  <c r="AF2381">
        <f>AVERAGE(Table1[[#This Row],[Range2_Low]:[Range2_High]])</f>
        <v>5.0049999999999999</v>
      </c>
      <c r="AG2381">
        <f>AVERAGE(Table1[[#This Row],[Range1_Low]:[Range1_High]])</f>
        <v>15.750500000000001</v>
      </c>
      <c r="AH2381">
        <v>1</v>
      </c>
    </row>
    <row r="2382" spans="1:34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tr" cm="1">
        <f t="array" ref="U2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2" t="str" cm="1">
        <f t="array" ref="V2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  <c r="AF2382">
        <f>AVERAGE(Table1[[#This Row],[Range2_Low]:[Range2_High]])</f>
        <v>5.0049999999999999</v>
      </c>
      <c r="AG2382">
        <f>AVERAGE(Table1[[#This Row],[Range1_Low]:[Range1_High]])</f>
        <v>15.750500000000001</v>
      </c>
      <c r="AH2382">
        <v>1</v>
      </c>
    </row>
    <row r="2383" spans="1:34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tr" cm="1">
        <f t="array" ref="U2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3" t="str" cm="1">
        <f t="array" ref="V2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  <c r="AF2383">
        <f>AVERAGE(Table1[[#This Row],[Range2_Low]:[Range2_High]])</f>
        <v>7.2505E-2</v>
      </c>
      <c r="AG2383">
        <f>AVERAGE(Table1[[#This Row],[Range1_Low]:[Range1_High]])</f>
        <v>15.750500000000001</v>
      </c>
      <c r="AH2383">
        <v>1</v>
      </c>
    </row>
    <row r="2384" spans="1:34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tr" cm="1">
        <f t="array" ref="U2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4" t="str" cm="1">
        <f t="array" ref="V2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  <c r="AF2384">
        <f>AVERAGE(Table1[[#This Row],[Range2_Low]:[Range2_High]])</f>
        <v>3</v>
      </c>
      <c r="AG2384">
        <f>AVERAGE(Table1[[#This Row],[Range1_Low]:[Range1_High]])</f>
        <v>15.750500000000001</v>
      </c>
      <c r="AH2384">
        <v>1</v>
      </c>
    </row>
    <row r="2385" spans="1:34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tr" cm="1">
        <f t="array" ref="U2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85" t="str" cm="1">
        <f t="array" ref="V2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  <c r="AF2385">
        <f>AVERAGE(Table1[[#This Row],[Range2_Low]:[Range2_High]])</f>
        <v>0.55000500000000008</v>
      </c>
      <c r="AG2385">
        <f>AVERAGE(Table1[[#This Row],[Range1_Low]:[Range1_High]])</f>
        <v>15.750500000000001</v>
      </c>
      <c r="AH2385">
        <v>1</v>
      </c>
    </row>
    <row r="2386" spans="1:34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tr" cm="1">
        <f t="array" ref="U2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6" t="str" cm="1">
        <f t="array" ref="V2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  <c r="AF2386">
        <f>AVERAGE(Table1[[#This Row],[Range2_Low]:[Range2_High]])</f>
        <v>3</v>
      </c>
      <c r="AG2386">
        <f>AVERAGE(Table1[[#This Row],[Range1_Low]:[Range1_High]])</f>
        <v>15.750500000000001</v>
      </c>
      <c r="AH2386">
        <v>1</v>
      </c>
    </row>
    <row r="2387" spans="1:34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tr" cm="1">
        <f t="array" ref="U2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V2387" t="str" cm="1">
        <f t="array" ref="V2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  <c r="AF2387">
        <f>AVERAGE(Table1[[#This Row],[Range2_Low]:[Range2_High]])</f>
        <v>0.55000500000000008</v>
      </c>
      <c r="AG2387">
        <f>AVERAGE(Table1[[#This Row],[Range1_Low]:[Range1_High]])</f>
        <v>15.750500000000001</v>
      </c>
      <c r="AH2387">
        <v>1</v>
      </c>
    </row>
    <row r="2388" spans="1:34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tr" cm="1">
        <f t="array" ref="U2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8" t="str" cm="1">
        <f t="array" ref="V2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  <c r="AF2388">
        <f>AVERAGE(Table1[[#This Row],[Range2_Low]:[Range2_High]])</f>
        <v>5.0049999999999999</v>
      </c>
      <c r="AG2388">
        <f>AVERAGE(Table1[[#This Row],[Range1_Low]:[Range1_High]])</f>
        <v>15.750500000000001</v>
      </c>
      <c r="AH2388">
        <v>1</v>
      </c>
    </row>
    <row r="2389" spans="1:34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tr" cm="1">
        <f t="array" ref="U2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V2389" t="str" cm="1">
        <f t="array" ref="V2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  <c r="AF2389">
        <f>AVERAGE(Table1[[#This Row],[Range2_Low]:[Range2_High]])</f>
        <v>7.2505E-2</v>
      </c>
      <c r="AG2389">
        <f>AVERAGE(Table1[[#This Row],[Range1_Low]:[Range1_High]])</f>
        <v>15.750500000000001</v>
      </c>
      <c r="AH2389">
        <v>1</v>
      </c>
    </row>
    <row r="2390" spans="1:34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tr" cm="1">
        <f t="array" ref="U2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0" t="str" cm="1">
        <f t="array" ref="V2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  <c r="AF2390">
        <f>AVERAGE(Table1[[#This Row],[Range2_Low]:[Range2_High]])</f>
        <v>7.2505E-2</v>
      </c>
      <c r="AG2390">
        <f>AVERAGE(Table1[[#This Row],[Range1_Low]:[Range1_High]])</f>
        <v>15.750500000000001</v>
      </c>
      <c r="AH2390">
        <v>1</v>
      </c>
    </row>
    <row r="2391" spans="1:34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tr" cm="1">
        <f t="array" ref="U2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1" t="str" cm="1">
        <f t="array" ref="V2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  <c r="AF2391">
        <f>AVERAGE(Table1[[#This Row],[Range2_Low]:[Range2_High]])</f>
        <v>0.55000500000000008</v>
      </c>
      <c r="AG2391">
        <f>AVERAGE(Table1[[#This Row],[Range1_Low]:[Range1_High]])</f>
        <v>15.750500000000001</v>
      </c>
      <c r="AH2391">
        <v>1</v>
      </c>
    </row>
    <row r="2392" spans="1:34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tr" cm="1">
        <f t="array" ref="U2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2" t="str" cm="1">
        <f t="array" ref="V2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  <c r="AF2392">
        <f>AVERAGE(Table1[[#This Row],[Range2_Low]:[Range2_High]])</f>
        <v>5.0049999999999999</v>
      </c>
      <c r="AG2392">
        <f>AVERAGE(Table1[[#This Row],[Range1_Low]:[Range1_High]])</f>
        <v>15.750500000000001</v>
      </c>
      <c r="AH2392">
        <v>1</v>
      </c>
    </row>
    <row r="2393" spans="1:34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tr" cm="1">
        <f t="array" ref="U2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3" t="str" cm="1">
        <f t="array" ref="V2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  <c r="AF2393">
        <f>AVERAGE(Table1[[#This Row],[Range2_Low]:[Range2_High]])</f>
        <v>3</v>
      </c>
      <c r="AG2393">
        <f>AVERAGE(Table1[[#This Row],[Range1_Low]:[Range1_High]])</f>
        <v>15.750500000000001</v>
      </c>
      <c r="AH2393">
        <v>1</v>
      </c>
    </row>
    <row r="2394" spans="1:34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171</v>
      </c>
      <c r="T2394" t="s">
        <v>167</v>
      </c>
      <c r="U2394" t="str" cm="1">
        <f t="array" ref="U2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4" t="str" cm="1">
        <f t="array" ref="V2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  <c r="AF2394">
        <f>AVERAGE(Table1[[#This Row],[Range2_Low]:[Range2_High]])</f>
        <v>0</v>
      </c>
      <c r="AG2394">
        <f>AVERAGE(Table1[[#This Row],[Range1_Low]:[Range1_High]])</f>
        <v>-328</v>
      </c>
      <c r="AH2394">
        <v>1</v>
      </c>
    </row>
    <row r="2395" spans="1:34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171</v>
      </c>
      <c r="T2395" t="s">
        <v>167</v>
      </c>
      <c r="U2395" t="str" cm="1">
        <f t="array" ref="U2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5" t="str" cm="1">
        <f t="array" ref="V2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  <c r="AF2395">
        <f>AVERAGE(Table1[[#This Row],[Range2_Low]:[Range2_High]])</f>
        <v>0</v>
      </c>
      <c r="AG2395">
        <f>AVERAGE(Table1[[#This Row],[Range1_Low]:[Range1_High]])</f>
        <v>-328</v>
      </c>
      <c r="AH2395">
        <v>1</v>
      </c>
    </row>
    <row r="2396" spans="1:34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171</v>
      </c>
      <c r="T2396" t="s">
        <v>167</v>
      </c>
      <c r="U2396" t="str" cm="1">
        <f t="array" ref="U2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V2396" t="str" cm="1">
        <f t="array" ref="V2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  <c r="AF2396">
        <f>AVERAGE(Table1[[#This Row],[Range2_Low]:[Range2_High]])</f>
        <v>0</v>
      </c>
      <c r="AG2396">
        <f>AVERAGE(Table1[[#This Row],[Range1_Low]:[Range1_High]])</f>
        <v>-200</v>
      </c>
      <c r="AH2396">
        <v>1</v>
      </c>
    </row>
    <row r="2397" spans="1:34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171</v>
      </c>
      <c r="T2397" t="s">
        <v>167</v>
      </c>
      <c r="U2397" t="str" cm="1">
        <f t="array" ref="U2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V2397" t="str" cm="1">
        <f t="array" ref="V2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  <c r="AF2397">
        <f>AVERAGE(Table1[[#This Row],[Range2_Low]:[Range2_High]])</f>
        <v>0</v>
      </c>
      <c r="AG2397">
        <f>AVERAGE(Table1[[#This Row],[Range1_Low]:[Range1_High]])</f>
        <v>-200</v>
      </c>
      <c r="AH2397">
        <v>1</v>
      </c>
    </row>
    <row r="2398" spans="1:34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171</v>
      </c>
      <c r="T2398" t="s">
        <v>167</v>
      </c>
      <c r="U2398" t="str" cm="1">
        <f t="array" ref="U2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398" t="str" cm="1">
        <f t="array" ref="V2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  <c r="AF2398">
        <f>AVERAGE(Table1[[#This Row],[Range2_Low]:[Range2_High]])</f>
        <v>0</v>
      </c>
      <c r="AG2398">
        <f>AVERAGE(Table1[[#This Row],[Range1_Low]:[Range1_High]])</f>
        <v>257</v>
      </c>
      <c r="AH2398">
        <v>1</v>
      </c>
    </row>
    <row r="2399" spans="1:34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171</v>
      </c>
      <c r="T2399" t="s">
        <v>167</v>
      </c>
      <c r="U2399" t="str" cm="1">
        <f t="array" ref="U2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399" t="str" cm="1">
        <f t="array" ref="V2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  <c r="AF2399">
        <f>AVERAGE(Table1[[#This Row],[Range2_Low]:[Range2_High]])</f>
        <v>0</v>
      </c>
      <c r="AG2399">
        <f>AVERAGE(Table1[[#This Row],[Range1_Low]:[Range1_High]])</f>
        <v>257</v>
      </c>
      <c r="AH2399">
        <v>1</v>
      </c>
    </row>
    <row r="2400" spans="1:34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171</v>
      </c>
      <c r="T2400" t="s">
        <v>167</v>
      </c>
      <c r="U2400" t="str" cm="1">
        <f t="array" ref="U2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00" t="str" cm="1">
        <f t="array" ref="V2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  <c r="AF2400">
        <f>AVERAGE(Table1[[#This Row],[Range2_Low]:[Range2_High]])</f>
        <v>0</v>
      </c>
      <c r="AG2400">
        <f>AVERAGE(Table1[[#This Row],[Range1_Low]:[Range1_High]])</f>
        <v>125</v>
      </c>
      <c r="AH2400">
        <v>1</v>
      </c>
    </row>
    <row r="2401" spans="1:34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171</v>
      </c>
      <c r="T2401" t="s">
        <v>167</v>
      </c>
      <c r="U2401" t="str" cm="1">
        <f t="array" ref="U2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01" t="str" cm="1">
        <f t="array" ref="V2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  <c r="AF2401">
        <f>AVERAGE(Table1[[#This Row],[Range2_Low]:[Range2_High]])</f>
        <v>0</v>
      </c>
      <c r="AG2401">
        <f>AVERAGE(Table1[[#This Row],[Range1_Low]:[Range1_High]])</f>
        <v>125</v>
      </c>
      <c r="AH2401">
        <v>1</v>
      </c>
    </row>
    <row r="2402" spans="1:34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171</v>
      </c>
      <c r="T2402" t="s">
        <v>166</v>
      </c>
      <c r="U2402" t="str" cm="1">
        <f t="array" ref="U2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2" t="str" cm="1">
        <f t="array" ref="V2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  <c r="AF2402">
        <f>AVERAGE(Table1[[#This Row],[Range2_Low]:[Range2_High]])</f>
        <v>0</v>
      </c>
      <c r="AG2402">
        <f>AVERAGE(Table1[[#This Row],[Range1_Low]:[Range1_High]])</f>
        <v>125</v>
      </c>
      <c r="AH2402">
        <v>1</v>
      </c>
    </row>
    <row r="2403" spans="1:34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171</v>
      </c>
      <c r="T2403" t="s">
        <v>166</v>
      </c>
      <c r="U2403" t="str" cm="1">
        <f t="array" ref="U2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3" t="str" cm="1">
        <f t="array" ref="V2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  <c r="AF2403">
        <f>AVERAGE(Table1[[#This Row],[Range2_Low]:[Range2_High]])</f>
        <v>0</v>
      </c>
      <c r="AG2403">
        <f>AVERAGE(Table1[[#This Row],[Range1_Low]:[Range1_High]])</f>
        <v>125</v>
      </c>
      <c r="AH2403">
        <v>1</v>
      </c>
    </row>
    <row r="2404" spans="1:34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171</v>
      </c>
      <c r="T2404" t="s">
        <v>166</v>
      </c>
      <c r="U2404" t="str" cm="1">
        <f t="array" ref="U2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4" t="str" cm="1">
        <f t="array" ref="V2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  <c r="AF2404">
        <f>AVERAGE(Table1[[#This Row],[Range2_Low]:[Range2_High]])</f>
        <v>0</v>
      </c>
      <c r="AG2404">
        <f>AVERAGE(Table1[[#This Row],[Range1_Low]:[Range1_High]])</f>
        <v>257</v>
      </c>
      <c r="AH2404">
        <v>1</v>
      </c>
    </row>
    <row r="2405" spans="1:34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171</v>
      </c>
      <c r="T2405" t="s">
        <v>166</v>
      </c>
      <c r="U2405" t="str" cm="1">
        <f t="array" ref="U2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5" t="str" cm="1">
        <f t="array" ref="V2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  <c r="AF2405">
        <f>AVERAGE(Table1[[#This Row],[Range2_Low]:[Range2_High]])</f>
        <v>0</v>
      </c>
      <c r="AG2405">
        <f>AVERAGE(Table1[[#This Row],[Range1_Low]:[Range1_High]])</f>
        <v>257</v>
      </c>
      <c r="AH2405">
        <v>1</v>
      </c>
    </row>
    <row r="2406" spans="1:34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171</v>
      </c>
      <c r="T2406" t="s">
        <v>166</v>
      </c>
      <c r="U2406" t="str" cm="1">
        <f t="array" ref="U2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06" t="str" cm="1">
        <f t="array" ref="V2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  <c r="AF2406">
        <f>AVERAGE(Table1[[#This Row],[Range2_Low]:[Range2_High]])</f>
        <v>0</v>
      </c>
      <c r="AG2406">
        <f>AVERAGE(Table1[[#This Row],[Range1_Low]:[Range1_High]])</f>
        <v>1005</v>
      </c>
      <c r="AH2406">
        <v>1</v>
      </c>
    </row>
    <row r="2407" spans="1:34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171</v>
      </c>
      <c r="T2407" t="s">
        <v>166</v>
      </c>
      <c r="U2407" t="str" cm="1">
        <f t="array" ref="U2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07" t="str" cm="1">
        <f t="array" ref="V2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  <c r="AF2407">
        <f>AVERAGE(Table1[[#This Row],[Range2_Low]:[Range2_High]])</f>
        <v>0</v>
      </c>
      <c r="AG2407">
        <f>AVERAGE(Table1[[#This Row],[Range1_Low]:[Range1_High]])</f>
        <v>1005</v>
      </c>
      <c r="AH2407">
        <v>1</v>
      </c>
    </row>
    <row r="2408" spans="1:34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171</v>
      </c>
      <c r="T2408" t="s">
        <v>166</v>
      </c>
      <c r="U2408" t="str" cm="1">
        <f t="array" ref="U2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8" t="str" cm="1">
        <f t="array" ref="V2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  <c r="AF2408">
        <f>AVERAGE(Table1[[#This Row],[Range2_Low]:[Range2_High]])</f>
        <v>0</v>
      </c>
      <c r="AG2408">
        <f>AVERAGE(Table1[[#This Row],[Range1_Low]:[Range1_High]])</f>
        <v>1841</v>
      </c>
      <c r="AH2408">
        <v>1</v>
      </c>
    </row>
    <row r="2409" spans="1:34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171</v>
      </c>
      <c r="T2409" t="s">
        <v>166</v>
      </c>
      <c r="U2409" t="str" cm="1">
        <f t="array" ref="U2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9" t="str" cm="1">
        <f t="array" ref="V2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  <c r="AF2409">
        <f>AVERAGE(Table1[[#This Row],[Range2_Low]:[Range2_High]])</f>
        <v>0</v>
      </c>
      <c r="AG2409">
        <f>AVERAGE(Table1[[#This Row],[Range1_Low]:[Range1_High]])</f>
        <v>1841</v>
      </c>
      <c r="AH2409">
        <v>1</v>
      </c>
    </row>
    <row r="2410" spans="1:34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171</v>
      </c>
      <c r="T2410" t="s">
        <v>165</v>
      </c>
      <c r="U2410" t="str" cm="1">
        <f t="array" ref="U2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0" t="str" cm="1">
        <f t="array" ref="V2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  <c r="AF2410">
        <f>AVERAGE(Table1[[#This Row],[Range2_Low]:[Range2_High]])</f>
        <v>0</v>
      </c>
      <c r="AG2410">
        <f>AVERAGE(Table1[[#This Row],[Range1_Low]:[Range1_High]])</f>
        <v>125</v>
      </c>
      <c r="AH2410">
        <v>1</v>
      </c>
    </row>
    <row r="2411" spans="1:34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171</v>
      </c>
      <c r="T2411" t="s">
        <v>165</v>
      </c>
      <c r="U2411" t="str" cm="1">
        <f t="array" ref="U2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1" t="str" cm="1">
        <f t="array" ref="V2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  <c r="AF2411">
        <f>AVERAGE(Table1[[#This Row],[Range2_Low]:[Range2_High]])</f>
        <v>0</v>
      </c>
      <c r="AG2411">
        <f>AVERAGE(Table1[[#This Row],[Range1_Low]:[Range1_High]])</f>
        <v>125</v>
      </c>
      <c r="AH2411">
        <v>1</v>
      </c>
    </row>
    <row r="2412" spans="1:34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171</v>
      </c>
      <c r="T2412" t="s">
        <v>165</v>
      </c>
      <c r="U2412" t="str" cm="1">
        <f t="array" ref="U2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2" t="str" cm="1">
        <f t="array" ref="V2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  <c r="AF2412">
        <f>AVERAGE(Table1[[#This Row],[Range2_Low]:[Range2_High]])</f>
        <v>0</v>
      </c>
      <c r="AG2412">
        <f>AVERAGE(Table1[[#This Row],[Range1_Low]:[Range1_High]])</f>
        <v>257</v>
      </c>
      <c r="AH2412">
        <v>1</v>
      </c>
    </row>
    <row r="2413" spans="1:34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171</v>
      </c>
      <c r="T2413" t="s">
        <v>165</v>
      </c>
      <c r="U2413" t="str" cm="1">
        <f t="array" ref="U2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3" t="str" cm="1">
        <f t="array" ref="V2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  <c r="AF2413">
        <f>AVERAGE(Table1[[#This Row],[Range2_Low]:[Range2_High]])</f>
        <v>0</v>
      </c>
      <c r="AG2413">
        <f>AVERAGE(Table1[[#This Row],[Range1_Low]:[Range1_High]])</f>
        <v>257</v>
      </c>
      <c r="AH2413">
        <v>1</v>
      </c>
    </row>
    <row r="2414" spans="1:34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171</v>
      </c>
      <c r="T2414" t="s">
        <v>165</v>
      </c>
      <c r="U2414" t="str" cm="1">
        <f t="array" ref="U2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14" t="str" cm="1">
        <f t="array" ref="V2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  <c r="AF2414">
        <f>AVERAGE(Table1[[#This Row],[Range2_Low]:[Range2_High]])</f>
        <v>0</v>
      </c>
      <c r="AG2414">
        <f>AVERAGE(Table1[[#This Row],[Range1_Low]:[Range1_High]])</f>
        <v>1005</v>
      </c>
      <c r="AH2414">
        <v>1</v>
      </c>
    </row>
    <row r="2415" spans="1:34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171</v>
      </c>
      <c r="T2415" t="s">
        <v>165</v>
      </c>
      <c r="U2415" t="str" cm="1">
        <f t="array" ref="U2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15" t="str" cm="1">
        <f t="array" ref="V2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  <c r="AF2415">
        <f>AVERAGE(Table1[[#This Row],[Range2_Low]:[Range2_High]])</f>
        <v>0</v>
      </c>
      <c r="AG2415">
        <f>AVERAGE(Table1[[#This Row],[Range1_Low]:[Range1_High]])</f>
        <v>1005</v>
      </c>
      <c r="AH2415">
        <v>1</v>
      </c>
    </row>
    <row r="2416" spans="1:34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171</v>
      </c>
      <c r="T2416" t="s">
        <v>165</v>
      </c>
      <c r="U2416" t="str" cm="1">
        <f t="array" ref="U2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6" t="str" cm="1">
        <f t="array" ref="V2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  <c r="AF2416">
        <f>AVERAGE(Table1[[#This Row],[Range2_Low]:[Range2_High]])</f>
        <v>0</v>
      </c>
      <c r="AG2416">
        <f>AVERAGE(Table1[[#This Row],[Range1_Low]:[Range1_High]])</f>
        <v>1841</v>
      </c>
      <c r="AH2416">
        <v>1</v>
      </c>
    </row>
    <row r="2417" spans="1:34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171</v>
      </c>
      <c r="T2417" t="s">
        <v>165</v>
      </c>
      <c r="U2417" t="str" cm="1">
        <f t="array" ref="U2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7" t="str" cm="1">
        <f t="array" ref="V2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  <c r="AF2417">
        <f>AVERAGE(Table1[[#This Row],[Range2_Low]:[Range2_High]])</f>
        <v>0</v>
      </c>
      <c r="AG2417">
        <f>AVERAGE(Table1[[#This Row],[Range1_Low]:[Range1_High]])</f>
        <v>1841</v>
      </c>
      <c r="AH2417">
        <v>1</v>
      </c>
    </row>
    <row r="2418" spans="1:34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171</v>
      </c>
      <c r="T2418" t="s">
        <v>164</v>
      </c>
      <c r="U2418" t="str" cm="1">
        <f t="array" ref="U2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V2418" t="str" cm="1">
        <f t="array" ref="V2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  <c r="AF2418">
        <f>AVERAGE(Table1[[#This Row],[Range2_Low]:[Range2_High]])</f>
        <v>0</v>
      </c>
      <c r="AG2418">
        <f>AVERAGE(Table1[[#This Row],[Range1_Low]:[Range1_High]])</f>
        <v>-238</v>
      </c>
      <c r="AH2418">
        <v>1</v>
      </c>
    </row>
    <row r="2419" spans="1:34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171</v>
      </c>
      <c r="T2419" t="s">
        <v>164</v>
      </c>
      <c r="U2419" t="str" cm="1">
        <f t="array" ref="U2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V2419" t="str" cm="1">
        <f t="array" ref="V2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  <c r="AF2419">
        <f>AVERAGE(Table1[[#This Row],[Range2_Low]:[Range2_High]])</f>
        <v>0</v>
      </c>
      <c r="AG2419">
        <f>AVERAGE(Table1[[#This Row],[Range1_Low]:[Range1_High]])</f>
        <v>-238</v>
      </c>
      <c r="AH2419">
        <v>1</v>
      </c>
    </row>
    <row r="2420" spans="1:34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171</v>
      </c>
      <c r="T2420" t="s">
        <v>164</v>
      </c>
      <c r="U2420" t="str" cm="1">
        <f t="array" ref="U2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V2420" t="str" cm="1">
        <f t="array" ref="V2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  <c r="AF2420">
        <f>AVERAGE(Table1[[#This Row],[Range2_Low]:[Range2_High]])</f>
        <v>0</v>
      </c>
      <c r="AG2420">
        <f>AVERAGE(Table1[[#This Row],[Range1_Low]:[Range1_High]])</f>
        <v>-150</v>
      </c>
      <c r="AH2420">
        <v>1</v>
      </c>
    </row>
    <row r="2421" spans="1:34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171</v>
      </c>
      <c r="T2421" t="s">
        <v>164</v>
      </c>
      <c r="U2421" t="str" cm="1">
        <f t="array" ref="U2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V2421" t="str" cm="1">
        <f t="array" ref="V2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  <c r="AF2421">
        <f>AVERAGE(Table1[[#This Row],[Range2_Low]:[Range2_High]])</f>
        <v>0</v>
      </c>
      <c r="AG2421">
        <f>AVERAGE(Table1[[#This Row],[Range1_Low]:[Range1_High]])</f>
        <v>-150</v>
      </c>
      <c r="AH2421">
        <v>1</v>
      </c>
    </row>
    <row r="2422" spans="1:34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171</v>
      </c>
      <c r="T2422" t="s">
        <v>164</v>
      </c>
      <c r="U2422" t="str" cm="1">
        <f t="array" ref="U2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22" t="str" cm="1">
        <f t="array" ref="V2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  <c r="AF2422">
        <f>AVERAGE(Table1[[#This Row],[Range2_Low]:[Range2_High]])</f>
        <v>0</v>
      </c>
      <c r="AG2422">
        <f>AVERAGE(Table1[[#This Row],[Range1_Low]:[Range1_High]])</f>
        <v>311</v>
      </c>
      <c r="AH2422">
        <v>1</v>
      </c>
    </row>
    <row r="2423" spans="1:34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171</v>
      </c>
      <c r="T2423" t="s">
        <v>164</v>
      </c>
      <c r="U2423" t="str" cm="1">
        <f t="array" ref="U2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23" t="str" cm="1">
        <f t="array" ref="V2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  <c r="AF2423">
        <f>AVERAGE(Table1[[#This Row],[Range2_Low]:[Range2_High]])</f>
        <v>0</v>
      </c>
      <c r="AG2423">
        <f>AVERAGE(Table1[[#This Row],[Range1_Low]:[Range1_High]])</f>
        <v>311</v>
      </c>
      <c r="AH2423">
        <v>1</v>
      </c>
    </row>
    <row r="2424" spans="1:34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171</v>
      </c>
      <c r="T2424" t="s">
        <v>164</v>
      </c>
      <c r="U2424" t="str" cm="1">
        <f t="array" ref="U2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24" t="str" cm="1">
        <f t="array" ref="V2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  <c r="AF2424">
        <f>AVERAGE(Table1[[#This Row],[Range2_Low]:[Range2_High]])</f>
        <v>0</v>
      </c>
      <c r="AG2424">
        <f>AVERAGE(Table1[[#This Row],[Range1_Low]:[Range1_High]])</f>
        <v>155</v>
      </c>
      <c r="AH2424">
        <v>1</v>
      </c>
    </row>
    <row r="2425" spans="1:34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171</v>
      </c>
      <c r="T2425" t="s">
        <v>164</v>
      </c>
      <c r="U2425" t="str" cm="1">
        <f t="array" ref="U2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5" t="str" cm="1">
        <f t="array" ref="V2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  <c r="AF2425">
        <f>AVERAGE(Table1[[#This Row],[Range2_Low]:[Range2_High]])</f>
        <v>0</v>
      </c>
      <c r="AG2425">
        <f>AVERAGE(Table1[[#This Row],[Range1_Low]:[Range1_High]])</f>
        <v>155</v>
      </c>
      <c r="AH2425">
        <v>1</v>
      </c>
    </row>
    <row r="2426" spans="1:34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171</v>
      </c>
      <c r="T2426" t="s">
        <v>164</v>
      </c>
      <c r="U2426" t="str" cm="1">
        <f t="array" ref="U2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6" t="str" cm="1">
        <f t="array" ref="V2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  <c r="AF2426">
        <f>AVERAGE(Table1[[#This Row],[Range2_Low]:[Range2_High]])</f>
        <v>0</v>
      </c>
      <c r="AG2426">
        <f>AVERAGE(Table1[[#This Row],[Range1_Low]:[Range1_High]])</f>
        <v>855</v>
      </c>
      <c r="AH2426">
        <v>1</v>
      </c>
    </row>
    <row r="2427" spans="1:34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171</v>
      </c>
      <c r="T2427" t="s">
        <v>164</v>
      </c>
      <c r="U2427" t="str" cm="1">
        <f t="array" ref="U2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27" t="str" cm="1">
        <f t="array" ref="V2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  <c r="AF2427">
        <f>AVERAGE(Table1[[#This Row],[Range2_Low]:[Range2_High]])</f>
        <v>0</v>
      </c>
      <c r="AG2427">
        <f>AVERAGE(Table1[[#This Row],[Range1_Low]:[Range1_High]])</f>
        <v>855</v>
      </c>
      <c r="AH2427">
        <v>1</v>
      </c>
    </row>
    <row r="2428" spans="1:34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171</v>
      </c>
      <c r="T2428" t="s">
        <v>164</v>
      </c>
      <c r="U2428" t="str" cm="1">
        <f t="array" ref="U2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8" t="str" cm="1">
        <f t="array" ref="V2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  <c r="AF2428">
        <f>AVERAGE(Table1[[#This Row],[Range2_Low]:[Range2_High]])</f>
        <v>0</v>
      </c>
      <c r="AG2428">
        <f>AVERAGE(Table1[[#This Row],[Range1_Low]:[Range1_High]])</f>
        <v>1571</v>
      </c>
      <c r="AH2428">
        <v>1</v>
      </c>
    </row>
    <row r="2429" spans="1:34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171</v>
      </c>
      <c r="T2429" t="s">
        <v>164</v>
      </c>
      <c r="U2429" t="str" cm="1">
        <f t="array" ref="U2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9" t="str" cm="1">
        <f t="array" ref="V2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  <c r="AF2429">
        <f>AVERAGE(Table1[[#This Row],[Range2_Low]:[Range2_High]])</f>
        <v>0</v>
      </c>
      <c r="AG2429">
        <f>AVERAGE(Table1[[#This Row],[Range1_Low]:[Range1_High]])</f>
        <v>1571</v>
      </c>
      <c r="AH2429">
        <v>1</v>
      </c>
    </row>
    <row r="2430" spans="1:34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171</v>
      </c>
      <c r="T2430" t="s">
        <v>113</v>
      </c>
      <c r="U2430" t="str" cm="1">
        <f t="array" ref="U2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30" t="str" cm="1">
        <f t="array" ref="V2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  <c r="AF2430">
        <f>AVERAGE(Table1[[#This Row],[Range2_Low]:[Range2_High]])</f>
        <v>0</v>
      </c>
      <c r="AG2430">
        <f>AVERAGE(Table1[[#This Row],[Range1_Low]:[Range1_High]])</f>
        <v>-238</v>
      </c>
      <c r="AH2430">
        <v>1</v>
      </c>
    </row>
    <row r="2431" spans="1:34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171</v>
      </c>
      <c r="T2431" t="s">
        <v>113</v>
      </c>
      <c r="U2431" t="str" cm="1">
        <f t="array" ref="U2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V2431" t="str" cm="1">
        <f t="array" ref="V2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  <c r="AF2431">
        <f>AVERAGE(Table1[[#This Row],[Range2_Low]:[Range2_High]])</f>
        <v>0</v>
      </c>
      <c r="AG2431">
        <f>AVERAGE(Table1[[#This Row],[Range1_Low]:[Range1_High]])</f>
        <v>-238</v>
      </c>
      <c r="AH2431">
        <v>1</v>
      </c>
    </row>
    <row r="2432" spans="1:34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171</v>
      </c>
      <c r="T2432" t="s">
        <v>113</v>
      </c>
      <c r="U2432" t="str" cm="1">
        <f t="array" ref="U2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2" t="str" cm="1">
        <f t="array" ref="V2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  <c r="AF2432">
        <f>AVERAGE(Table1[[#This Row],[Range2_Low]:[Range2_High]])</f>
        <v>0</v>
      </c>
      <c r="AG2432">
        <f>AVERAGE(Table1[[#This Row],[Range1_Low]:[Range1_High]])</f>
        <v>-150</v>
      </c>
      <c r="AH2432">
        <v>1</v>
      </c>
    </row>
    <row r="2433" spans="1:34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171</v>
      </c>
      <c r="T2433" t="s">
        <v>113</v>
      </c>
      <c r="U2433" t="str" cm="1">
        <f t="array" ref="U2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V2433" t="str" cm="1">
        <f t="array" ref="V2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  <c r="AF2433">
        <f>AVERAGE(Table1[[#This Row],[Range2_Low]:[Range2_High]])</f>
        <v>0</v>
      </c>
      <c r="AG2433">
        <f>AVERAGE(Table1[[#This Row],[Range1_Low]:[Range1_High]])</f>
        <v>-150</v>
      </c>
      <c r="AH2433">
        <v>1</v>
      </c>
    </row>
    <row r="2434" spans="1:34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171</v>
      </c>
      <c r="T2434" t="s">
        <v>113</v>
      </c>
      <c r="U2434" t="str" cm="1">
        <f t="array" ref="U2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34" t="str" cm="1">
        <f t="array" ref="V2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  <c r="AF2434">
        <f>AVERAGE(Table1[[#This Row],[Range2_Low]:[Range2_High]])</f>
        <v>0</v>
      </c>
      <c r="AG2434">
        <f>AVERAGE(Table1[[#This Row],[Range1_Low]:[Range1_High]])</f>
        <v>50</v>
      </c>
      <c r="AH2434">
        <v>1</v>
      </c>
    </row>
    <row r="2435" spans="1:34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171</v>
      </c>
      <c r="T2435" t="s">
        <v>113</v>
      </c>
      <c r="U2435" t="str" cm="1">
        <f t="array" ref="U2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35" t="str" cm="1">
        <f t="array" ref="V2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  <c r="AF2435">
        <f>AVERAGE(Table1[[#This Row],[Range2_Low]:[Range2_High]])</f>
        <v>0</v>
      </c>
      <c r="AG2435">
        <f>AVERAGE(Table1[[#This Row],[Range1_Low]:[Range1_High]])</f>
        <v>50</v>
      </c>
      <c r="AH2435">
        <v>1</v>
      </c>
    </row>
    <row r="2436" spans="1:34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171</v>
      </c>
      <c r="T2436" t="s">
        <v>113</v>
      </c>
      <c r="U2436" t="str" cm="1">
        <f t="array" ref="U2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36" t="str" cm="1">
        <f t="array" ref="V2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  <c r="AF2436">
        <f>AVERAGE(Table1[[#This Row],[Range2_Low]:[Range2_High]])</f>
        <v>0</v>
      </c>
      <c r="AG2436">
        <f>AVERAGE(Table1[[#This Row],[Range1_Low]:[Range1_High]])</f>
        <v>10</v>
      </c>
      <c r="AH2436">
        <v>1</v>
      </c>
    </row>
    <row r="2437" spans="1:34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171</v>
      </c>
      <c r="T2437" t="s">
        <v>113</v>
      </c>
      <c r="U2437" t="str" cm="1">
        <f t="array" ref="U2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37" t="str" cm="1">
        <f t="array" ref="V2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  <c r="AF2437">
        <f>AVERAGE(Table1[[#This Row],[Range2_Low]:[Range2_High]])</f>
        <v>0</v>
      </c>
      <c r="AG2437">
        <f>AVERAGE(Table1[[#This Row],[Range1_Low]:[Range1_High]])</f>
        <v>10</v>
      </c>
      <c r="AH2437">
        <v>1</v>
      </c>
    </row>
    <row r="2438" spans="1:34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171</v>
      </c>
      <c r="T2438" t="s">
        <v>113</v>
      </c>
      <c r="U2438" t="str" cm="1">
        <f t="array" ref="U2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8" t="str" cm="1">
        <f t="array" ref="V2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  <c r="AF2438">
        <f>AVERAGE(Table1[[#This Row],[Range2_Low]:[Range2_High]])</f>
        <v>0</v>
      </c>
      <c r="AG2438">
        <f>AVERAGE(Table1[[#This Row],[Range1_Low]:[Range1_High]])</f>
        <v>745</v>
      </c>
      <c r="AH2438">
        <v>1</v>
      </c>
    </row>
    <row r="2439" spans="1:34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171</v>
      </c>
      <c r="T2439" t="s">
        <v>113</v>
      </c>
      <c r="U2439" t="str" cm="1">
        <f t="array" ref="U2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39" t="str" cm="1">
        <f t="array" ref="V2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  <c r="AF2439">
        <f>AVERAGE(Table1[[#This Row],[Range2_Low]:[Range2_High]])</f>
        <v>0</v>
      </c>
      <c r="AG2439">
        <f>AVERAGE(Table1[[#This Row],[Range1_Low]:[Range1_High]])</f>
        <v>745</v>
      </c>
      <c r="AH2439">
        <v>1</v>
      </c>
    </row>
    <row r="2440" spans="1:34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171</v>
      </c>
      <c r="T2440" t="s">
        <v>113</v>
      </c>
      <c r="U2440" t="str" cm="1">
        <f t="array" ref="U2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0" t="str" cm="1">
        <f t="array" ref="V2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  <c r="AF2440">
        <f>AVERAGE(Table1[[#This Row],[Range2_Low]:[Range2_High]])</f>
        <v>0</v>
      </c>
      <c r="AG2440">
        <f>AVERAGE(Table1[[#This Row],[Range1_Low]:[Range1_High]])</f>
        <v>1374</v>
      </c>
      <c r="AH2440">
        <v>1</v>
      </c>
    </row>
    <row r="2441" spans="1:34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171</v>
      </c>
      <c r="T2441" t="s">
        <v>113</v>
      </c>
      <c r="U2441" t="str" cm="1">
        <f t="array" ref="U2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41" t="str" cm="1">
        <f t="array" ref="V2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  <c r="AF2441">
        <f>AVERAGE(Table1[[#This Row],[Range2_Low]:[Range2_High]])</f>
        <v>0</v>
      </c>
      <c r="AG2441">
        <f>AVERAGE(Table1[[#This Row],[Range1_Low]:[Range1_High]])</f>
        <v>1374</v>
      </c>
      <c r="AH2441">
        <v>1</v>
      </c>
    </row>
    <row r="2442" spans="1:34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171</v>
      </c>
      <c r="T2442" t="s">
        <v>163</v>
      </c>
      <c r="U2442" t="str" cm="1">
        <f t="array" ref="U2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42" t="str" cm="1">
        <f t="array" ref="V2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  <c r="AF2442">
        <f>AVERAGE(Table1[[#This Row],[Range2_Low]:[Range2_High]])</f>
        <v>0</v>
      </c>
      <c r="AG2442">
        <f>AVERAGE(Table1[[#This Row],[Range1_Low]:[Range1_High]])</f>
        <v>-247</v>
      </c>
      <c r="AH2442">
        <v>1</v>
      </c>
    </row>
    <row r="2443" spans="1:34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171</v>
      </c>
      <c r="T2443" t="s">
        <v>163</v>
      </c>
      <c r="U2443" t="str" cm="1">
        <f t="array" ref="U2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3" t="str" cm="1">
        <f t="array" ref="V2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  <c r="AF2443">
        <f>AVERAGE(Table1[[#This Row],[Range2_Low]:[Range2_High]])</f>
        <v>0</v>
      </c>
      <c r="AG2443">
        <f>AVERAGE(Table1[[#This Row],[Range1_Low]:[Range1_High]])</f>
        <v>-247</v>
      </c>
      <c r="AH2443">
        <v>1</v>
      </c>
    </row>
    <row r="2444" spans="1:34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171</v>
      </c>
      <c r="T2444" t="s">
        <v>163</v>
      </c>
      <c r="U2444" t="str" cm="1">
        <f t="array" ref="U2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44" t="str" cm="1">
        <f t="array" ref="V2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  <c r="AF2444">
        <f>AVERAGE(Table1[[#This Row],[Range2_Low]:[Range2_High]])</f>
        <v>0</v>
      </c>
      <c r="AG2444">
        <f>AVERAGE(Table1[[#This Row],[Range1_Low]:[Range1_High]])</f>
        <v>-155</v>
      </c>
      <c r="AH2444">
        <v>1</v>
      </c>
    </row>
    <row r="2445" spans="1:34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171</v>
      </c>
      <c r="T2445" t="s">
        <v>163</v>
      </c>
      <c r="U2445" t="str" cm="1">
        <f t="array" ref="U2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45" t="str" cm="1">
        <f t="array" ref="V2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  <c r="AF2445">
        <f>AVERAGE(Table1[[#This Row],[Range2_Low]:[Range2_High]])</f>
        <v>0</v>
      </c>
      <c r="AG2445">
        <f>AVERAGE(Table1[[#This Row],[Range1_Low]:[Range1_High]])</f>
        <v>-155</v>
      </c>
      <c r="AH2445">
        <v>1</v>
      </c>
    </row>
    <row r="2446" spans="1:34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171</v>
      </c>
      <c r="T2446" t="s">
        <v>163</v>
      </c>
      <c r="U2446" t="str" cm="1">
        <f t="array" ref="U2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446" t="str" cm="1">
        <f t="array" ref="V2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  <c r="AF2446">
        <f>AVERAGE(Table1[[#This Row],[Range2_Low]:[Range2_High]])</f>
        <v>0</v>
      </c>
      <c r="AG2446">
        <f>AVERAGE(Table1[[#This Row],[Range1_Low]:[Range1_High]])</f>
        <v>77</v>
      </c>
      <c r="AH2446">
        <v>1</v>
      </c>
    </row>
    <row r="2447" spans="1:34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171</v>
      </c>
      <c r="T2447" t="s">
        <v>163</v>
      </c>
      <c r="U2447" t="str" cm="1">
        <f t="array" ref="U2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47" t="str" cm="1">
        <f t="array" ref="V2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  <c r="AF2447">
        <f>AVERAGE(Table1[[#This Row],[Range2_Low]:[Range2_High]])</f>
        <v>0</v>
      </c>
      <c r="AG2447">
        <f>AVERAGE(Table1[[#This Row],[Range1_Low]:[Range1_High]])</f>
        <v>77</v>
      </c>
      <c r="AH2447">
        <v>1</v>
      </c>
    </row>
    <row r="2448" spans="1:34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171</v>
      </c>
      <c r="T2448" t="s">
        <v>163</v>
      </c>
      <c r="U2448" t="str" cm="1">
        <f t="array" ref="U2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48" t="str" cm="1">
        <f t="array" ref="V2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  <c r="AF2448">
        <f>AVERAGE(Table1[[#This Row],[Range2_Low]:[Range2_High]])</f>
        <v>0</v>
      </c>
      <c r="AG2448">
        <f>AVERAGE(Table1[[#This Row],[Range1_Low]:[Range1_High]])</f>
        <v>25</v>
      </c>
      <c r="AH2448">
        <v>1</v>
      </c>
    </row>
    <row r="2449" spans="1:34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171</v>
      </c>
      <c r="T2449" t="s">
        <v>163</v>
      </c>
      <c r="U2449" t="str" cm="1">
        <f t="array" ref="U2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49" t="str" cm="1">
        <f t="array" ref="V2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  <c r="AF2449">
        <f>AVERAGE(Table1[[#This Row],[Range2_Low]:[Range2_High]])</f>
        <v>0</v>
      </c>
      <c r="AG2449">
        <f>AVERAGE(Table1[[#This Row],[Range1_Low]:[Range1_High]])</f>
        <v>25</v>
      </c>
      <c r="AH2449">
        <v>1</v>
      </c>
    </row>
    <row r="2450" spans="1:34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171</v>
      </c>
      <c r="T2450" t="s">
        <v>163</v>
      </c>
      <c r="U2450" t="str" cm="1">
        <f t="array" ref="U2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50" t="str" cm="1">
        <f t="array" ref="V2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  <c r="AF2450">
        <f>AVERAGE(Table1[[#This Row],[Range2_Low]:[Range2_High]])</f>
        <v>0</v>
      </c>
      <c r="AG2450">
        <f>AVERAGE(Table1[[#This Row],[Range1_Low]:[Range1_High]])</f>
        <v>455</v>
      </c>
      <c r="AH2450">
        <v>1</v>
      </c>
    </row>
    <row r="2451" spans="1:34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171</v>
      </c>
      <c r="T2451" t="s">
        <v>163</v>
      </c>
      <c r="U2451" t="str" cm="1">
        <f t="array" ref="U2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51" t="str" cm="1">
        <f t="array" ref="V2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  <c r="AF2451">
        <f>AVERAGE(Table1[[#This Row],[Range2_Low]:[Range2_High]])</f>
        <v>0</v>
      </c>
      <c r="AG2451">
        <f>AVERAGE(Table1[[#This Row],[Range1_Low]:[Range1_High]])</f>
        <v>455</v>
      </c>
      <c r="AH2451">
        <v>1</v>
      </c>
    </row>
    <row r="2452" spans="1:34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171</v>
      </c>
      <c r="T2452" t="s">
        <v>163</v>
      </c>
      <c r="U2452" t="str" cm="1">
        <f t="array" ref="U2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52" t="str" cm="1">
        <f t="array" ref="V2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  <c r="AF2452">
        <f>AVERAGE(Table1[[#This Row],[Range2_Low]:[Range2_High]])</f>
        <v>0</v>
      </c>
      <c r="AG2452">
        <f>AVERAGE(Table1[[#This Row],[Range1_Low]:[Range1_High]])</f>
        <v>851</v>
      </c>
      <c r="AH2452">
        <v>1</v>
      </c>
    </row>
    <row r="2453" spans="1:34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171</v>
      </c>
      <c r="T2453" t="s">
        <v>163</v>
      </c>
      <c r="U2453" t="str" cm="1">
        <f t="array" ref="U2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53" t="str" cm="1">
        <f t="array" ref="V2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  <c r="AF2453">
        <f>AVERAGE(Table1[[#This Row],[Range2_Low]:[Range2_High]])</f>
        <v>0</v>
      </c>
      <c r="AG2453">
        <f>AVERAGE(Table1[[#This Row],[Range1_Low]:[Range1_High]])</f>
        <v>851</v>
      </c>
      <c r="AH2453">
        <v>1</v>
      </c>
    </row>
    <row r="2454" spans="1:34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171</v>
      </c>
      <c r="T2454" t="s">
        <v>163</v>
      </c>
      <c r="U2454" t="str" cm="1">
        <f t="array" ref="U2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54" t="str" cm="1">
        <f t="array" ref="V2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  <c r="AF2454">
        <f>AVERAGE(Table1[[#This Row],[Range2_Low]:[Range2_High]])</f>
        <v>0</v>
      </c>
      <c r="AG2454">
        <f>AVERAGE(Table1[[#This Row],[Range1_Low]:[Range1_High]])</f>
        <v>980</v>
      </c>
      <c r="AH2454">
        <v>1</v>
      </c>
    </row>
    <row r="2455" spans="1:34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171</v>
      </c>
      <c r="T2455" t="s">
        <v>163</v>
      </c>
      <c r="U2455" t="str" cm="1">
        <f t="array" ref="U2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55" t="str" cm="1">
        <f t="array" ref="V2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  <c r="AF2455">
        <f>AVERAGE(Table1[[#This Row],[Range2_Low]:[Range2_High]])</f>
        <v>0</v>
      </c>
      <c r="AG2455">
        <f>AVERAGE(Table1[[#This Row],[Range1_Low]:[Range1_High]])</f>
        <v>980</v>
      </c>
      <c r="AH2455">
        <v>1</v>
      </c>
    </row>
    <row r="2456" spans="1:34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171</v>
      </c>
      <c r="T2456" t="s">
        <v>163</v>
      </c>
      <c r="U2456" t="str" cm="1">
        <f t="array" ref="U2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56" t="str" cm="1">
        <f t="array" ref="V2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  <c r="AF2456">
        <f>AVERAGE(Table1[[#This Row],[Range2_Low]:[Range2_High]])</f>
        <v>0</v>
      </c>
      <c r="AG2456">
        <f>AVERAGE(Table1[[#This Row],[Range1_Low]:[Range1_High]])</f>
        <v>1796</v>
      </c>
      <c r="AH2456">
        <v>1</v>
      </c>
    </row>
    <row r="2457" spans="1:34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171</v>
      </c>
      <c r="T2457" t="s">
        <v>163</v>
      </c>
      <c r="U2457" t="str" cm="1">
        <f t="array" ref="U2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57" t="str" cm="1">
        <f t="array" ref="V2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  <c r="AF2457">
        <f>AVERAGE(Table1[[#This Row],[Range2_Low]:[Range2_High]])</f>
        <v>0</v>
      </c>
      <c r="AG2457">
        <f>AVERAGE(Table1[[#This Row],[Range1_Low]:[Range1_High]])</f>
        <v>1796</v>
      </c>
      <c r="AH2457">
        <v>1</v>
      </c>
    </row>
    <row r="2458" spans="1:34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155</v>
      </c>
      <c r="U2458" t="str" cm="1">
        <f t="array" ref="U2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kΩ</v>
      </c>
      <c r="V2458" t="str" cm="1">
        <f t="array" ref="V2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kΩ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  <c r="AF2458">
        <f>AVERAGE(Table1[[#This Row],[Range2_Low]:[Range2_High]])</f>
        <v>0</v>
      </c>
      <c r="AG2458">
        <f>AVERAGE(Table1[[#This Row],[Range1_Low]:[Range1_High]])</f>
        <v>50125000</v>
      </c>
      <c r="AH2458">
        <v>1</v>
      </c>
    </row>
    <row r="2459" spans="1:34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155</v>
      </c>
      <c r="U2459" t="str" cm="1">
        <f t="array" ref="U2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2459" t="str" cm="1">
        <f t="array" ref="V2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kΩ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  <c r="AF2459">
        <f>AVERAGE(Table1[[#This Row],[Range2_Low]:[Range2_High]])</f>
        <v>0</v>
      </c>
      <c r="AG2459">
        <f>AVERAGE(Table1[[#This Row],[Range1_Low]:[Range1_High]])</f>
        <v>50125000</v>
      </c>
      <c r="AH2459">
        <v>1</v>
      </c>
    </row>
    <row r="2460" spans="1:34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155</v>
      </c>
      <c r="U2460" t="str" cm="1">
        <f t="array" ref="U2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kΩ</v>
      </c>
      <c r="V2460" t="str" cm="1">
        <f t="array" ref="V2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kΩ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  <c r="AF2460">
        <f>AVERAGE(Table1[[#This Row],[Range2_Low]:[Range2_High]])</f>
        <v>0</v>
      </c>
      <c r="AG2460">
        <f>AVERAGE(Table1[[#This Row],[Range1_Low]:[Range1_High]])</f>
        <v>50125000</v>
      </c>
      <c r="AH2460">
        <v>1</v>
      </c>
    </row>
    <row r="2461" spans="1:34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155</v>
      </c>
      <c r="U2461" t="str" cm="1">
        <f t="array" ref="U2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2461" t="str" cm="1">
        <f t="array" ref="V2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  <c r="AF2461">
        <f>AVERAGE(Table1[[#This Row],[Range2_Low]:[Range2_High]])</f>
        <v>0</v>
      </c>
      <c r="AG2461">
        <f>AVERAGE(Table1[[#This Row],[Range1_Low]:[Range1_High]])</f>
        <v>50125000</v>
      </c>
      <c r="AH2461">
        <v>1</v>
      </c>
    </row>
    <row r="2462" spans="1:34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155</v>
      </c>
      <c r="U2462" t="str" cm="1">
        <f t="array" ref="U2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V2462" t="str" cm="1">
        <f t="array" ref="V2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  <c r="AF2462">
        <f>AVERAGE(Table1[[#This Row],[Range2_Low]:[Range2_High]])</f>
        <v>0</v>
      </c>
      <c r="AG2462">
        <f>AVERAGE(Table1[[#This Row],[Range1_Low]:[Range1_High]])</f>
        <v>175000000</v>
      </c>
      <c r="AH2462">
        <v>1</v>
      </c>
    </row>
    <row r="2463" spans="1:34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155</v>
      </c>
      <c r="U2463" t="str" cm="1">
        <f t="array" ref="U2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V2463" t="str" cm="1">
        <f t="array" ref="V2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  <c r="AF2463">
        <f>AVERAGE(Table1[[#This Row],[Range2_Low]:[Range2_High]])</f>
        <v>0</v>
      </c>
      <c r="AG2463">
        <f>AVERAGE(Table1[[#This Row],[Range1_Low]:[Range1_High]])</f>
        <v>175000000</v>
      </c>
      <c r="AH2463">
        <v>1</v>
      </c>
    </row>
    <row r="2464" spans="1:34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155</v>
      </c>
      <c r="U2464" t="str" cm="1">
        <f t="array" ref="U2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kΩ</v>
      </c>
      <c r="V2464" t="str" cm="1">
        <f t="array" ref="V2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  <c r="AF2464">
        <f>AVERAGE(Table1[[#This Row],[Range2_Low]:[Range2_High]])</f>
        <v>0</v>
      </c>
      <c r="AG2464">
        <f>AVERAGE(Table1[[#This Row],[Range1_Low]:[Range1_High]])</f>
        <v>175000000</v>
      </c>
      <c r="AH2464">
        <v>1</v>
      </c>
    </row>
    <row r="2465" spans="1:34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155</v>
      </c>
      <c r="U2465" t="str" cm="1">
        <f t="array" ref="U2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kΩ</v>
      </c>
      <c r="V2465" t="str" cm="1">
        <f t="array" ref="V2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kΩ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  <c r="AF2465">
        <f>AVERAGE(Table1[[#This Row],[Range2_Low]:[Range2_High]])</f>
        <v>0</v>
      </c>
      <c r="AG2465">
        <f>AVERAGE(Table1[[#This Row],[Range1_Low]:[Range1_High]])</f>
        <v>175000000</v>
      </c>
      <c r="AH2465">
        <v>1</v>
      </c>
    </row>
    <row r="2466" spans="1:34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155</v>
      </c>
      <c r="U2466" t="str" cm="1">
        <f t="array" ref="U2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2466" t="str" cm="1">
        <f t="array" ref="V2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  <c r="AF2466">
        <f>AVERAGE(Table1[[#This Row],[Range2_Low]:[Range2_High]])</f>
        <v>0</v>
      </c>
      <c r="AG2466">
        <f>AVERAGE(Table1[[#This Row],[Range1_Low]:[Range1_High]])</f>
        <v>175000000</v>
      </c>
      <c r="AH2466">
        <v>1</v>
      </c>
    </row>
    <row r="2467" spans="1:34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155</v>
      </c>
      <c r="U2467" t="str" cm="1">
        <f t="array" ref="U2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3600 kΩ</v>
      </c>
      <c r="V2467" t="str" cm="1">
        <f t="array" ref="V2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  <c r="AF2467">
        <f>AVERAGE(Table1[[#This Row],[Range2_Low]:[Range2_High]])</f>
        <v>0</v>
      </c>
      <c r="AG2467">
        <f>AVERAGE(Table1[[#This Row],[Range1_Low]:[Range1_High]])</f>
        <v>375000000</v>
      </c>
      <c r="AH2467">
        <v>1</v>
      </c>
    </row>
    <row r="2468" spans="1:34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155</v>
      </c>
      <c r="U2468" t="str" cm="1">
        <f t="array" ref="U2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kΩ</v>
      </c>
      <c r="V2468" t="str" cm="1">
        <f t="array" ref="V2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  <c r="AF2468">
        <f>AVERAGE(Table1[[#This Row],[Range2_Low]:[Range2_High]])</f>
        <v>0</v>
      </c>
      <c r="AG2468">
        <f>AVERAGE(Table1[[#This Row],[Range1_Low]:[Range1_High]])</f>
        <v>375000000</v>
      </c>
      <c r="AH2468">
        <v>1</v>
      </c>
    </row>
    <row r="2469" spans="1:34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155</v>
      </c>
      <c r="U2469" t="str" cm="1">
        <f t="array" ref="U2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3900 kΩ</v>
      </c>
      <c r="V2469" t="str" cm="1">
        <f t="array" ref="V2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4800 kΩ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  <c r="AF2469">
        <f>AVERAGE(Table1[[#This Row],[Range2_Low]:[Range2_High]])</f>
        <v>0</v>
      </c>
      <c r="AG2469">
        <f>AVERAGE(Table1[[#This Row],[Range1_Low]:[Range1_High]])</f>
        <v>375000000</v>
      </c>
      <c r="AH2469">
        <v>1</v>
      </c>
    </row>
    <row r="2470" spans="1:34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155</v>
      </c>
      <c r="U2470" t="str" cm="1">
        <f t="array" ref="U2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kΩ</v>
      </c>
      <c r="V2470" t="str" cm="1">
        <f t="array" ref="V2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7600 kΩ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  <c r="AF2470">
        <f>AVERAGE(Table1[[#This Row],[Range2_Low]:[Range2_High]])</f>
        <v>0</v>
      </c>
      <c r="AG2470">
        <f>AVERAGE(Table1[[#This Row],[Range1_Low]:[Range1_High]])</f>
        <v>375000000</v>
      </c>
      <c r="AH2470">
        <v>1</v>
      </c>
    </row>
    <row r="2471" spans="1:34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155</v>
      </c>
      <c r="U2471" t="str" cm="1">
        <f t="array" ref="U2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1" t="str" cm="1">
        <f t="array" ref="V2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  <c r="AF2471">
        <f>AVERAGE(Table1[[#This Row],[Range2_Low]:[Range2_High]])</f>
        <v>0</v>
      </c>
      <c r="AG2471">
        <f>AVERAGE(Table1[[#This Row],[Range1_Low]:[Range1_High]])</f>
        <v>750000000</v>
      </c>
      <c r="AH2471">
        <v>1</v>
      </c>
    </row>
    <row r="2472" spans="1:34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155</v>
      </c>
      <c r="U2472" t="str" cm="1">
        <f t="array" ref="U2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kΩ</v>
      </c>
      <c r="V2472" t="str" cm="1">
        <f t="array" ref="V2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9300 kΩ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  <c r="AF2472">
        <f>AVERAGE(Table1[[#This Row],[Range2_Low]:[Range2_High]])</f>
        <v>0</v>
      </c>
      <c r="AG2472">
        <f>AVERAGE(Table1[[#This Row],[Range1_Low]:[Range1_High]])</f>
        <v>750000000</v>
      </c>
      <c r="AH2472">
        <v>1</v>
      </c>
    </row>
    <row r="2473" spans="1:34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155</v>
      </c>
      <c r="U2473" t="str" cm="1">
        <f t="array" ref="U2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3" t="str" cm="1">
        <f t="array" ref="V2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  <c r="AF2473">
        <f>AVERAGE(Table1[[#This Row],[Range2_Low]:[Range2_High]])</f>
        <v>0</v>
      </c>
      <c r="AG2473">
        <f>AVERAGE(Table1[[#This Row],[Range1_Low]:[Range1_High]])</f>
        <v>750000000</v>
      </c>
      <c r="AH2473">
        <v>1</v>
      </c>
    </row>
    <row r="2474" spans="1:34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155</v>
      </c>
      <c r="U2474" t="str" cm="1">
        <f t="array" ref="U2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kΩ</v>
      </c>
      <c r="V2474" t="str" cm="1">
        <f t="array" ref="V2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  <c r="AF2474">
        <f>AVERAGE(Table1[[#This Row],[Range2_Low]:[Range2_High]])</f>
        <v>0</v>
      </c>
      <c r="AG2474">
        <f>AVERAGE(Table1[[#This Row],[Range1_Low]:[Range1_High]])</f>
        <v>750000000</v>
      </c>
      <c r="AH2474">
        <v>1</v>
      </c>
    </row>
    <row r="2475" spans="1:34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155</v>
      </c>
      <c r="U2475" t="str" cm="1">
        <f t="array" ref="U2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V2475" t="str" cm="1">
        <f t="array" ref="V2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  <c r="AF2475">
        <f>AVERAGE(Table1[[#This Row],[Range2_Low]:[Range2_High]])</f>
        <v>0</v>
      </c>
      <c r="AG2475">
        <f>AVERAGE(Table1[[#This Row],[Range1_Low]:[Range1_High]])</f>
        <v>750000000</v>
      </c>
      <c r="AH2475">
        <v>1</v>
      </c>
    </row>
    <row r="2476" spans="1:34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155</v>
      </c>
      <c r="U2476" t="str" cm="1">
        <f t="array" ref="U2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V</v>
      </c>
      <c r="V2476" t="str" cm="1">
        <f t="array" ref="V2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V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  <c r="AF2476">
        <f>AVERAGE(Table1[[#This Row],[Range2_Low]:[Range2_High]])</f>
        <v>0</v>
      </c>
      <c r="AG2476">
        <f>AVERAGE(Table1[[#This Row],[Range1_Low]:[Range1_High]])</f>
        <v>50.5</v>
      </c>
      <c r="AH2476">
        <v>1</v>
      </c>
    </row>
    <row r="2477" spans="1:34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155</v>
      </c>
      <c r="U2477" t="str" cm="1">
        <f t="array" ref="U2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V</v>
      </c>
      <c r="V2477" t="str" cm="1">
        <f t="array" ref="V2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V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  <c r="AF2477">
        <f>AVERAGE(Table1[[#This Row],[Range2_Low]:[Range2_High]])</f>
        <v>0</v>
      </c>
      <c r="AG2477">
        <f>AVERAGE(Table1[[#This Row],[Range1_Low]:[Range1_High]])</f>
        <v>50.5</v>
      </c>
      <c r="AH2477">
        <v>1</v>
      </c>
    </row>
    <row r="2478" spans="1:34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155</v>
      </c>
      <c r="U2478" t="str" cm="1">
        <f t="array" ref="U2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78" t="str" cm="1">
        <f t="array" ref="V2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  <c r="AF2478">
        <f>AVERAGE(Table1[[#This Row],[Range2_Low]:[Range2_High]])</f>
        <v>0</v>
      </c>
      <c r="AG2478">
        <f>AVERAGE(Table1[[#This Row],[Range1_Low]:[Range1_High]])</f>
        <v>50.5</v>
      </c>
      <c r="AH2478">
        <v>1</v>
      </c>
    </row>
    <row r="2479" spans="1:34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155</v>
      </c>
      <c r="U2479" t="str" cm="1">
        <f t="array" ref="U2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V</v>
      </c>
      <c r="V2479" t="str" cm="1">
        <f t="array" ref="V2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V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  <c r="AF2479">
        <f>AVERAGE(Table1[[#This Row],[Range2_Low]:[Range2_High]])</f>
        <v>0</v>
      </c>
      <c r="AG2479">
        <f>AVERAGE(Table1[[#This Row],[Range1_Low]:[Range1_High]])</f>
        <v>175</v>
      </c>
      <c r="AH2479">
        <v>1</v>
      </c>
    </row>
    <row r="2480" spans="1:34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155</v>
      </c>
      <c r="U2480" t="str" cm="1">
        <f t="array" ref="U2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V</v>
      </c>
      <c r="V2480" t="str" cm="1">
        <f t="array" ref="V2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V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  <c r="AF2480">
        <f>AVERAGE(Table1[[#This Row],[Range2_Low]:[Range2_High]])</f>
        <v>0</v>
      </c>
      <c r="AG2480">
        <f>AVERAGE(Table1[[#This Row],[Range1_Low]:[Range1_High]])</f>
        <v>175</v>
      </c>
      <c r="AH2480">
        <v>1</v>
      </c>
    </row>
    <row r="2481" spans="1:34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155</v>
      </c>
      <c r="U2481" t="str" cm="1">
        <f t="array" ref="U2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1" t="str" cm="1">
        <f t="array" ref="V2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  <c r="AF2481">
        <f>AVERAGE(Table1[[#This Row],[Range2_Low]:[Range2_High]])</f>
        <v>0</v>
      </c>
      <c r="AG2481">
        <f>AVERAGE(Table1[[#This Row],[Range1_Low]:[Range1_High]])</f>
        <v>175</v>
      </c>
      <c r="AH2481">
        <v>1</v>
      </c>
    </row>
    <row r="2482" spans="1:34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155</v>
      </c>
      <c r="U2482" t="str" cm="1">
        <f t="array" ref="U2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V</v>
      </c>
      <c r="V2482" t="str" cm="1">
        <f t="array" ref="V2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V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  <c r="AF2482">
        <f>AVERAGE(Table1[[#This Row],[Range2_Low]:[Range2_High]])</f>
        <v>0</v>
      </c>
      <c r="AG2482">
        <f>AVERAGE(Table1[[#This Row],[Range1_Low]:[Range1_High]])</f>
        <v>375</v>
      </c>
      <c r="AH2482">
        <v>1</v>
      </c>
    </row>
    <row r="2483" spans="1:34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155</v>
      </c>
      <c r="U2483" t="str" cm="1">
        <f t="array" ref="U2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7.8 V</v>
      </c>
      <c r="V2483" t="str" cm="1">
        <f t="array" ref="V2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V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  <c r="AF2483">
        <f>AVERAGE(Table1[[#This Row],[Range2_Low]:[Range2_High]])</f>
        <v>0</v>
      </c>
      <c r="AG2483">
        <f>AVERAGE(Table1[[#This Row],[Range1_Low]:[Range1_High]])</f>
        <v>375</v>
      </c>
      <c r="AH2483">
        <v>1</v>
      </c>
    </row>
    <row r="2484" spans="1:34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155</v>
      </c>
      <c r="U2484" t="str" cm="1">
        <f t="array" ref="U2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4" t="str" cm="1">
        <f t="array" ref="V2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  <c r="AF2484">
        <f>AVERAGE(Table1[[#This Row],[Range2_Low]:[Range2_High]])</f>
        <v>0</v>
      </c>
      <c r="AG2484">
        <f>AVERAGE(Table1[[#This Row],[Range1_Low]:[Range1_High]])</f>
        <v>375</v>
      </c>
      <c r="AH2484">
        <v>1</v>
      </c>
    </row>
    <row r="2485" spans="1:34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155</v>
      </c>
      <c r="U2485" t="str" cm="1">
        <f t="array" ref="U2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V</v>
      </c>
      <c r="V2485" t="str" cm="1">
        <f t="array" ref="V2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  <c r="AF2485">
        <f>AVERAGE(Table1[[#This Row],[Range2_Low]:[Range2_High]])</f>
        <v>0</v>
      </c>
      <c r="AG2485">
        <f>AVERAGE(Table1[[#This Row],[Range1_Low]:[Range1_High]])</f>
        <v>750</v>
      </c>
      <c r="AH2485">
        <v>1</v>
      </c>
    </row>
    <row r="2486" spans="1:34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155</v>
      </c>
      <c r="U2486" t="str" cm="1">
        <f t="array" ref="U2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V2486" t="str" cm="1">
        <f t="array" ref="V2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V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  <c r="AF2486">
        <f>AVERAGE(Table1[[#This Row],[Range2_Low]:[Range2_High]])</f>
        <v>0</v>
      </c>
      <c r="AG2486">
        <f>AVERAGE(Table1[[#This Row],[Range1_Low]:[Range1_High]])</f>
        <v>750</v>
      </c>
      <c r="AH2486">
        <v>1</v>
      </c>
    </row>
    <row r="2487" spans="1:34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155</v>
      </c>
      <c r="U2487" t="str" cm="1">
        <f t="array" ref="U2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V2487" t="str" cm="1">
        <f t="array" ref="V2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  <c r="AF2487">
        <f>AVERAGE(Table1[[#This Row],[Range2_Low]:[Range2_High]])</f>
        <v>0</v>
      </c>
      <c r="AG2487">
        <f>AVERAGE(Table1[[#This Row],[Range1_Low]:[Range1_High]])</f>
        <v>750</v>
      </c>
      <c r="AH2487">
        <v>1</v>
      </c>
    </row>
    <row r="2488" spans="1:34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tr" cm="1">
        <f t="array" ref="U2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Hz</v>
      </c>
      <c r="V2488" t="str" cm="1">
        <f t="array" ref="V2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Hz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  <c r="AF2488">
        <f>AVERAGE(Table1[[#This Row],[Range2_Low]:[Range2_High]])</f>
        <v>0</v>
      </c>
      <c r="AG2488">
        <f>AVERAGE(Table1[[#This Row],[Range1_Low]:[Range1_High]])</f>
        <v>50000.5</v>
      </c>
      <c r="AH2488">
        <v>1</v>
      </c>
    </row>
    <row r="2489" spans="1:34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tr" cm="1">
        <f t="array" ref="U2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Hz</v>
      </c>
      <c r="V2489" t="str" cm="1">
        <f t="array" ref="V2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Hz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  <c r="AF2489">
        <f>AVERAGE(Table1[[#This Row],[Range2_Low]:[Range2_High]])</f>
        <v>0</v>
      </c>
      <c r="AG2489">
        <f>AVERAGE(Table1[[#This Row],[Range1_Low]:[Range1_High]])</f>
        <v>50000.5</v>
      </c>
      <c r="AH2489">
        <v>1</v>
      </c>
    </row>
    <row r="2490" spans="1:34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tr" cm="1">
        <f t="array" ref="U2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2490" t="str" cm="1">
        <f t="array" ref="V2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  <c r="AF2490">
        <f>AVERAGE(Table1[[#This Row],[Range2_Low]:[Range2_High]])</f>
        <v>0</v>
      </c>
      <c r="AG2490">
        <f>AVERAGE(Table1[[#This Row],[Range1_Low]:[Range1_High]])</f>
        <v>50000.5</v>
      </c>
      <c r="AH2490">
        <v>1</v>
      </c>
    </row>
    <row r="2491" spans="1:34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tr" cm="1">
        <f t="array" ref="U2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2491" t="str" cm="1">
        <f t="array" ref="V2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  <c r="AF2491">
        <f>AVERAGE(Table1[[#This Row],[Range2_Low]:[Range2_High]])</f>
        <v>0</v>
      </c>
      <c r="AG2491">
        <f>AVERAGE(Table1[[#This Row],[Range1_Low]:[Range1_High]])</f>
        <v>50000.5</v>
      </c>
      <c r="AH2491">
        <v>1</v>
      </c>
    </row>
    <row r="2492" spans="1:34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tr" cm="1">
        <f t="array" ref="U2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2492" t="str" cm="1">
        <f t="array" ref="V2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  <c r="AF2492">
        <f>AVERAGE(Table1[[#This Row],[Range2_Low]:[Range2_High]])</f>
        <v>0</v>
      </c>
      <c r="AG2492">
        <f>AVERAGE(Table1[[#This Row],[Range1_Low]:[Range1_High]])</f>
        <v>50000.5</v>
      </c>
      <c r="AH2492">
        <v>1</v>
      </c>
    </row>
    <row r="2493" spans="1:34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tr" cm="1">
        <f t="array" ref="U2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V2493" t="str" cm="1">
        <f t="array" ref="V2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  <c r="AF2493">
        <f>AVERAGE(Table1[[#This Row],[Range2_Low]:[Range2_High]])</f>
        <v>0</v>
      </c>
      <c r="AG2493">
        <f>AVERAGE(Table1[[#This Row],[Range1_Low]:[Range1_High]])</f>
        <v>0.05</v>
      </c>
      <c r="AH2493">
        <v>1</v>
      </c>
    </row>
    <row r="2494" spans="1:34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tr" cm="1">
        <f t="array" ref="U2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V2494" t="str" cm="1">
        <f t="array" ref="V2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  <c r="AF2494">
        <f>AVERAGE(Table1[[#This Row],[Range2_Low]:[Range2_High]])</f>
        <v>0</v>
      </c>
      <c r="AG2494">
        <f>AVERAGE(Table1[[#This Row],[Range1_Low]:[Range1_High]])</f>
        <v>0.05</v>
      </c>
      <c r="AH2494">
        <v>1</v>
      </c>
    </row>
    <row r="2495" spans="1:34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tr" cm="1">
        <f t="array" ref="U2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2495" t="str" cm="1">
        <f t="array" ref="V2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µV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  <c r="AF2495">
        <f>AVERAGE(Table1[[#This Row],[Range2_Low]:[Range2_High]])</f>
        <v>0</v>
      </c>
      <c r="AG2495">
        <f>AVERAGE(Table1[[#This Row],[Range1_Low]:[Range1_High]])</f>
        <v>0.05</v>
      </c>
      <c r="AH2495">
        <v>1</v>
      </c>
    </row>
    <row r="2496" spans="1:34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tr" cm="1">
        <f t="array" ref="U2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496" t="str" cm="1">
        <f t="array" ref="V2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  <c r="AF2496">
        <f>AVERAGE(Table1[[#This Row],[Range2_Low]:[Range2_High]])</f>
        <v>0</v>
      </c>
      <c r="AG2496">
        <f>AVERAGE(Table1[[#This Row],[Range1_Low]:[Range1_High]])</f>
        <v>0.05</v>
      </c>
      <c r="AH2496">
        <v>1</v>
      </c>
    </row>
    <row r="2497" spans="1:34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tr" cm="1">
        <f t="array" ref="U2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497" t="str" cm="1">
        <f t="array" ref="V2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  <c r="AF2497">
        <f>AVERAGE(Table1[[#This Row],[Range2_Low]:[Range2_High]])</f>
        <v>0</v>
      </c>
      <c r="AG2497">
        <f>AVERAGE(Table1[[#This Row],[Range1_Low]:[Range1_High]])</f>
        <v>0.05</v>
      </c>
      <c r="AH2497">
        <v>1</v>
      </c>
    </row>
    <row r="2498" spans="1:34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tr" cm="1">
        <f t="array" ref="U2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µV</v>
      </c>
      <c r="V2498" t="str" cm="1">
        <f t="array" ref="V2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  <c r="AF2498">
        <f>AVERAGE(Table1[[#This Row],[Range2_Low]:[Range2_High]])</f>
        <v>0</v>
      </c>
      <c r="AG2498">
        <f>AVERAGE(Table1[[#This Row],[Range1_Low]:[Range1_High]])</f>
        <v>0.55000000000000004</v>
      </c>
      <c r="AH2498">
        <v>1</v>
      </c>
    </row>
    <row r="2499" spans="1:34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tr" cm="1">
        <f t="array" ref="U2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2499" t="str" cm="1">
        <f t="array" ref="V2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  <c r="AF2499">
        <f>AVERAGE(Table1[[#This Row],[Range2_Low]:[Range2_High]])</f>
        <v>0</v>
      </c>
      <c r="AG2499">
        <f>AVERAGE(Table1[[#This Row],[Range1_Low]:[Range1_High]])</f>
        <v>0.55000000000000004</v>
      </c>
      <c r="AH2499">
        <v>1</v>
      </c>
    </row>
    <row r="2500" spans="1:34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tr" cm="1">
        <f t="array" ref="U2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00" t="str" cm="1">
        <f t="array" ref="V2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  <c r="AF2500">
        <f>AVERAGE(Table1[[#This Row],[Range2_Low]:[Range2_High]])</f>
        <v>0</v>
      </c>
      <c r="AG2500">
        <f>AVERAGE(Table1[[#This Row],[Range1_Low]:[Range1_High]])</f>
        <v>0.55000000000000004</v>
      </c>
      <c r="AH2500">
        <v>1</v>
      </c>
    </row>
    <row r="2501" spans="1:34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tr" cm="1">
        <f t="array" ref="U2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1" t="str" cm="1">
        <f t="array" ref="V2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  <c r="AF2501">
        <f>AVERAGE(Table1[[#This Row],[Range2_Low]:[Range2_High]])</f>
        <v>0</v>
      </c>
      <c r="AG2501">
        <f>AVERAGE(Table1[[#This Row],[Range1_Low]:[Range1_High]])</f>
        <v>0.55000000000000004</v>
      </c>
      <c r="AH2501">
        <v>1</v>
      </c>
    </row>
    <row r="2502" spans="1:34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tr" cm="1">
        <f t="array" ref="U2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2" t="str" cm="1">
        <f t="array" ref="V2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  <c r="AF2502">
        <f>AVERAGE(Table1[[#This Row],[Range2_Low]:[Range2_High]])</f>
        <v>0</v>
      </c>
      <c r="AG2502">
        <f>AVERAGE(Table1[[#This Row],[Range1_Low]:[Range1_High]])</f>
        <v>0.55000000000000004</v>
      </c>
      <c r="AH2502">
        <v>1</v>
      </c>
    </row>
    <row r="2503" spans="1:34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tr" cm="1">
        <f t="array" ref="U2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03" t="str" cm="1">
        <f t="array" ref="V2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  <c r="AF2503">
        <f>AVERAGE(Table1[[#This Row],[Range2_Low]:[Range2_High]])</f>
        <v>0</v>
      </c>
      <c r="AG2503">
        <f>AVERAGE(Table1[[#This Row],[Range1_Low]:[Range1_High]])</f>
        <v>5.5</v>
      </c>
      <c r="AH2503">
        <v>1</v>
      </c>
    </row>
    <row r="2504" spans="1:34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tr" cm="1">
        <f t="array" ref="U2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04" t="str" cm="1">
        <f t="array" ref="V2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  <c r="AF2504">
        <f>AVERAGE(Table1[[#This Row],[Range2_Low]:[Range2_High]])</f>
        <v>0</v>
      </c>
      <c r="AG2504">
        <f>AVERAGE(Table1[[#This Row],[Range1_Low]:[Range1_High]])</f>
        <v>5.5</v>
      </c>
      <c r="AH2504">
        <v>1</v>
      </c>
    </row>
    <row r="2505" spans="1:34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tr" cm="1">
        <f t="array" ref="U2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5" t="str" cm="1">
        <f t="array" ref="V2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  <c r="AF2505">
        <f>AVERAGE(Table1[[#This Row],[Range2_Low]:[Range2_High]])</f>
        <v>0</v>
      </c>
      <c r="AG2505">
        <f>AVERAGE(Table1[[#This Row],[Range1_Low]:[Range1_High]])</f>
        <v>5.5</v>
      </c>
      <c r="AH2505">
        <v>1</v>
      </c>
    </row>
    <row r="2506" spans="1:34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tr" cm="1">
        <f t="array" ref="U2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6" t="str" cm="1">
        <f t="array" ref="V2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  <c r="AF2506">
        <f>AVERAGE(Table1[[#This Row],[Range2_Low]:[Range2_High]])</f>
        <v>0</v>
      </c>
      <c r="AG2506">
        <f>AVERAGE(Table1[[#This Row],[Range1_Low]:[Range1_High]])</f>
        <v>5.5</v>
      </c>
      <c r="AH2506">
        <v>1</v>
      </c>
    </row>
    <row r="2507" spans="1:34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tr" cm="1">
        <f t="array" ref="U2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2507" t="str" cm="1">
        <f t="array" ref="V2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  <c r="AF2507">
        <f>AVERAGE(Table1[[#This Row],[Range2_Low]:[Range2_High]])</f>
        <v>0</v>
      </c>
      <c r="AG2507">
        <f>AVERAGE(Table1[[#This Row],[Range1_Low]:[Range1_High]])</f>
        <v>5.5</v>
      </c>
      <c r="AH2507">
        <v>1</v>
      </c>
    </row>
    <row r="2508" spans="1:34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tr" cm="1">
        <f t="array" ref="U2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V2508" t="str" cm="1">
        <f t="array" ref="V2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mV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  <c r="AF2508">
        <f>AVERAGE(Table1[[#This Row],[Range2_Low]:[Range2_High]])</f>
        <v>0</v>
      </c>
      <c r="AG2508">
        <f>AVERAGE(Table1[[#This Row],[Range1_Low]:[Range1_High]])</f>
        <v>55</v>
      </c>
      <c r="AH2508">
        <v>1</v>
      </c>
    </row>
    <row r="2509" spans="1:34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tr" cm="1">
        <f t="array" ref="U2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2509" t="str" cm="1">
        <f t="array" ref="V2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  <c r="AF2509">
        <f>AVERAGE(Table1[[#This Row],[Range2_Low]:[Range2_High]])</f>
        <v>0</v>
      </c>
      <c r="AG2509">
        <f>AVERAGE(Table1[[#This Row],[Range1_Low]:[Range1_High]])</f>
        <v>55</v>
      </c>
      <c r="AH2509">
        <v>1</v>
      </c>
    </row>
    <row r="2510" spans="1:34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tr" cm="1">
        <f t="array" ref="U2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2510" t="str" cm="1">
        <f t="array" ref="V2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  <c r="AF2510">
        <f>AVERAGE(Table1[[#This Row],[Range2_Low]:[Range2_High]])</f>
        <v>0</v>
      </c>
      <c r="AG2510">
        <f>AVERAGE(Table1[[#This Row],[Range1_Low]:[Range1_High]])</f>
        <v>55</v>
      </c>
      <c r="AH2510">
        <v>1</v>
      </c>
    </row>
    <row r="2511" spans="1:34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tr" cm="1">
        <f t="array" ref="U2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1" t="str" cm="1">
        <f t="array" ref="V2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  <c r="AF2511">
        <f>AVERAGE(Table1[[#This Row],[Range2_Low]:[Range2_High]])</f>
        <v>0</v>
      </c>
      <c r="AG2511">
        <f>AVERAGE(Table1[[#This Row],[Range1_Low]:[Range1_High]])</f>
        <v>55</v>
      </c>
      <c r="AH2511">
        <v>1</v>
      </c>
    </row>
    <row r="2512" spans="1:34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tr" cm="1">
        <f t="array" ref="U2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2" t="str" cm="1">
        <f t="array" ref="V2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  <c r="AF2512">
        <f>AVERAGE(Table1[[#This Row],[Range2_Low]:[Range2_High]])</f>
        <v>0</v>
      </c>
      <c r="AG2512">
        <f>AVERAGE(Table1[[#This Row],[Range1_Low]:[Range1_High]])</f>
        <v>55</v>
      </c>
      <c r="AH2512">
        <v>1</v>
      </c>
    </row>
    <row r="2513" spans="1:34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tr" cm="1">
        <f t="array" ref="U2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2513" t="str" cm="1">
        <f t="array" ref="V2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  <c r="AF2513">
        <f>AVERAGE(Table1[[#This Row],[Range2_Low]:[Range2_High]])</f>
        <v>0</v>
      </c>
      <c r="AG2513">
        <f>AVERAGE(Table1[[#This Row],[Range1_Low]:[Range1_High]])</f>
        <v>560</v>
      </c>
      <c r="AH2513">
        <v>1</v>
      </c>
    </row>
    <row r="2514" spans="1:34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tr" cm="1">
        <f t="array" ref="U2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514" t="str" cm="1">
        <f t="array" ref="V2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  <c r="AF2514">
        <f>AVERAGE(Table1[[#This Row],[Range2_Low]:[Range2_High]])</f>
        <v>0</v>
      </c>
      <c r="AG2514">
        <f>AVERAGE(Table1[[#This Row],[Range1_Low]:[Range1_High]])</f>
        <v>560</v>
      </c>
      <c r="AH2514">
        <v>1</v>
      </c>
    </row>
    <row r="2515" spans="1:34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tr" cm="1">
        <f t="array" ref="U2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5" t="str" cm="1">
        <f t="array" ref="V2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  <c r="AF2515">
        <f>AVERAGE(Table1[[#This Row],[Range2_Low]:[Range2_High]])</f>
        <v>0</v>
      </c>
      <c r="AG2515">
        <f>AVERAGE(Table1[[#This Row],[Range1_Low]:[Range1_High]])</f>
        <v>560</v>
      </c>
      <c r="AH2515">
        <v>1</v>
      </c>
    </row>
    <row r="2516" spans="1:34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tr" cm="1">
        <f t="array" ref="U2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6" t="str" cm="1">
        <f t="array" ref="V2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  <c r="AF2516">
        <f>AVERAGE(Table1[[#This Row],[Range2_Low]:[Range2_High]])</f>
        <v>0</v>
      </c>
      <c r="AG2516">
        <f>AVERAGE(Table1[[#This Row],[Range1_Low]:[Range1_High]])</f>
        <v>560</v>
      </c>
      <c r="AH2516">
        <v>1</v>
      </c>
    </row>
    <row r="2517" spans="1:34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tr" cm="1">
        <f t="array" ref="U2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517" t="str" cm="1">
        <f t="array" ref="V2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  <c r="AF2517">
        <f>AVERAGE(Table1[[#This Row],[Range2_Low]:[Range2_High]])</f>
        <v>0</v>
      </c>
      <c r="AG2517">
        <f>AVERAGE(Table1[[#This Row],[Range1_Low]:[Range1_High]])</f>
        <v>560</v>
      </c>
      <c r="AH2517">
        <v>1</v>
      </c>
    </row>
    <row r="2518" spans="1:34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161</v>
      </c>
      <c r="U2518" t="str" cm="1">
        <f t="array" ref="U2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mA</v>
      </c>
      <c r="V2518" t="str" cm="1">
        <f t="array" ref="V2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  <c r="AF2518">
        <f>AVERAGE(Table1[[#This Row],[Range2_Low]:[Range2_High]])</f>
        <v>0</v>
      </c>
      <c r="AG2518">
        <f>AVERAGE(Table1[[#This Row],[Range1_Low]:[Range1_High]])</f>
        <v>28</v>
      </c>
      <c r="AH2518">
        <v>1</v>
      </c>
    </row>
    <row r="2519" spans="1:34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161</v>
      </c>
      <c r="U2519" t="str" cm="1">
        <f t="array" ref="U2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mA</v>
      </c>
      <c r="V2519" t="str" cm="1">
        <f t="array" ref="V2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  <c r="AF2519">
        <f>AVERAGE(Table1[[#This Row],[Range2_Low]:[Range2_High]])</f>
        <v>0</v>
      </c>
      <c r="AG2519">
        <f>AVERAGE(Table1[[#This Row],[Range1_Low]:[Range1_High]])</f>
        <v>28</v>
      </c>
      <c r="AH2519">
        <v>1</v>
      </c>
    </row>
    <row r="2520" spans="1:34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161</v>
      </c>
      <c r="U2520" t="str" cm="1">
        <f t="array" ref="U2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mA</v>
      </c>
      <c r="V2520" t="str" cm="1">
        <f t="array" ref="V2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  <c r="AF2520">
        <f>AVERAGE(Table1[[#This Row],[Range2_Low]:[Range2_High]])</f>
        <v>0</v>
      </c>
      <c r="AG2520">
        <f>AVERAGE(Table1[[#This Row],[Range1_Low]:[Range1_High]])</f>
        <v>28</v>
      </c>
      <c r="AH2520">
        <v>1</v>
      </c>
    </row>
    <row r="2521" spans="1:34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161</v>
      </c>
      <c r="U2521" t="str" cm="1">
        <f t="array" ref="U2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521" t="str" cm="1">
        <f t="array" ref="V2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  <c r="AF2521">
        <f>AVERAGE(Table1[[#This Row],[Range2_Low]:[Range2_High]])</f>
        <v>0</v>
      </c>
      <c r="AG2521">
        <f>AVERAGE(Table1[[#This Row],[Range1_Low]:[Range1_High]])</f>
        <v>28</v>
      </c>
      <c r="AH2521">
        <v>1</v>
      </c>
    </row>
    <row r="2522" spans="1:34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161</v>
      </c>
      <c r="U2522" t="str" cm="1">
        <f t="array" ref="U2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2" t="str" cm="1">
        <f t="array" ref="V2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  <c r="AF2522">
        <f>AVERAGE(Table1[[#This Row],[Range2_Low]:[Range2_High]])</f>
        <v>0</v>
      </c>
      <c r="AG2522">
        <f>AVERAGE(Table1[[#This Row],[Range1_Low]:[Range1_High]])</f>
        <v>28</v>
      </c>
      <c r="AH2522">
        <v>1</v>
      </c>
    </row>
    <row r="2523" spans="1:34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161</v>
      </c>
      <c r="U2523" t="str" cm="1">
        <f t="array" ref="U2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3" t="str" cm="1">
        <f t="array" ref="V2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mA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  <c r="AF2523">
        <f>AVERAGE(Table1[[#This Row],[Range2_Low]:[Range2_High]])</f>
        <v>0</v>
      </c>
      <c r="AG2523">
        <f>AVERAGE(Table1[[#This Row],[Range1_Low]:[Range1_High]])</f>
        <v>280</v>
      </c>
      <c r="AH2523">
        <v>1</v>
      </c>
    </row>
    <row r="2524" spans="1:34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161</v>
      </c>
      <c r="U2524" t="str" cm="1">
        <f t="array" ref="U2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4" t="str" cm="1">
        <f t="array" ref="V2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  <c r="AF2524">
        <f>AVERAGE(Table1[[#This Row],[Range2_Low]:[Range2_High]])</f>
        <v>0</v>
      </c>
      <c r="AG2524">
        <f>AVERAGE(Table1[[#This Row],[Range1_Low]:[Range1_High]])</f>
        <v>280</v>
      </c>
      <c r="AH2524">
        <v>1</v>
      </c>
    </row>
    <row r="2525" spans="1:34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161</v>
      </c>
      <c r="U2525" t="str" cm="1">
        <f t="array" ref="U2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5" t="str" cm="1">
        <f t="array" ref="V2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  <c r="AF2525">
        <f>AVERAGE(Table1[[#This Row],[Range2_Low]:[Range2_High]])</f>
        <v>0</v>
      </c>
      <c r="AG2525">
        <f>AVERAGE(Table1[[#This Row],[Range1_Low]:[Range1_High]])</f>
        <v>280</v>
      </c>
      <c r="AH2525">
        <v>1</v>
      </c>
    </row>
    <row r="2526" spans="1:34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161</v>
      </c>
      <c r="U2526" t="str" cm="1">
        <f t="array" ref="U2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526" t="str" cm="1">
        <f t="array" ref="V2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  <c r="AF2526">
        <f>AVERAGE(Table1[[#This Row],[Range2_Low]:[Range2_High]])</f>
        <v>0</v>
      </c>
      <c r="AG2526">
        <f>AVERAGE(Table1[[#This Row],[Range1_Low]:[Range1_High]])</f>
        <v>280</v>
      </c>
      <c r="AH2526">
        <v>1</v>
      </c>
    </row>
    <row r="2527" spans="1:34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161</v>
      </c>
      <c r="U2527" t="str" cm="1">
        <f t="array" ref="U2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7" t="str" cm="1">
        <f t="array" ref="V2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  <c r="AF2527">
        <f>AVERAGE(Table1[[#This Row],[Range2_Low]:[Range2_High]])</f>
        <v>0</v>
      </c>
      <c r="AG2527">
        <f>AVERAGE(Table1[[#This Row],[Range1_Low]:[Range1_High]])</f>
        <v>280</v>
      </c>
      <c r="AH2527">
        <v>1</v>
      </c>
    </row>
    <row r="2528" spans="1:34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160</v>
      </c>
      <c r="U2528" t="str" cm="1">
        <f t="array" ref="U2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8" t="str" cm="1">
        <f t="array" ref="V2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  <c r="AF2528">
        <f>AVERAGE(Table1[[#This Row],[Range2_Low]:[Range2_High]])</f>
        <v>0</v>
      </c>
      <c r="AG2528">
        <f>AVERAGE(Table1[[#This Row],[Range1_Low]:[Range1_High]])</f>
        <v>112</v>
      </c>
      <c r="AH2528">
        <v>1</v>
      </c>
    </row>
    <row r="2529" spans="1:34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160</v>
      </c>
      <c r="U2529" t="str" cm="1">
        <f t="array" ref="U2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9" t="str" cm="1">
        <f t="array" ref="V2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  <c r="AF2529">
        <f>AVERAGE(Table1[[#This Row],[Range2_Low]:[Range2_High]])</f>
        <v>0</v>
      </c>
      <c r="AG2529">
        <f>AVERAGE(Table1[[#This Row],[Range1_Low]:[Range1_High]])</f>
        <v>112</v>
      </c>
      <c r="AH2529">
        <v>1</v>
      </c>
    </row>
    <row r="2530" spans="1:34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160</v>
      </c>
      <c r="U2530" t="str" cm="1">
        <f t="array" ref="U2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530" t="str" cm="1">
        <f t="array" ref="V2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  <c r="AF2530">
        <f>AVERAGE(Table1[[#This Row],[Range2_Low]:[Range2_High]])</f>
        <v>0</v>
      </c>
      <c r="AG2530">
        <f>AVERAGE(Table1[[#This Row],[Range1_Low]:[Range1_High]])</f>
        <v>112</v>
      </c>
      <c r="AH2530">
        <v>1</v>
      </c>
    </row>
    <row r="2531" spans="1:34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160</v>
      </c>
      <c r="U2531" t="str" cm="1">
        <f t="array" ref="U2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V2531" t="str" cm="1">
        <f t="array" ref="V2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  <c r="AF2531">
        <f>AVERAGE(Table1[[#This Row],[Range2_Low]:[Range2_High]])</f>
        <v>0</v>
      </c>
      <c r="AG2531">
        <f>AVERAGE(Table1[[#This Row],[Range1_Low]:[Range1_High]])</f>
        <v>112</v>
      </c>
      <c r="AH2531">
        <v>1</v>
      </c>
    </row>
    <row r="2532" spans="1:34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160</v>
      </c>
      <c r="U2532" t="str" cm="1">
        <f t="array" ref="U2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2" t="str" cm="1">
        <f t="array" ref="V2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  <c r="AF2532">
        <f>AVERAGE(Table1[[#This Row],[Range2_Low]:[Range2_High]])</f>
        <v>0</v>
      </c>
      <c r="AG2532">
        <f>AVERAGE(Table1[[#This Row],[Range1_Low]:[Range1_High]])</f>
        <v>112</v>
      </c>
      <c r="AH2532">
        <v>1</v>
      </c>
    </row>
    <row r="2533" spans="1:34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159</v>
      </c>
      <c r="U2533" t="str" cm="1">
        <f t="array" ref="U2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3" t="str" cm="1">
        <f t="array" ref="V2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  <c r="AF2533">
        <f>AVERAGE(Table1[[#This Row],[Range2_Low]:[Range2_High]])</f>
        <v>0</v>
      </c>
      <c r="AG2533">
        <f>AVERAGE(Table1[[#This Row],[Range1_Low]:[Range1_High]])</f>
        <v>56</v>
      </c>
      <c r="AH2533">
        <v>1</v>
      </c>
    </row>
    <row r="2534" spans="1:34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159</v>
      </c>
      <c r="U2534" t="str" cm="1">
        <f t="array" ref="U2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4" t="str" cm="1">
        <f t="array" ref="V2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  <c r="AF2534">
        <f>AVERAGE(Table1[[#This Row],[Range2_Low]:[Range2_High]])</f>
        <v>0</v>
      </c>
      <c r="AG2534">
        <f>AVERAGE(Table1[[#This Row],[Range1_Low]:[Range1_High]])</f>
        <v>56</v>
      </c>
      <c r="AH2534">
        <v>1</v>
      </c>
    </row>
    <row r="2535" spans="1:34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159</v>
      </c>
      <c r="U2535" t="str" cm="1">
        <f t="array" ref="U2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2535" t="str" cm="1">
        <f t="array" ref="V2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mA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  <c r="AF2535">
        <f>AVERAGE(Table1[[#This Row],[Range2_Low]:[Range2_High]])</f>
        <v>0</v>
      </c>
      <c r="AG2535">
        <f>AVERAGE(Table1[[#This Row],[Range1_Low]:[Range1_High]])</f>
        <v>56</v>
      </c>
      <c r="AH2535">
        <v>1</v>
      </c>
    </row>
    <row r="2536" spans="1:34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159</v>
      </c>
      <c r="U2536" t="str" cm="1">
        <f t="array" ref="U2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2536" t="str" cm="1">
        <f t="array" ref="V2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  <c r="AF2536">
        <f>AVERAGE(Table1[[#This Row],[Range2_Low]:[Range2_High]])</f>
        <v>0</v>
      </c>
      <c r="AG2536">
        <f>AVERAGE(Table1[[#This Row],[Range1_Low]:[Range1_High]])</f>
        <v>56</v>
      </c>
      <c r="AH2536">
        <v>1</v>
      </c>
    </row>
    <row r="2537" spans="1:34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159</v>
      </c>
      <c r="U2537" t="str" cm="1">
        <f t="array" ref="U2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7" t="str" cm="1">
        <f t="array" ref="V2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  <c r="AF2537">
        <f>AVERAGE(Table1[[#This Row],[Range2_Low]:[Range2_High]])</f>
        <v>0</v>
      </c>
      <c r="AG2537">
        <f>AVERAGE(Table1[[#This Row],[Range1_Low]:[Range1_High]])</f>
        <v>56</v>
      </c>
      <c r="AH2537">
        <v>1</v>
      </c>
    </row>
    <row r="2538" spans="1:34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159</v>
      </c>
      <c r="U2538" t="str" cm="1">
        <f t="array" ref="U2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538" t="str" cm="1">
        <f t="array" ref="V2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  <c r="AF2538">
        <f>AVERAGE(Table1[[#This Row],[Range2_Low]:[Range2_High]])</f>
        <v>0</v>
      </c>
      <c r="AG2538">
        <f>AVERAGE(Table1[[#This Row],[Range1_Low]:[Range1_High]])</f>
        <v>56</v>
      </c>
      <c r="AH2538">
        <v>1</v>
      </c>
    </row>
    <row r="2539" spans="1:34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tr" cm="1">
        <f t="array" ref="U2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39" t="str" cm="1">
        <f t="array" ref="V2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  <c r="AF2539">
        <f>AVERAGE(Table1[[#This Row],[Range2_Low]:[Range2_High]])</f>
        <v>0</v>
      </c>
      <c r="AG2539">
        <f>AVERAGE(Table1[[#This Row],[Range1_Low]:[Range1_High]])</f>
        <v>5.0000000000000002E-5</v>
      </c>
      <c r="AH2539">
        <v>1</v>
      </c>
    </row>
    <row r="2540" spans="1:34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tr" cm="1">
        <f t="array" ref="U2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40" t="str" cm="1">
        <f t="array" ref="V2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  <c r="AF2540">
        <f>AVERAGE(Table1[[#This Row],[Range2_Low]:[Range2_High]])</f>
        <v>0</v>
      </c>
      <c r="AG2540">
        <f>AVERAGE(Table1[[#This Row],[Range1_Low]:[Range1_High]])</f>
        <v>5.0000000000000002E-5</v>
      </c>
      <c r="AH2540">
        <v>1</v>
      </c>
    </row>
    <row r="2541" spans="1:34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tr" cm="1">
        <f t="array" ref="U2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nA</v>
      </c>
      <c r="V2541" t="str" cm="1">
        <f t="array" ref="V2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nA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  <c r="AF2541">
        <f>AVERAGE(Table1[[#This Row],[Range2_Low]:[Range2_High]])</f>
        <v>0</v>
      </c>
      <c r="AG2541">
        <f>AVERAGE(Table1[[#This Row],[Range1_Low]:[Range1_High]])</f>
        <v>5.0000000000000002E-5</v>
      </c>
      <c r="AH2541">
        <v>1</v>
      </c>
    </row>
    <row r="2542" spans="1:34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tr" cm="1">
        <f t="array" ref="U2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542" t="str" cm="1">
        <f t="array" ref="V2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  <c r="AF2542">
        <f>AVERAGE(Table1[[#This Row],[Range2_Low]:[Range2_High]])</f>
        <v>0</v>
      </c>
      <c r="AG2542">
        <f>AVERAGE(Table1[[#This Row],[Range1_Low]:[Range1_High]])</f>
        <v>5.0000000000000002E-5</v>
      </c>
      <c r="AH2542">
        <v>1</v>
      </c>
    </row>
    <row r="2543" spans="1:34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tr" cm="1">
        <f t="array" ref="U2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3" t="str" cm="1">
        <f t="array" ref="V2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  <c r="AF2543">
        <f>AVERAGE(Table1[[#This Row],[Range2_Low]:[Range2_High]])</f>
        <v>0</v>
      </c>
      <c r="AG2543">
        <f>AVERAGE(Table1[[#This Row],[Range1_Low]:[Range1_High]])</f>
        <v>5.0000000000000002E-5</v>
      </c>
      <c r="AH2543">
        <v>1</v>
      </c>
    </row>
    <row r="2544" spans="1:34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tr" cm="1">
        <f t="array" ref="U2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4" t="str" cm="1">
        <f t="array" ref="V2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  <c r="AF2544">
        <f>AVERAGE(Table1[[#This Row],[Range2_Low]:[Range2_High]])</f>
        <v>0</v>
      </c>
      <c r="AG2544">
        <f>AVERAGE(Table1[[#This Row],[Range1_Low]:[Range1_High]])</f>
        <v>5.5000000000000003E-4</v>
      </c>
      <c r="AH2544">
        <v>1</v>
      </c>
    </row>
    <row r="2545" spans="1:34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tr" cm="1">
        <f t="array" ref="U2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5" t="str" cm="1">
        <f t="array" ref="V2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  <c r="AF2545">
        <f>AVERAGE(Table1[[#This Row],[Range2_Low]:[Range2_High]])</f>
        <v>0</v>
      </c>
      <c r="AG2545">
        <f>AVERAGE(Table1[[#This Row],[Range1_Low]:[Range1_High]])</f>
        <v>5.5000000000000003E-4</v>
      </c>
      <c r="AH2545">
        <v>1</v>
      </c>
    </row>
    <row r="2546" spans="1:34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tr" cm="1">
        <f t="array" ref="U2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nA</v>
      </c>
      <c r="V2546" t="str" cm="1">
        <f t="array" ref="V2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nA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  <c r="AF2546">
        <f>AVERAGE(Table1[[#This Row],[Range2_Low]:[Range2_High]])</f>
        <v>0</v>
      </c>
      <c r="AG2546">
        <f>AVERAGE(Table1[[#This Row],[Range1_Low]:[Range1_High]])</f>
        <v>5.5000000000000003E-4</v>
      </c>
      <c r="AH2546">
        <v>1</v>
      </c>
    </row>
    <row r="2547" spans="1:34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tr" cm="1">
        <f t="array" ref="U2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7" t="str" cm="1">
        <f t="array" ref="V2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  <c r="AF2547">
        <f>AVERAGE(Table1[[#This Row],[Range2_Low]:[Range2_High]])</f>
        <v>0</v>
      </c>
      <c r="AG2547">
        <f>AVERAGE(Table1[[#This Row],[Range1_Low]:[Range1_High]])</f>
        <v>5.5000000000000003E-4</v>
      </c>
      <c r="AH2547">
        <v>1</v>
      </c>
    </row>
    <row r="2548" spans="1:34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tr" cm="1">
        <f t="array" ref="U2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548" t="str" cm="1">
        <f t="array" ref="V2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  <c r="AF2548">
        <f>AVERAGE(Table1[[#This Row],[Range2_Low]:[Range2_High]])</f>
        <v>0</v>
      </c>
      <c r="AG2548">
        <f>AVERAGE(Table1[[#This Row],[Range1_Low]:[Range1_High]])</f>
        <v>5.5000000000000003E-4</v>
      </c>
      <c r="AH2548">
        <v>1</v>
      </c>
    </row>
    <row r="2549" spans="1:34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tr" cm="1">
        <f t="array" ref="U2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49" t="str" cm="1">
        <f t="array" ref="V2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  <c r="AF2549">
        <f>AVERAGE(Table1[[#This Row],[Range2_Low]:[Range2_High]])</f>
        <v>0</v>
      </c>
      <c r="AG2549">
        <f>AVERAGE(Table1[[#This Row],[Range1_Low]:[Range1_High]])</f>
        <v>5.4999999999999997E-3</v>
      </c>
      <c r="AH2549">
        <v>1</v>
      </c>
    </row>
    <row r="2550" spans="1:34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tr" cm="1">
        <f t="array" ref="U2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50" t="str" cm="1">
        <f t="array" ref="V2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  <c r="AF2550">
        <f>AVERAGE(Table1[[#This Row],[Range2_Low]:[Range2_High]])</f>
        <v>0</v>
      </c>
      <c r="AG2550">
        <f>AVERAGE(Table1[[#This Row],[Range1_Low]:[Range1_High]])</f>
        <v>5.4999999999999997E-3</v>
      </c>
      <c r="AH2550">
        <v>1</v>
      </c>
    </row>
    <row r="2551" spans="1:34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tr" cm="1">
        <f t="array" ref="U2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551" t="str" cm="1">
        <f t="array" ref="V2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  <c r="AF2551">
        <f>AVERAGE(Table1[[#This Row],[Range2_Low]:[Range2_High]])</f>
        <v>0</v>
      </c>
      <c r="AG2551">
        <f>AVERAGE(Table1[[#This Row],[Range1_Low]:[Range1_High]])</f>
        <v>5.4999999999999997E-3</v>
      </c>
      <c r="AH2551">
        <v>1</v>
      </c>
    </row>
    <row r="2552" spans="1:34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tr" cm="1">
        <f t="array" ref="U2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52" t="str" cm="1">
        <f t="array" ref="V2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  <c r="AF2552">
        <f>AVERAGE(Table1[[#This Row],[Range2_Low]:[Range2_High]])</f>
        <v>0</v>
      </c>
      <c r="AG2552">
        <f>AVERAGE(Table1[[#This Row],[Range1_Low]:[Range1_High]])</f>
        <v>5.4999999999999997E-3</v>
      </c>
      <c r="AH2552">
        <v>1</v>
      </c>
    </row>
    <row r="2553" spans="1:34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tr" cm="1">
        <f t="array" ref="U2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3" t="str" cm="1">
        <f t="array" ref="V2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  <c r="AF2553">
        <f>AVERAGE(Table1[[#This Row],[Range2_Low]:[Range2_High]])</f>
        <v>0</v>
      </c>
      <c r="AG2553">
        <f>AVERAGE(Table1[[#This Row],[Range1_Low]:[Range1_High]])</f>
        <v>5.4999999999999997E-3</v>
      </c>
      <c r="AH2553">
        <v>1</v>
      </c>
    </row>
    <row r="2554" spans="1:34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tr" cm="1">
        <f t="array" ref="U2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4" t="str" cm="1">
        <f t="array" ref="V2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  <c r="AF2554">
        <f>AVERAGE(Table1[[#This Row],[Range2_Low]:[Range2_High]])</f>
        <v>0</v>
      </c>
      <c r="AG2554">
        <f>AVERAGE(Table1[[#This Row],[Range1_Low]:[Range1_High]])</f>
        <v>5.5E-2</v>
      </c>
      <c r="AH2554">
        <v>1</v>
      </c>
    </row>
    <row r="2555" spans="1:34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tr" cm="1">
        <f t="array" ref="U2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5" t="str" cm="1">
        <f t="array" ref="V2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µA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  <c r="AF2555">
        <f>AVERAGE(Table1[[#This Row],[Range2_Low]:[Range2_High]])</f>
        <v>0</v>
      </c>
      <c r="AG2555">
        <f>AVERAGE(Table1[[#This Row],[Range1_Low]:[Range1_High]])</f>
        <v>5.5E-2</v>
      </c>
      <c r="AH2555">
        <v>1</v>
      </c>
    </row>
    <row r="2556" spans="1:34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tr" cm="1">
        <f t="array" ref="U2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2556" t="str" cm="1">
        <f t="array" ref="V2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µA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  <c r="AF2556">
        <f>AVERAGE(Table1[[#This Row],[Range2_Low]:[Range2_High]])</f>
        <v>0</v>
      </c>
      <c r="AG2556">
        <f>AVERAGE(Table1[[#This Row],[Range1_Low]:[Range1_High]])</f>
        <v>5.5E-2</v>
      </c>
      <c r="AH2556">
        <v>1</v>
      </c>
    </row>
    <row r="2557" spans="1:34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tr" cm="1">
        <f t="array" ref="U2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7" t="str" cm="1">
        <f t="array" ref="V2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  <c r="AF2557">
        <f>AVERAGE(Table1[[#This Row],[Range2_Low]:[Range2_High]])</f>
        <v>0</v>
      </c>
      <c r="AG2557">
        <f>AVERAGE(Table1[[#This Row],[Range1_Low]:[Range1_High]])</f>
        <v>5.5E-2</v>
      </c>
      <c r="AH2557">
        <v>1</v>
      </c>
    </row>
    <row r="2558" spans="1:34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tr" cm="1">
        <f t="array" ref="U2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58" t="str" cm="1">
        <f t="array" ref="V2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  <c r="AF2558">
        <f>AVERAGE(Table1[[#This Row],[Range2_Low]:[Range2_High]])</f>
        <v>0</v>
      </c>
      <c r="AG2558">
        <f>AVERAGE(Table1[[#This Row],[Range1_Low]:[Range1_High]])</f>
        <v>5.5E-2</v>
      </c>
      <c r="AH2558">
        <v>1</v>
      </c>
    </row>
    <row r="2559" spans="1:34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tr" cm="1">
        <f t="array" ref="U2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59" t="str" cm="1">
        <f t="array" ref="V2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440 µA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  <c r="AF2559">
        <f>AVERAGE(Table1[[#This Row],[Range2_Low]:[Range2_High]])</f>
        <v>0</v>
      </c>
      <c r="AG2559">
        <f>AVERAGE(Table1[[#This Row],[Range1_Low]:[Range1_High]])</f>
        <v>0.55000000000000004</v>
      </c>
      <c r="AH2559">
        <v>1</v>
      </c>
    </row>
    <row r="2560" spans="1:34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tr" cm="1">
        <f t="array" ref="U2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60" t="str" cm="1">
        <f t="array" ref="V2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µA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  <c r="AF2560">
        <f>AVERAGE(Table1[[#This Row],[Range2_Low]:[Range2_High]])</f>
        <v>0</v>
      </c>
      <c r="AG2560">
        <f>AVERAGE(Table1[[#This Row],[Range1_Low]:[Range1_High]])</f>
        <v>0.55000000000000004</v>
      </c>
      <c r="AH2560">
        <v>1</v>
      </c>
    </row>
    <row r="2561" spans="1:34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tr" cm="1">
        <f t="array" ref="U2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µA</v>
      </c>
      <c r="V2561" t="str" cm="1">
        <f t="array" ref="V2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µA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  <c r="AF2561">
        <f>AVERAGE(Table1[[#This Row],[Range2_Low]:[Range2_High]])</f>
        <v>0</v>
      </c>
      <c r="AG2561">
        <f>AVERAGE(Table1[[#This Row],[Range1_Low]:[Range1_High]])</f>
        <v>0.55000000000000004</v>
      </c>
      <c r="AH2561">
        <v>1</v>
      </c>
    </row>
    <row r="2562" spans="1:34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tr" cm="1">
        <f t="array" ref="U2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62" t="str" cm="1">
        <f t="array" ref="V2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  <c r="AF2562">
        <f>AVERAGE(Table1[[#This Row],[Range2_Low]:[Range2_High]])</f>
        <v>0</v>
      </c>
      <c r="AG2562">
        <f>AVERAGE(Table1[[#This Row],[Range1_Low]:[Range1_High]])</f>
        <v>0.55000000000000004</v>
      </c>
      <c r="AH2562">
        <v>1</v>
      </c>
    </row>
    <row r="2563" spans="1:34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tr" cm="1">
        <f t="array" ref="U2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563" t="str" cm="1">
        <f t="array" ref="V2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  <c r="AF2563">
        <f>AVERAGE(Table1[[#This Row],[Range2_Low]:[Range2_High]])</f>
        <v>0</v>
      </c>
      <c r="AG2563">
        <f>AVERAGE(Table1[[#This Row],[Range1_Low]:[Range1_High]])</f>
        <v>0.55000000000000004</v>
      </c>
      <c r="AH2563">
        <v>1</v>
      </c>
    </row>
    <row r="2564" spans="1:34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tr" cm="1">
        <f t="array" ref="U2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µA</v>
      </c>
      <c r="V2564" t="str" cm="1">
        <f t="array" ref="V2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  <c r="AF2564">
        <f>AVERAGE(Table1[[#This Row],[Range2_Low]:[Range2_High]])</f>
        <v>0</v>
      </c>
      <c r="AG2564">
        <f>AVERAGE(Table1[[#This Row],[Range1_Low]:[Range1_High]])</f>
        <v>5.6</v>
      </c>
      <c r="AH2564">
        <v>1</v>
      </c>
    </row>
    <row r="2565" spans="1:34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06" t="str" cm="1">
        <f t="array" ref="U2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V2565" t="str" cm="1">
        <f t="array" ref="V2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  <c r="AF2565">
        <f>AVERAGE(Table1[[#This Row],[Range2_Low]:[Range2_High]])</f>
        <v>0</v>
      </c>
      <c r="AG2565">
        <f>AVERAGE(Table1[[#This Row],[Range1_Low]:[Range1_High]])</f>
        <v>5.6</v>
      </c>
      <c r="AH2565">
        <v>1</v>
      </c>
    </row>
    <row r="2566" spans="1:34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tr" cm="1">
        <f t="array" ref="U2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µA</v>
      </c>
      <c r="V2566" t="str" cm="1">
        <f t="array" ref="V2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µA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  <c r="AF2566">
        <f>AVERAGE(Table1[[#This Row],[Range2_Low]:[Range2_High]])</f>
        <v>0</v>
      </c>
      <c r="AG2566">
        <f>AVERAGE(Table1[[#This Row],[Range1_Low]:[Range1_High]])</f>
        <v>5.6</v>
      </c>
      <c r="AH2566">
        <v>1</v>
      </c>
    </row>
    <row r="2567" spans="1:34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tr" cm="1">
        <f t="array" ref="U2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67" t="str" cm="1">
        <f t="array" ref="V2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  <c r="AF2567">
        <f>AVERAGE(Table1[[#This Row],[Range2_Low]:[Range2_High]])</f>
        <v>0</v>
      </c>
      <c r="AG2567">
        <f>AVERAGE(Table1[[#This Row],[Range1_Low]:[Range1_High]])</f>
        <v>5.6</v>
      </c>
      <c r="AH2567">
        <v>1</v>
      </c>
    </row>
    <row r="2568" spans="1:34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tr" cm="1">
        <f t="array" ref="U2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68" t="str" cm="1">
        <f t="array" ref="V2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  <c r="AF2568">
        <f>AVERAGE(Table1[[#This Row],[Range2_Low]:[Range2_High]])</f>
        <v>0</v>
      </c>
      <c r="AG2568">
        <f>AVERAGE(Table1[[#This Row],[Range1_Low]:[Range1_High]])</f>
        <v>5.6</v>
      </c>
      <c r="AH2568">
        <v>1</v>
      </c>
    </row>
    <row r="2569" spans="1:34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tr" cm="1">
        <f t="array" ref="U2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69" t="str" cm="1">
        <f t="array" ref="V2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  <c r="AF2569">
        <f>AVERAGE(Table1[[#This Row],[Range2_Low]:[Range2_High]])</f>
        <v>0</v>
      </c>
      <c r="AG2569">
        <f>AVERAGE(Table1[[#This Row],[Range1_Low]:[Range1_High]])</f>
        <v>5.5000000000000004E-9</v>
      </c>
      <c r="AH2569">
        <v>1</v>
      </c>
    </row>
    <row r="2570" spans="1:34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tr" cm="1">
        <f t="array" ref="U2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70" t="str" cm="1">
        <f t="array" ref="V2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  <c r="AF2570">
        <f>AVERAGE(Table1[[#This Row],[Range2_Low]:[Range2_High]])</f>
        <v>0</v>
      </c>
      <c r="AG2570">
        <f>AVERAGE(Table1[[#This Row],[Range1_Low]:[Range1_High]])</f>
        <v>5.5000000000000004E-9</v>
      </c>
      <c r="AH2570">
        <v>1</v>
      </c>
    </row>
    <row r="2571" spans="1:34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tr" cm="1">
        <f t="array" ref="U2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nF</v>
      </c>
      <c r="V2571" t="str" cm="1">
        <f t="array" ref="V2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nF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  <c r="AF2571">
        <f>AVERAGE(Table1[[#This Row],[Range2_Low]:[Range2_High]])</f>
        <v>0</v>
      </c>
      <c r="AG2571">
        <f>AVERAGE(Table1[[#This Row],[Range1_Low]:[Range1_High]])</f>
        <v>5.5000000000000004E-9</v>
      </c>
      <c r="AH2571">
        <v>1</v>
      </c>
    </row>
    <row r="2572" spans="1:34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tr" cm="1">
        <f t="array" ref="U2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2572" t="str" cm="1">
        <f t="array" ref="V2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nF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  <c r="AF2572">
        <f>AVERAGE(Table1[[#This Row],[Range2_Low]:[Range2_High]])</f>
        <v>0</v>
      </c>
      <c r="AG2572">
        <f>AVERAGE(Table1[[#This Row],[Range1_Low]:[Range1_High]])</f>
        <v>5.5000000000000004E-9</v>
      </c>
      <c r="AH2572">
        <v>1</v>
      </c>
    </row>
    <row r="2573" spans="1:34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tr" cm="1">
        <f t="array" ref="U2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3" t="str" cm="1">
        <f t="array" ref="V2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  <c r="AF2573">
        <f>AVERAGE(Table1[[#This Row],[Range2_Low]:[Range2_High]])</f>
        <v>0</v>
      </c>
      <c r="AG2573">
        <f>AVERAGE(Table1[[#This Row],[Range1_Low]:[Range1_High]])</f>
        <v>5.5000000000000004E-9</v>
      </c>
      <c r="AH2573">
        <v>1</v>
      </c>
    </row>
    <row r="2574" spans="1:34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tr" cm="1">
        <f t="array" ref="U2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4" t="str" cm="1">
        <f t="array" ref="V2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  <c r="AF2574">
        <f>AVERAGE(Table1[[#This Row],[Range2_Low]:[Range2_High]])</f>
        <v>0</v>
      </c>
      <c r="AG2574">
        <f>AVERAGE(Table1[[#This Row],[Range1_Low]:[Range1_High]])</f>
        <v>5.4999999999999996E-8</v>
      </c>
      <c r="AH2574">
        <v>1</v>
      </c>
    </row>
    <row r="2575" spans="1:34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tr" cm="1">
        <f t="array" ref="U2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5" t="str" cm="1">
        <f t="array" ref="V2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  <c r="AF2575">
        <f>AVERAGE(Table1[[#This Row],[Range2_Low]:[Range2_High]])</f>
        <v>0</v>
      </c>
      <c r="AG2575">
        <f>AVERAGE(Table1[[#This Row],[Range1_Low]:[Range1_High]])</f>
        <v>5.4999999999999996E-8</v>
      </c>
      <c r="AH2575">
        <v>1</v>
      </c>
    </row>
    <row r="2576" spans="1:34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tr" cm="1">
        <f t="array" ref="U2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0.94 nF</v>
      </c>
      <c r="V2576" t="str" cm="1">
        <f t="array" ref="V2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  <c r="AF2576">
        <f>AVERAGE(Table1[[#This Row],[Range2_Low]:[Range2_High]])</f>
        <v>0</v>
      </c>
      <c r="AG2576">
        <f>AVERAGE(Table1[[#This Row],[Range1_Low]:[Range1_High]])</f>
        <v>5.4999999999999996E-8</v>
      </c>
      <c r="AH2576">
        <v>1</v>
      </c>
    </row>
    <row r="2577" spans="1:34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tr" cm="1">
        <f t="array" ref="U2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7" t="str" cm="1">
        <f t="array" ref="V2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  <c r="AF2577">
        <f>AVERAGE(Table1[[#This Row],[Range2_Low]:[Range2_High]])</f>
        <v>0</v>
      </c>
      <c r="AG2577">
        <f>AVERAGE(Table1[[#This Row],[Range1_Low]:[Range1_High]])</f>
        <v>5.4999999999999996E-8</v>
      </c>
      <c r="AH2577">
        <v>1</v>
      </c>
    </row>
    <row r="2578" spans="1:34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tr" cm="1">
        <f t="array" ref="U2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2578" t="str" cm="1">
        <f t="array" ref="V2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  <c r="AF2578">
        <f>AVERAGE(Table1[[#This Row],[Range2_Low]:[Range2_High]])</f>
        <v>0</v>
      </c>
      <c r="AG2578">
        <f>AVERAGE(Table1[[#This Row],[Range1_Low]:[Range1_High]])</f>
        <v>5.4999999999999996E-8</v>
      </c>
      <c r="AH2578">
        <v>1</v>
      </c>
    </row>
    <row r="2579" spans="1:34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tr" cm="1">
        <f t="array" ref="U2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79" t="str" cm="1">
        <f t="array" ref="V2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  <c r="AF2579">
        <f>AVERAGE(Table1[[#This Row],[Range2_Low]:[Range2_High]])</f>
        <v>0</v>
      </c>
      <c r="AG2579">
        <f>AVERAGE(Table1[[#This Row],[Range1_Low]:[Range1_High]])</f>
        <v>5.5000000000000003E-7</v>
      </c>
      <c r="AH2579">
        <v>1</v>
      </c>
    </row>
    <row r="2580" spans="1:34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tr" cm="1">
        <f t="array" ref="U2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80" t="str" cm="1">
        <f t="array" ref="V2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  <c r="AF2580">
        <f>AVERAGE(Table1[[#This Row],[Range2_Low]:[Range2_High]])</f>
        <v>0</v>
      </c>
      <c r="AG2580">
        <f>AVERAGE(Table1[[#This Row],[Range1_Low]:[Range1_High]])</f>
        <v>5.5000000000000003E-7</v>
      </c>
      <c r="AH2580">
        <v>1</v>
      </c>
    </row>
    <row r="2581" spans="1:34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tr" cm="1">
        <f t="array" ref="U2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nF</v>
      </c>
      <c r="V2581" t="str" cm="1">
        <f t="array" ref="V2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  <c r="AF2581">
        <f>AVERAGE(Table1[[#This Row],[Range2_Low]:[Range2_High]])</f>
        <v>0</v>
      </c>
      <c r="AG2581">
        <f>AVERAGE(Table1[[#This Row],[Range1_Low]:[Range1_High]])</f>
        <v>5.5000000000000003E-7</v>
      </c>
      <c r="AH2581">
        <v>1</v>
      </c>
    </row>
    <row r="2582" spans="1:34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tr" cm="1">
        <f t="array" ref="U2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V2582" t="str" cm="1">
        <f t="array" ref="V2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  <c r="AF2582">
        <f>AVERAGE(Table1[[#This Row],[Range2_Low]:[Range2_High]])</f>
        <v>0</v>
      </c>
      <c r="AG2582">
        <f>AVERAGE(Table1[[#This Row],[Range1_Low]:[Range1_High]])</f>
        <v>5.5000000000000003E-7</v>
      </c>
      <c r="AH2582">
        <v>1</v>
      </c>
    </row>
    <row r="2583" spans="1:34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tr" cm="1">
        <f t="array" ref="U2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2583" t="str" cm="1">
        <f t="array" ref="V2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  <c r="AF2583">
        <f>AVERAGE(Table1[[#This Row],[Range2_Low]:[Range2_High]])</f>
        <v>0</v>
      </c>
      <c r="AG2583">
        <f>AVERAGE(Table1[[#This Row],[Range1_Low]:[Range1_High]])</f>
        <v>5.5000000000000003E-7</v>
      </c>
      <c r="AH2583">
        <v>1</v>
      </c>
    </row>
    <row r="2584" spans="1:34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tr" cm="1">
        <f t="array" ref="U2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4" t="str" cm="1">
        <f t="array" ref="V2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  <c r="AF2584">
        <f>AVERAGE(Table1[[#This Row],[Range2_Low]:[Range2_High]])</f>
        <v>11</v>
      </c>
      <c r="AG2584">
        <f>AVERAGE(Table1[[#This Row],[Range1_Low]:[Range1_High]])</f>
        <v>0.05</v>
      </c>
      <c r="AH2584">
        <v>1</v>
      </c>
    </row>
    <row r="2585" spans="1:34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tr" cm="1">
        <f t="array" ref="U2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5" t="str" cm="1">
        <f t="array" ref="V2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  <c r="AF2585">
        <f>AVERAGE(Table1[[#This Row],[Range2_Low]:[Range2_High]])</f>
        <v>1.0049999999999999</v>
      </c>
      <c r="AG2585">
        <f>AVERAGE(Table1[[#This Row],[Range1_Low]:[Range1_High]])</f>
        <v>0.05</v>
      </c>
      <c r="AH2585">
        <v>1</v>
      </c>
    </row>
    <row r="2586" spans="1:34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tr" cm="1">
        <f t="array" ref="U2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6" t="str" cm="1">
        <f t="array" ref="V2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  <c r="AF2586">
        <f>AVERAGE(Table1[[#This Row],[Range2_Low]:[Range2_High]])</f>
        <v>11</v>
      </c>
      <c r="AG2586">
        <f>AVERAGE(Table1[[#This Row],[Range1_Low]:[Range1_High]])</f>
        <v>0.05</v>
      </c>
      <c r="AH2586">
        <v>1</v>
      </c>
    </row>
    <row r="2587" spans="1:34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tr" cm="1">
        <f t="array" ref="U2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7" t="str" cm="1">
        <f t="array" ref="V2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  <c r="AF2587">
        <f>AVERAGE(Table1[[#This Row],[Range2_Low]:[Range2_High]])</f>
        <v>1.0049999999999999</v>
      </c>
      <c r="AG2587">
        <f>AVERAGE(Table1[[#This Row],[Range1_Low]:[Range1_High]])</f>
        <v>0.05</v>
      </c>
      <c r="AH2587">
        <v>1</v>
      </c>
    </row>
    <row r="2588" spans="1:34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tr" cm="1">
        <f t="array" ref="U2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8" t="str" cm="1">
        <f t="array" ref="V2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  <c r="AF2588">
        <f>AVERAGE(Table1[[#This Row],[Range2_Low]:[Range2_High]])</f>
        <v>11</v>
      </c>
      <c r="AG2588">
        <f>AVERAGE(Table1[[#This Row],[Range1_Low]:[Range1_High]])</f>
        <v>0.05</v>
      </c>
      <c r="AH2588">
        <v>1</v>
      </c>
    </row>
    <row r="2589" spans="1:34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tr" cm="1">
        <f t="array" ref="U2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9" t="str" cm="1">
        <f t="array" ref="V2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  <c r="AF2589">
        <f>AVERAGE(Table1[[#This Row],[Range2_Low]:[Range2_High]])</f>
        <v>1.0049999999999999</v>
      </c>
      <c r="AG2589">
        <f>AVERAGE(Table1[[#This Row],[Range1_Low]:[Range1_High]])</f>
        <v>0.05</v>
      </c>
      <c r="AH2589">
        <v>1</v>
      </c>
    </row>
    <row r="2590" spans="1:34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tr" cm="1">
        <f t="array" ref="U2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0" t="str" cm="1">
        <f t="array" ref="V2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  <c r="AF2590">
        <f>AVERAGE(Table1[[#This Row],[Range2_Low]:[Range2_High]])</f>
        <v>1.0049999999999999</v>
      </c>
      <c r="AG2590">
        <f>AVERAGE(Table1[[#This Row],[Range1_Low]:[Range1_High]])</f>
        <v>0.05</v>
      </c>
      <c r="AH2590">
        <v>1</v>
      </c>
    </row>
    <row r="2591" spans="1:34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tr" cm="1">
        <f t="array" ref="U2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1" t="str" cm="1">
        <f t="array" ref="V2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  <c r="AF2591">
        <f>AVERAGE(Table1[[#This Row],[Range2_Low]:[Range2_High]])</f>
        <v>11</v>
      </c>
      <c r="AG2591">
        <f>AVERAGE(Table1[[#This Row],[Range1_Low]:[Range1_High]])</f>
        <v>0.05</v>
      </c>
      <c r="AH2591">
        <v>1</v>
      </c>
    </row>
    <row r="2592" spans="1:34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tr" cm="1">
        <f t="array" ref="U2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2" t="str" cm="1">
        <f t="array" ref="V2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  <c r="AF2592">
        <f>AVERAGE(Table1[[#This Row],[Range2_Low]:[Range2_High]])</f>
        <v>11</v>
      </c>
      <c r="AG2592">
        <f>AVERAGE(Table1[[#This Row],[Range1_Low]:[Range1_High]])</f>
        <v>0.05</v>
      </c>
      <c r="AH2592">
        <v>1</v>
      </c>
    </row>
    <row r="2593" spans="1:34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tr" cm="1">
        <f t="array" ref="U2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3" t="str" cm="1">
        <f t="array" ref="V2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  <c r="AF2593">
        <f>AVERAGE(Table1[[#This Row],[Range2_Low]:[Range2_High]])</f>
        <v>1.0049999999999999</v>
      </c>
      <c r="AG2593">
        <f>AVERAGE(Table1[[#This Row],[Range1_Low]:[Range1_High]])</f>
        <v>0.05</v>
      </c>
      <c r="AH2593">
        <v>1</v>
      </c>
    </row>
    <row r="2594" spans="1:34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tr" cm="1">
        <f t="array" ref="U2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4" t="str" cm="1">
        <f t="array" ref="V2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  <c r="AF2594">
        <f>AVERAGE(Table1[[#This Row],[Range2_Low]:[Range2_High]])</f>
        <v>11</v>
      </c>
      <c r="AG2594">
        <f>AVERAGE(Table1[[#This Row],[Range1_Low]:[Range1_High]])</f>
        <v>0.55000000000000004</v>
      </c>
      <c r="AH2594">
        <v>1</v>
      </c>
    </row>
    <row r="2595" spans="1:34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tr" cm="1">
        <f t="array" ref="U2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95" t="str" cm="1">
        <f t="array" ref="V2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  <c r="AF2595">
        <f>AVERAGE(Table1[[#This Row],[Range2_Low]:[Range2_High]])</f>
        <v>1.0049999999999999</v>
      </c>
      <c r="AG2595">
        <f>AVERAGE(Table1[[#This Row],[Range1_Low]:[Range1_High]])</f>
        <v>0.55000000000000004</v>
      </c>
      <c r="AH2595">
        <v>1</v>
      </c>
    </row>
    <row r="2596" spans="1:34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tr" cm="1">
        <f t="array" ref="U2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2596" t="str" cm="1">
        <f t="array" ref="V2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  <c r="AF2596">
        <f>AVERAGE(Table1[[#This Row],[Range2_Low]:[Range2_High]])</f>
        <v>1.0049999999999999</v>
      </c>
      <c r="AG2596">
        <f>AVERAGE(Table1[[#This Row],[Range1_Low]:[Range1_High]])</f>
        <v>0.55000000000000004</v>
      </c>
      <c r="AH2596">
        <v>1</v>
      </c>
    </row>
    <row r="2597" spans="1:34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tr" cm="1">
        <f t="array" ref="U2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7" t="str" cm="1">
        <f t="array" ref="V2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  <c r="AF2597">
        <f>AVERAGE(Table1[[#This Row],[Range2_Low]:[Range2_High]])</f>
        <v>11</v>
      </c>
      <c r="AG2597">
        <f>AVERAGE(Table1[[#This Row],[Range1_Low]:[Range1_High]])</f>
        <v>0.55000000000000004</v>
      </c>
      <c r="AH2597">
        <v>1</v>
      </c>
    </row>
    <row r="2598" spans="1:34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tr" cm="1">
        <f t="array" ref="U2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V2598" t="str" cm="1">
        <f t="array" ref="V2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  <c r="AF2598">
        <f>AVERAGE(Table1[[#This Row],[Range2_Low]:[Range2_High]])</f>
        <v>11</v>
      </c>
      <c r="AG2598">
        <f>AVERAGE(Table1[[#This Row],[Range1_Low]:[Range1_High]])</f>
        <v>0.55000000000000004</v>
      </c>
      <c r="AH2598">
        <v>1</v>
      </c>
    </row>
    <row r="2599" spans="1:34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tr" cm="1">
        <f t="array" ref="U2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99" t="str" cm="1">
        <f t="array" ref="V2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  <c r="AF2599">
        <f>AVERAGE(Table1[[#This Row],[Range2_Low]:[Range2_High]])</f>
        <v>1.0049999999999999</v>
      </c>
      <c r="AG2599">
        <f>AVERAGE(Table1[[#This Row],[Range1_Low]:[Range1_High]])</f>
        <v>0.55000000000000004</v>
      </c>
      <c r="AH2599">
        <v>1</v>
      </c>
    </row>
    <row r="2600" spans="1:34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tr" cm="1">
        <f t="array" ref="U2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600" t="str" cm="1">
        <f t="array" ref="V2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  <c r="AF2600">
        <f>AVERAGE(Table1[[#This Row],[Range2_Low]:[Range2_High]])</f>
        <v>1.0049999999999999</v>
      </c>
      <c r="AG2600">
        <f>AVERAGE(Table1[[#This Row],[Range1_Low]:[Range1_High]])</f>
        <v>0.55000000000000004</v>
      </c>
      <c r="AH2600">
        <v>1</v>
      </c>
    </row>
    <row r="2601" spans="1:34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tr" cm="1">
        <f t="array" ref="U2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2601" t="str" cm="1">
        <f t="array" ref="V2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µV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  <c r="AF2601">
        <f>AVERAGE(Table1[[#This Row],[Range2_Low]:[Range2_High]])</f>
        <v>11</v>
      </c>
      <c r="AG2601">
        <f>AVERAGE(Table1[[#This Row],[Range1_Low]:[Range1_High]])</f>
        <v>0.55000000000000004</v>
      </c>
      <c r="AH2601">
        <v>1</v>
      </c>
    </row>
    <row r="2602" spans="1:34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tr" cm="1">
        <f t="array" ref="U2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2" t="str" cm="1">
        <f t="array" ref="V2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  <c r="AF2602">
        <f>AVERAGE(Table1[[#This Row],[Range2_Low]:[Range2_High]])</f>
        <v>11</v>
      </c>
      <c r="AG2602">
        <f>AVERAGE(Table1[[#This Row],[Range1_Low]:[Range1_High]])</f>
        <v>0.55000000000000004</v>
      </c>
      <c r="AH2602">
        <v>1</v>
      </c>
    </row>
    <row r="2603" spans="1:34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tr" cm="1">
        <f t="array" ref="U2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3" t="str" cm="1">
        <f t="array" ref="V2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  <c r="AF2603">
        <f>AVERAGE(Table1[[#This Row],[Range2_Low]:[Range2_High]])</f>
        <v>1.0049999999999999</v>
      </c>
      <c r="AG2603">
        <f>AVERAGE(Table1[[#This Row],[Range1_Low]:[Range1_High]])</f>
        <v>0.55000000000000004</v>
      </c>
      <c r="AH2603">
        <v>1</v>
      </c>
    </row>
    <row r="2604" spans="1:34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tr" cm="1">
        <f t="array" ref="U2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4" t="str" cm="1">
        <f t="array" ref="V2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  <c r="AF2604">
        <f>AVERAGE(Table1[[#This Row],[Range2_Low]:[Range2_High]])</f>
        <v>1.0049999999999999</v>
      </c>
      <c r="AG2604">
        <f>AVERAGE(Table1[[#This Row],[Range1_Low]:[Range1_High]])</f>
        <v>5.5</v>
      </c>
      <c r="AH2604">
        <v>1</v>
      </c>
    </row>
    <row r="2605" spans="1:34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tr" cm="1">
        <f t="array" ref="U2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5" t="str" cm="1">
        <f t="array" ref="V2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  <c r="AF2605">
        <f>AVERAGE(Table1[[#This Row],[Range2_Low]:[Range2_High]])</f>
        <v>11</v>
      </c>
      <c r="AG2605">
        <f>AVERAGE(Table1[[#This Row],[Range1_Low]:[Range1_High]])</f>
        <v>5.5</v>
      </c>
      <c r="AH2605">
        <v>1</v>
      </c>
    </row>
    <row r="2606" spans="1:34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tr" cm="1">
        <f t="array" ref="U2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6" t="str" cm="1">
        <f t="array" ref="V2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  <c r="AF2606">
        <f>AVERAGE(Table1[[#This Row],[Range2_Low]:[Range2_High]])</f>
        <v>1.0049999999999999</v>
      </c>
      <c r="AG2606">
        <f>AVERAGE(Table1[[#This Row],[Range1_Low]:[Range1_High]])</f>
        <v>5.5</v>
      </c>
      <c r="AH2606">
        <v>1</v>
      </c>
    </row>
    <row r="2607" spans="1:34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tr" cm="1">
        <f t="array" ref="U2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7" t="str" cm="1">
        <f t="array" ref="V2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  <c r="AF2607">
        <f>AVERAGE(Table1[[#This Row],[Range2_Low]:[Range2_High]])</f>
        <v>11</v>
      </c>
      <c r="AG2607">
        <f>AVERAGE(Table1[[#This Row],[Range1_Low]:[Range1_High]])</f>
        <v>5.5</v>
      </c>
      <c r="AH2607">
        <v>1</v>
      </c>
    </row>
    <row r="2608" spans="1:34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tr" cm="1">
        <f t="array" ref="U2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2608" t="str" cm="1">
        <f t="array" ref="V2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  <c r="AF2608">
        <f>AVERAGE(Table1[[#This Row],[Range2_Low]:[Range2_High]])</f>
        <v>11</v>
      </c>
      <c r="AG2608">
        <f>AVERAGE(Table1[[#This Row],[Range1_Low]:[Range1_High]])</f>
        <v>5.5</v>
      </c>
      <c r="AH2608">
        <v>1</v>
      </c>
    </row>
    <row r="2609" spans="1:34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tr" cm="1">
        <f t="array" ref="U2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V2609" t="str" cm="1">
        <f t="array" ref="V2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  <c r="AF2609">
        <f>AVERAGE(Table1[[#This Row],[Range2_Low]:[Range2_High]])</f>
        <v>1.0049999999999999</v>
      </c>
      <c r="AG2609">
        <f>AVERAGE(Table1[[#This Row],[Range1_Low]:[Range1_High]])</f>
        <v>5.5</v>
      </c>
      <c r="AH2609">
        <v>1</v>
      </c>
    </row>
    <row r="2610" spans="1:34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tr" cm="1">
        <f t="array" ref="U2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10" t="str" cm="1">
        <f t="array" ref="V2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  <c r="AF2610">
        <f>AVERAGE(Table1[[#This Row],[Range2_Low]:[Range2_High]])</f>
        <v>1.0049999999999999</v>
      </c>
      <c r="AG2610">
        <f>AVERAGE(Table1[[#This Row],[Range1_Low]:[Range1_High]])</f>
        <v>5.5</v>
      </c>
      <c r="AH2610">
        <v>1</v>
      </c>
    </row>
    <row r="2611" spans="1:34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tr" cm="1">
        <f t="array" ref="U2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2611" t="str" cm="1">
        <f t="array" ref="V2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  <c r="AF2611">
        <f>AVERAGE(Table1[[#This Row],[Range2_Low]:[Range2_High]])</f>
        <v>11</v>
      </c>
      <c r="AG2611">
        <f>AVERAGE(Table1[[#This Row],[Range1_Low]:[Range1_High]])</f>
        <v>5.5</v>
      </c>
      <c r="AH2611">
        <v>1</v>
      </c>
    </row>
    <row r="2612" spans="1:34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tr" cm="1">
        <f t="array" ref="U2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2" t="str" cm="1">
        <f t="array" ref="V2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  <c r="AF2612">
        <f>AVERAGE(Table1[[#This Row],[Range2_Low]:[Range2_High]])</f>
        <v>11</v>
      </c>
      <c r="AG2612">
        <f>AVERAGE(Table1[[#This Row],[Range1_Low]:[Range1_High]])</f>
        <v>5.5</v>
      </c>
      <c r="AH2612">
        <v>1</v>
      </c>
    </row>
    <row r="2613" spans="1:34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tr" cm="1">
        <f t="array" ref="U2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3" t="str" cm="1">
        <f t="array" ref="V2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  <c r="AF2613">
        <f>AVERAGE(Table1[[#This Row],[Range2_Low]:[Range2_High]])</f>
        <v>1.0049999999999999</v>
      </c>
      <c r="AG2613">
        <f>AVERAGE(Table1[[#This Row],[Range1_Low]:[Range1_High]])</f>
        <v>5.5</v>
      </c>
      <c r="AH2613">
        <v>1</v>
      </c>
    </row>
    <row r="2614" spans="1:34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tr" cm="1">
        <f t="array" ref="U2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4" t="str" cm="1">
        <f t="array" ref="V2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  <c r="AF2614">
        <f>AVERAGE(Table1[[#This Row],[Range2_Low]:[Range2_High]])</f>
        <v>0.52</v>
      </c>
      <c r="AG2614">
        <f>AVERAGE(Table1[[#This Row],[Range1_Low]:[Range1_High]])</f>
        <v>55</v>
      </c>
      <c r="AH2614">
        <v>1</v>
      </c>
    </row>
    <row r="2615" spans="1:34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tr" cm="1">
        <f t="array" ref="U2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5" t="str" cm="1">
        <f t="array" ref="V2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  <c r="AF2615">
        <f>AVERAGE(Table1[[#This Row],[Range2_Low]:[Range2_High]])</f>
        <v>0.52</v>
      </c>
      <c r="AG2615">
        <f>AVERAGE(Table1[[#This Row],[Range1_Low]:[Range1_High]])</f>
        <v>55</v>
      </c>
      <c r="AH2615">
        <v>1</v>
      </c>
    </row>
    <row r="2616" spans="1:34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tr" cm="1">
        <f t="array" ref="U2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616" t="str" cm="1">
        <f t="array" ref="V2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  <c r="AF2616">
        <f>AVERAGE(Table1[[#This Row],[Range2_Low]:[Range2_High]])</f>
        <v>0.52</v>
      </c>
      <c r="AG2616">
        <f>AVERAGE(Table1[[#This Row],[Range1_Low]:[Range1_High]])</f>
        <v>55</v>
      </c>
      <c r="AH2616">
        <v>1</v>
      </c>
    </row>
    <row r="2617" spans="1:34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tr" cm="1">
        <f t="array" ref="U2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7" t="str" cm="1">
        <f t="array" ref="V2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  <c r="AF2617">
        <f>AVERAGE(Table1[[#This Row],[Range2_Low]:[Range2_High]])</f>
        <v>0.52</v>
      </c>
      <c r="AG2617">
        <f>AVERAGE(Table1[[#This Row],[Range1_Low]:[Range1_High]])</f>
        <v>55</v>
      </c>
      <c r="AH2617">
        <v>1</v>
      </c>
    </row>
    <row r="2618" spans="1:34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tr" cm="1">
        <f t="array" ref="U2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18" t="str" cm="1">
        <f t="array" ref="V2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  <c r="AF2618">
        <f>AVERAGE(Table1[[#This Row],[Range2_Low]:[Range2_High]])</f>
        <v>0.52</v>
      </c>
      <c r="AG2618">
        <f>AVERAGE(Table1[[#This Row],[Range1_Low]:[Range1_High]])</f>
        <v>55</v>
      </c>
      <c r="AH2618">
        <v>1</v>
      </c>
    </row>
    <row r="2619" spans="1:34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tr" cm="1">
        <f t="array" ref="U2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V2619" t="str" cm="1">
        <f t="array" ref="V2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mV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  <c r="AF2619">
        <f>AVERAGE(Table1[[#This Row],[Range2_Low]:[Range2_High]])</f>
        <v>0.52</v>
      </c>
      <c r="AG2619">
        <f>AVERAGE(Table1[[#This Row],[Range1_Low]:[Range1_High]])</f>
        <v>560</v>
      </c>
      <c r="AH2619">
        <v>1</v>
      </c>
    </row>
    <row r="2620" spans="1:34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tr" cm="1">
        <f t="array" ref="U2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2620" t="str" cm="1">
        <f t="array" ref="V2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  <c r="AF2620">
        <f>AVERAGE(Table1[[#This Row],[Range2_Low]:[Range2_High]])</f>
        <v>0.52</v>
      </c>
      <c r="AG2620">
        <f>AVERAGE(Table1[[#This Row],[Range1_Low]:[Range1_High]])</f>
        <v>560</v>
      </c>
      <c r="AH2620">
        <v>1</v>
      </c>
    </row>
    <row r="2621" spans="1:34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tr" cm="1">
        <f t="array" ref="U2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2621" t="str" cm="1">
        <f t="array" ref="V2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mV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  <c r="AF2621">
        <f>AVERAGE(Table1[[#This Row],[Range2_Low]:[Range2_High]])</f>
        <v>0.52</v>
      </c>
      <c r="AG2621">
        <f>AVERAGE(Table1[[#This Row],[Range1_Low]:[Range1_High]])</f>
        <v>560</v>
      </c>
      <c r="AH2621">
        <v>1</v>
      </c>
    </row>
    <row r="2622" spans="1:34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tr" cm="1">
        <f t="array" ref="U2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22" t="str" cm="1">
        <f t="array" ref="V2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  <c r="AF2622">
        <f>AVERAGE(Table1[[#This Row],[Range2_Low]:[Range2_High]])</f>
        <v>0.52</v>
      </c>
      <c r="AG2622">
        <f>AVERAGE(Table1[[#This Row],[Range1_Low]:[Range1_High]])</f>
        <v>560</v>
      </c>
      <c r="AH2622">
        <v>1</v>
      </c>
    </row>
    <row r="2623" spans="1:34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tr" cm="1">
        <f t="array" ref="U2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623" t="str" cm="1">
        <f t="array" ref="V2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  <c r="AF2623">
        <f>AVERAGE(Table1[[#This Row],[Range2_Low]:[Range2_High]])</f>
        <v>0.52</v>
      </c>
      <c r="AG2623">
        <f>AVERAGE(Table1[[#This Row],[Range1_Low]:[Range1_High]])</f>
        <v>560</v>
      </c>
      <c r="AH2623">
        <v>1</v>
      </c>
    </row>
    <row r="2624" spans="1:34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tr" cm="1">
        <f t="array" ref="U2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4" t="str" cm="1">
        <f t="array" ref="V2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  <c r="AF2624">
        <f>AVERAGE(Table1[[#This Row],[Range2_Low]:[Range2_High]])</f>
        <v>1.0049999999999999</v>
      </c>
      <c r="AG2624">
        <f>AVERAGE(Table1[[#This Row],[Range1_Low]:[Range1_High]])</f>
        <v>5.6999999999999996E-5</v>
      </c>
      <c r="AH2624">
        <v>1</v>
      </c>
    </row>
    <row r="2625" spans="1:34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tr" cm="1">
        <f t="array" ref="U2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5" t="str" cm="1">
        <f t="array" ref="V2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  <c r="AF2625">
        <f>AVERAGE(Table1[[#This Row],[Range2_Low]:[Range2_High]])</f>
        <v>1.0049999999999999</v>
      </c>
      <c r="AG2625">
        <f>AVERAGE(Table1[[#This Row],[Range1_Low]:[Range1_High]])</f>
        <v>5.6999999999999996E-5</v>
      </c>
      <c r="AH2625">
        <v>1</v>
      </c>
    </row>
    <row r="2626" spans="1:34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tr" cm="1">
        <f t="array" ref="U2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6" t="str" cm="1">
        <f t="array" ref="V2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  <c r="AF2626">
        <f>AVERAGE(Table1[[#This Row],[Range2_Low]:[Range2_High]])</f>
        <v>1.0049999999999999</v>
      </c>
      <c r="AG2626">
        <f>AVERAGE(Table1[[#This Row],[Range1_Low]:[Range1_High]])</f>
        <v>5.6999999999999996E-5</v>
      </c>
      <c r="AH2626">
        <v>1</v>
      </c>
    </row>
    <row r="2627" spans="1:34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tr" cm="1">
        <f t="array" ref="U2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V2627" t="str" cm="1">
        <f t="array" ref="V2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  <c r="AF2627">
        <f>AVERAGE(Table1[[#This Row],[Range2_Low]:[Range2_High]])</f>
        <v>1.0049999999999999</v>
      </c>
      <c r="AG2627">
        <f>AVERAGE(Table1[[#This Row],[Range1_Low]:[Range1_High]])</f>
        <v>5.6999999999999996E-5</v>
      </c>
      <c r="AH2627">
        <v>1</v>
      </c>
    </row>
    <row r="2628" spans="1:34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tr" cm="1">
        <f t="array" ref="U2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628" t="str" cm="1">
        <f t="array" ref="V2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  <c r="AF2628">
        <f>AVERAGE(Table1[[#This Row],[Range2_Low]:[Range2_High]])</f>
        <v>1.0049999999999999</v>
      </c>
      <c r="AG2628">
        <f>AVERAGE(Table1[[#This Row],[Range1_Low]:[Range1_High]])</f>
        <v>5.6999999999999996E-5</v>
      </c>
      <c r="AH2628">
        <v>1</v>
      </c>
    </row>
    <row r="2629" spans="1:34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tr" cm="1">
        <f t="array" ref="U2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29" t="str" cm="1">
        <f t="array" ref="V2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  <c r="AF2629">
        <f>AVERAGE(Table1[[#This Row],[Range2_Low]:[Range2_High]])</f>
        <v>1.0049999999999999</v>
      </c>
      <c r="AG2629">
        <f>AVERAGE(Table1[[#This Row],[Range1_Low]:[Range1_High]])</f>
        <v>5.6999999999999998E-4</v>
      </c>
      <c r="AH2629">
        <v>1</v>
      </c>
    </row>
    <row r="2630" spans="1:34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tr" cm="1">
        <f t="array" ref="U2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30" t="str" cm="1">
        <f t="array" ref="V2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  <c r="AF2630">
        <f>AVERAGE(Table1[[#This Row],[Range2_Low]:[Range2_High]])</f>
        <v>1.0049999999999999</v>
      </c>
      <c r="AG2630">
        <f>AVERAGE(Table1[[#This Row],[Range1_Low]:[Range1_High]])</f>
        <v>5.6999999999999998E-4</v>
      </c>
      <c r="AH2630">
        <v>1</v>
      </c>
    </row>
    <row r="2631" spans="1:34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tr" cm="1">
        <f t="array" ref="U2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V2631" t="str" cm="1">
        <f t="array" ref="V2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  <c r="AF2631">
        <f>AVERAGE(Table1[[#This Row],[Range2_Low]:[Range2_High]])</f>
        <v>1.0049999999999999</v>
      </c>
      <c r="AG2631">
        <f>AVERAGE(Table1[[#This Row],[Range1_Low]:[Range1_High]])</f>
        <v>5.6999999999999998E-4</v>
      </c>
      <c r="AH2631">
        <v>1</v>
      </c>
    </row>
    <row r="2632" spans="1:34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06" t="str" cm="1">
        <f t="array" ref="U2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632" t="str" cm="1">
        <f t="array" ref="V2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µA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  <c r="AF2632">
        <f>AVERAGE(Table1[[#This Row],[Range2_Low]:[Range2_High]])</f>
        <v>1.0049999999999999</v>
      </c>
      <c r="AG2632">
        <f>AVERAGE(Table1[[#This Row],[Range1_Low]:[Range1_High]])</f>
        <v>5.6999999999999998E-4</v>
      </c>
      <c r="AH2632">
        <v>1</v>
      </c>
    </row>
    <row r="2633" spans="1:34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tr" cm="1">
        <f t="array" ref="U2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633" t="str" cm="1">
        <f t="array" ref="V2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  <c r="AF2633">
        <f>AVERAGE(Table1[[#This Row],[Range2_Low]:[Range2_High]])</f>
        <v>1.0049999999999999</v>
      </c>
      <c r="AG2633">
        <f>AVERAGE(Table1[[#This Row],[Range1_Low]:[Range1_High]])</f>
        <v>5.6999999999999998E-4</v>
      </c>
      <c r="AH2633">
        <v>1</v>
      </c>
    </row>
    <row r="2634" spans="1:34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tr" cm="1">
        <f t="array" ref="U2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4" t="str" cm="1">
        <f t="array" ref="V2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  <c r="AF2634">
        <f>AVERAGE(Table1[[#This Row],[Range2_Low]:[Range2_High]])</f>
        <v>1.0049999999999999</v>
      </c>
      <c r="AG2634">
        <f>AVERAGE(Table1[[#This Row],[Range1_Low]:[Range1_High]])</f>
        <v>5.7000000000000002E-3</v>
      </c>
      <c r="AH2634">
        <v>1</v>
      </c>
    </row>
    <row r="2635" spans="1:34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tr" cm="1">
        <f t="array" ref="U2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5" t="str" cm="1">
        <f t="array" ref="V2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  <c r="AF2635">
        <f>AVERAGE(Table1[[#This Row],[Range2_Low]:[Range2_High]])</f>
        <v>1.0049999999999999</v>
      </c>
      <c r="AG2635">
        <f>AVERAGE(Table1[[#This Row],[Range1_Low]:[Range1_High]])</f>
        <v>5.7000000000000002E-3</v>
      </c>
      <c r="AH2635">
        <v>1</v>
      </c>
    </row>
    <row r="2636" spans="1:34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tr" cm="1">
        <f t="array" ref="U2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636" t="str" cm="1">
        <f t="array" ref="V2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  <c r="AF2636">
        <f>AVERAGE(Table1[[#This Row],[Range2_Low]:[Range2_High]])</f>
        <v>1.0049999999999999</v>
      </c>
      <c r="AG2636">
        <f>AVERAGE(Table1[[#This Row],[Range1_Low]:[Range1_High]])</f>
        <v>5.7000000000000002E-3</v>
      </c>
      <c r="AH2636">
        <v>1</v>
      </c>
    </row>
    <row r="2637" spans="1:34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tr" cm="1">
        <f t="array" ref="U2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V2637" t="str" cm="1">
        <f t="array" ref="V2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  <c r="AF2637">
        <f>AVERAGE(Table1[[#This Row],[Range2_Low]:[Range2_High]])</f>
        <v>1.0049999999999999</v>
      </c>
      <c r="AG2637">
        <f>AVERAGE(Table1[[#This Row],[Range1_Low]:[Range1_High]])</f>
        <v>5.7000000000000002E-3</v>
      </c>
      <c r="AH2637">
        <v>1</v>
      </c>
    </row>
    <row r="2638" spans="1:34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tr" cm="1">
        <f t="array" ref="U2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638" t="str" cm="1">
        <f t="array" ref="V2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  <c r="AF2638">
        <f>AVERAGE(Table1[[#This Row],[Range2_Low]:[Range2_High]])</f>
        <v>1.0049999999999999</v>
      </c>
      <c r="AG2638">
        <f>AVERAGE(Table1[[#This Row],[Range1_Low]:[Range1_High]])</f>
        <v>5.7000000000000002E-3</v>
      </c>
      <c r="AH2638">
        <v>1</v>
      </c>
    </row>
    <row r="2639" spans="1:34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tr" cm="1">
        <f t="array" ref="U2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39" t="str" cm="1">
        <f t="array" ref="V2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  <c r="AF2639">
        <f>AVERAGE(Table1[[#This Row],[Range2_Low]:[Range2_High]])</f>
        <v>1.0049999999999999</v>
      </c>
      <c r="AG2639">
        <f>AVERAGE(Table1[[#This Row],[Range1_Low]:[Range1_High]])</f>
        <v>5.6999999999999995E-2</v>
      </c>
      <c r="AH2639">
        <v>1</v>
      </c>
    </row>
    <row r="2640" spans="1:34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tr" cm="1">
        <f t="array" ref="U2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40" t="str" cm="1">
        <f t="array" ref="V2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  <c r="AF2640">
        <f>AVERAGE(Table1[[#This Row],[Range2_Low]:[Range2_High]])</f>
        <v>1.0049999999999999</v>
      </c>
      <c r="AG2640">
        <f>AVERAGE(Table1[[#This Row],[Range1_Low]:[Range1_High]])</f>
        <v>5.6999999999999995E-2</v>
      </c>
      <c r="AH2640">
        <v>1</v>
      </c>
    </row>
    <row r="2641" spans="1:34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tr" cm="1">
        <f t="array" ref="U2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V2641" t="str" cm="1">
        <f t="array" ref="V2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µA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  <c r="AF2641">
        <f>AVERAGE(Table1[[#This Row],[Range2_Low]:[Range2_High]])</f>
        <v>1.0049999999999999</v>
      </c>
      <c r="AG2641">
        <f>AVERAGE(Table1[[#This Row],[Range1_Low]:[Range1_High]])</f>
        <v>5.6999999999999995E-2</v>
      </c>
      <c r="AH2641">
        <v>1</v>
      </c>
    </row>
    <row r="2642" spans="1:34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tr" cm="1">
        <f t="array" ref="U2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V2642" t="str" cm="1">
        <f t="array" ref="V2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µA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  <c r="AF2642">
        <f>AVERAGE(Table1[[#This Row],[Range2_Low]:[Range2_High]])</f>
        <v>1.0049999999999999</v>
      </c>
      <c r="AG2642">
        <f>AVERAGE(Table1[[#This Row],[Range1_Low]:[Range1_High]])</f>
        <v>5.6999999999999995E-2</v>
      </c>
      <c r="AH2642">
        <v>1</v>
      </c>
    </row>
    <row r="2643" spans="1:34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tr" cm="1">
        <f t="array" ref="U2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643" t="str" cm="1">
        <f t="array" ref="V2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  <c r="AF2643">
        <f>AVERAGE(Table1[[#This Row],[Range2_Low]:[Range2_High]])</f>
        <v>1.0049999999999999</v>
      </c>
      <c r="AG2643">
        <f>AVERAGE(Table1[[#This Row],[Range1_Low]:[Range1_High]])</f>
        <v>5.6999999999999995E-2</v>
      </c>
      <c r="AH2643">
        <v>1</v>
      </c>
    </row>
    <row r="2644" spans="1:34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tr" cm="1">
        <f t="array" ref="U2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4" t="str" cm="1">
        <f t="array" ref="V2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  <c r="AF2644">
        <f>AVERAGE(Table1[[#This Row],[Range2_Low]:[Range2_High]])</f>
        <v>1.0049999999999999</v>
      </c>
      <c r="AG2644">
        <f>AVERAGE(Table1[[#This Row],[Range1_Low]:[Range1_High]])</f>
        <v>0.57000000000000006</v>
      </c>
      <c r="AH2644">
        <v>1</v>
      </c>
    </row>
    <row r="2645" spans="1:34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tr" cm="1">
        <f t="array" ref="U2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5" t="str" cm="1">
        <f t="array" ref="V2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  <c r="AF2645">
        <f>AVERAGE(Table1[[#This Row],[Range2_Low]:[Range2_High]])</f>
        <v>1.0049999999999999</v>
      </c>
      <c r="AG2645">
        <f>AVERAGE(Table1[[#This Row],[Range1_Low]:[Range1_High]])</f>
        <v>0.57000000000000006</v>
      </c>
      <c r="AH2645">
        <v>1</v>
      </c>
    </row>
    <row r="2646" spans="1:34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tr" cm="1">
        <f t="array" ref="U2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2646" t="str" cm="1">
        <f t="array" ref="V2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  <c r="AF2646">
        <f>AVERAGE(Table1[[#This Row],[Range2_Low]:[Range2_High]])</f>
        <v>1.0049999999999999</v>
      </c>
      <c r="AG2646">
        <f>AVERAGE(Table1[[#This Row],[Range1_Low]:[Range1_High]])</f>
        <v>0.57000000000000006</v>
      </c>
      <c r="AH2646">
        <v>1</v>
      </c>
    </row>
    <row r="2647" spans="1:34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tr" cm="1">
        <f t="array" ref="U2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V2647" t="str" cm="1">
        <f t="array" ref="V2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  <c r="AF2647">
        <f>AVERAGE(Table1[[#This Row],[Range2_Low]:[Range2_High]])</f>
        <v>1.0049999999999999</v>
      </c>
      <c r="AG2647">
        <f>AVERAGE(Table1[[#This Row],[Range1_Low]:[Range1_High]])</f>
        <v>0.57000000000000006</v>
      </c>
      <c r="AH2647">
        <v>1</v>
      </c>
    </row>
    <row r="2648" spans="1:34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tr" cm="1">
        <f t="array" ref="U2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648" t="str" cm="1">
        <f t="array" ref="V2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  <c r="AF2648">
        <f>AVERAGE(Table1[[#This Row],[Range2_Low]:[Range2_High]])</f>
        <v>1.0049999999999999</v>
      </c>
      <c r="AG2648">
        <f>AVERAGE(Table1[[#This Row],[Range1_Low]:[Range1_High]])</f>
        <v>0.57000000000000006</v>
      </c>
      <c r="AH2648">
        <v>1</v>
      </c>
    </row>
    <row r="2649" spans="1:34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tr" cm="1">
        <f t="array" ref="U2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49" t="str" cm="1">
        <f t="array" ref="V2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  <c r="AF2649">
        <f>AVERAGE(Table1[[#This Row],[Range2_Low]:[Range2_High]])</f>
        <v>1.0049999999999999</v>
      </c>
      <c r="AG2649">
        <f>AVERAGE(Table1[[#This Row],[Range1_Low]:[Range1_High]])</f>
        <v>5.7</v>
      </c>
      <c r="AH2649">
        <v>1</v>
      </c>
    </row>
    <row r="2650" spans="1:34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tr" cm="1">
        <f t="array" ref="U2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0" t="str" cm="1">
        <f t="array" ref="V2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  <c r="AF2650">
        <f>AVERAGE(Table1[[#This Row],[Range2_Low]:[Range2_High]])</f>
        <v>1.0049999999999999</v>
      </c>
      <c r="AG2650">
        <f>AVERAGE(Table1[[#This Row],[Range1_Low]:[Range1_High]])</f>
        <v>5.7</v>
      </c>
      <c r="AH2650">
        <v>1</v>
      </c>
    </row>
    <row r="2651" spans="1:34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tr" cm="1">
        <f t="array" ref="U2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1" t="str" cm="1">
        <f t="array" ref="V2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  <c r="AF2651">
        <f>AVERAGE(Table1[[#This Row],[Range2_Low]:[Range2_High]])</f>
        <v>1.0049999999999999</v>
      </c>
      <c r="AG2651">
        <f>AVERAGE(Table1[[#This Row],[Range1_Low]:[Range1_High]])</f>
        <v>5.7</v>
      </c>
      <c r="AH2651">
        <v>1</v>
      </c>
    </row>
    <row r="2652" spans="1:34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tr" cm="1">
        <f t="array" ref="U2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V2652" t="str" cm="1">
        <f t="array" ref="V2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  <c r="AF2652">
        <f>AVERAGE(Table1[[#This Row],[Range2_Low]:[Range2_High]])</f>
        <v>1.0049999999999999</v>
      </c>
      <c r="AG2652">
        <f>AVERAGE(Table1[[#This Row],[Range1_Low]:[Range1_High]])</f>
        <v>5.7</v>
      </c>
      <c r="AH2652">
        <v>1</v>
      </c>
    </row>
    <row r="2653" spans="1:34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tr" cm="1">
        <f t="array" ref="U2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653" t="str" cm="1">
        <f t="array" ref="V2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  <c r="AF2653">
        <f>AVERAGE(Table1[[#This Row],[Range2_Low]:[Range2_High]])</f>
        <v>1.0049999999999999</v>
      </c>
      <c r="AG2653">
        <f>AVERAGE(Table1[[#This Row],[Range1_Low]:[Range1_High]])</f>
        <v>5.7</v>
      </c>
      <c r="AH2653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0" t="s">
        <v>0</v>
      </c>
      <c r="B1" s="91" t="s">
        <v>156</v>
      </c>
      <c r="C1" s="91" t="s">
        <v>157</v>
      </c>
      <c r="D1" s="91" t="s">
        <v>158</v>
      </c>
      <c r="E1" s="91" t="s">
        <v>191</v>
      </c>
      <c r="F1" s="92" t="s">
        <v>192</v>
      </c>
    </row>
    <row r="2" spans="1:6" x14ac:dyDescent="0.25">
      <c r="A2" s="93" t="s">
        <v>3</v>
      </c>
      <c r="B2" s="75"/>
      <c r="C2" s="75"/>
      <c r="D2" s="75"/>
      <c r="E2" s="75" t="s">
        <v>6</v>
      </c>
      <c r="F2" s="94"/>
    </row>
    <row r="3" spans="1:6" x14ac:dyDescent="0.25">
      <c r="A3" s="95" t="s">
        <v>46</v>
      </c>
      <c r="B3" s="76"/>
      <c r="C3" s="76"/>
      <c r="D3" s="76"/>
      <c r="E3" s="76" t="s">
        <v>13</v>
      </c>
      <c r="F3" s="96"/>
    </row>
    <row r="4" spans="1:6" x14ac:dyDescent="0.25">
      <c r="A4" s="93" t="s">
        <v>59</v>
      </c>
      <c r="B4" s="75"/>
      <c r="C4" s="75" t="s">
        <v>159</v>
      </c>
      <c r="D4" s="75"/>
      <c r="E4" s="75" t="s">
        <v>13</v>
      </c>
      <c r="F4" s="94"/>
    </row>
    <row r="5" spans="1:6" x14ac:dyDescent="0.25">
      <c r="A5" s="95" t="s">
        <v>60</v>
      </c>
      <c r="B5" s="76"/>
      <c r="C5" s="76" t="s">
        <v>160</v>
      </c>
      <c r="D5" s="76"/>
      <c r="E5" s="76" t="s">
        <v>13</v>
      </c>
      <c r="F5" s="96"/>
    </row>
    <row r="6" spans="1:6" x14ac:dyDescent="0.25">
      <c r="A6" s="93" t="s">
        <v>61</v>
      </c>
      <c r="B6" s="75"/>
      <c r="C6" s="75" t="s">
        <v>161</v>
      </c>
      <c r="D6" s="75"/>
      <c r="E6" s="75" t="s">
        <v>13</v>
      </c>
      <c r="F6" s="94"/>
    </row>
    <row r="7" spans="1:6" x14ac:dyDescent="0.25">
      <c r="A7" s="95" t="s">
        <v>7</v>
      </c>
      <c r="B7" s="76"/>
      <c r="C7" s="76"/>
      <c r="D7" s="76"/>
      <c r="E7" s="76" t="s">
        <v>104</v>
      </c>
      <c r="F7" s="96"/>
    </row>
    <row r="8" spans="1:6" x14ac:dyDescent="0.25">
      <c r="A8" s="93" t="s">
        <v>8</v>
      </c>
      <c r="B8" s="75"/>
      <c r="C8" s="75"/>
      <c r="D8" s="75"/>
      <c r="E8" s="75" t="s">
        <v>6</v>
      </c>
      <c r="F8" s="94" t="s">
        <v>10</v>
      </c>
    </row>
    <row r="9" spans="1:6" x14ac:dyDescent="0.25">
      <c r="A9" s="95" t="s">
        <v>17</v>
      </c>
      <c r="B9" s="76"/>
      <c r="C9" s="76"/>
      <c r="D9" s="76"/>
      <c r="E9" s="76" t="s">
        <v>9</v>
      </c>
      <c r="F9" s="96"/>
    </row>
    <row r="10" spans="1:6" x14ac:dyDescent="0.25">
      <c r="A10" s="93" t="s">
        <v>47</v>
      </c>
      <c r="B10" s="75"/>
      <c r="C10" s="75"/>
      <c r="D10" s="75"/>
      <c r="E10" s="75" t="s">
        <v>13</v>
      </c>
      <c r="F10" s="94" t="s">
        <v>10</v>
      </c>
    </row>
    <row r="11" spans="1:6" x14ac:dyDescent="0.25">
      <c r="A11" s="95" t="s">
        <v>62</v>
      </c>
      <c r="B11" s="76"/>
      <c r="C11" s="76" t="s">
        <v>159</v>
      </c>
      <c r="D11" s="76"/>
      <c r="E11" s="76" t="s">
        <v>13</v>
      </c>
      <c r="F11" s="96" t="s">
        <v>10</v>
      </c>
    </row>
    <row r="12" spans="1:6" x14ac:dyDescent="0.25">
      <c r="A12" s="93" t="s">
        <v>63</v>
      </c>
      <c r="B12" s="75"/>
      <c r="C12" s="75" t="s">
        <v>160</v>
      </c>
      <c r="D12" s="75"/>
      <c r="E12" s="75" t="s">
        <v>13</v>
      </c>
      <c r="F12" s="94" t="s">
        <v>10</v>
      </c>
    </row>
    <row r="13" spans="1:6" x14ac:dyDescent="0.25">
      <c r="A13" s="95" t="s">
        <v>64</v>
      </c>
      <c r="B13" s="76"/>
      <c r="C13" s="76" t="s">
        <v>161</v>
      </c>
      <c r="D13" s="76"/>
      <c r="E13" s="76" t="s">
        <v>13</v>
      </c>
      <c r="F13" s="96" t="s">
        <v>10</v>
      </c>
    </row>
    <row r="14" spans="1:6" x14ac:dyDescent="0.25">
      <c r="A14" s="93" t="s">
        <v>14</v>
      </c>
      <c r="B14" s="75"/>
      <c r="C14" s="75"/>
      <c r="D14" s="75"/>
      <c r="E14" s="75" t="s">
        <v>142</v>
      </c>
      <c r="F14" s="94"/>
    </row>
    <row r="15" spans="1:6" x14ac:dyDescent="0.25">
      <c r="A15" s="95" t="s">
        <v>93</v>
      </c>
      <c r="B15" s="76"/>
      <c r="C15" s="76"/>
      <c r="D15" s="76" t="s">
        <v>162</v>
      </c>
      <c r="E15" s="76" t="s">
        <v>23</v>
      </c>
      <c r="F15" s="96"/>
    </row>
    <row r="16" spans="1:6" x14ac:dyDescent="0.25">
      <c r="A16" s="93" t="s">
        <v>92</v>
      </c>
      <c r="B16" s="75"/>
      <c r="C16" s="75"/>
      <c r="D16" s="75" t="s">
        <v>163</v>
      </c>
      <c r="E16" s="75" t="s">
        <v>23</v>
      </c>
      <c r="F16" s="94"/>
    </row>
    <row r="17" spans="1:6" x14ac:dyDescent="0.25">
      <c r="A17" s="95" t="s">
        <v>91</v>
      </c>
      <c r="B17" s="76"/>
      <c r="C17" s="76"/>
      <c r="D17" s="76" t="s">
        <v>113</v>
      </c>
      <c r="E17" s="76" t="s">
        <v>23</v>
      </c>
      <c r="F17" s="96"/>
    </row>
    <row r="18" spans="1:6" x14ac:dyDescent="0.25">
      <c r="A18" s="93" t="s">
        <v>94</v>
      </c>
      <c r="B18" s="75"/>
      <c r="C18" s="75"/>
      <c r="D18" s="75" t="s">
        <v>164</v>
      </c>
      <c r="E18" s="75" t="s">
        <v>23</v>
      </c>
      <c r="F18" s="94"/>
    </row>
    <row r="19" spans="1:6" x14ac:dyDescent="0.25">
      <c r="A19" s="95" t="s">
        <v>95</v>
      </c>
      <c r="B19" s="76"/>
      <c r="C19" s="76"/>
      <c r="D19" s="76" t="s">
        <v>165</v>
      </c>
      <c r="E19" s="76" t="s">
        <v>23</v>
      </c>
      <c r="F19" s="96"/>
    </row>
    <row r="20" spans="1:6" x14ac:dyDescent="0.25">
      <c r="A20" s="93" t="s">
        <v>96</v>
      </c>
      <c r="B20" s="75"/>
      <c r="C20" s="75"/>
      <c r="D20" s="75" t="s">
        <v>166</v>
      </c>
      <c r="E20" s="75" t="s">
        <v>23</v>
      </c>
      <c r="F20" s="94"/>
    </row>
    <row r="21" spans="1:6" x14ac:dyDescent="0.25">
      <c r="A21" s="95" t="s">
        <v>97</v>
      </c>
      <c r="B21" s="76"/>
      <c r="C21" s="76"/>
      <c r="D21" s="76" t="s">
        <v>167</v>
      </c>
      <c r="E21" s="76" t="s">
        <v>23</v>
      </c>
      <c r="F21" s="96"/>
    </row>
    <row r="22" spans="1:6" x14ac:dyDescent="0.25">
      <c r="A22" s="93" t="s">
        <v>98</v>
      </c>
      <c r="B22" s="75"/>
      <c r="C22" s="75"/>
      <c r="D22" s="75" t="s">
        <v>168</v>
      </c>
      <c r="E22" s="75" t="s">
        <v>23</v>
      </c>
      <c r="F22" s="94"/>
    </row>
    <row r="23" spans="1:6" x14ac:dyDescent="0.25">
      <c r="A23" s="95" t="s">
        <v>99</v>
      </c>
      <c r="B23" s="76"/>
      <c r="C23" s="76"/>
      <c r="D23" s="76" t="s">
        <v>169</v>
      </c>
      <c r="E23" s="76" t="s">
        <v>23</v>
      </c>
      <c r="F23" s="96"/>
    </row>
    <row r="24" spans="1:6" x14ac:dyDescent="0.25">
      <c r="A24" s="93" t="s">
        <v>82</v>
      </c>
      <c r="B24" s="75"/>
      <c r="C24" s="75"/>
      <c r="D24" s="75" t="s">
        <v>162</v>
      </c>
      <c r="E24" s="75" t="s">
        <v>26</v>
      </c>
      <c r="F24" s="94"/>
    </row>
    <row r="25" spans="1:6" x14ac:dyDescent="0.25">
      <c r="A25" s="95" t="s">
        <v>83</v>
      </c>
      <c r="B25" s="76"/>
      <c r="C25" s="76"/>
      <c r="D25" s="76" t="s">
        <v>163</v>
      </c>
      <c r="E25" s="76" t="s">
        <v>26</v>
      </c>
      <c r="F25" s="96"/>
    </row>
    <row r="26" spans="1:6" x14ac:dyDescent="0.25">
      <c r="A26" s="93" t="s">
        <v>84</v>
      </c>
      <c r="B26" s="75"/>
      <c r="C26" s="75"/>
      <c r="D26" s="75" t="s">
        <v>113</v>
      </c>
      <c r="E26" s="75" t="s">
        <v>26</v>
      </c>
      <c r="F26" s="94"/>
    </row>
    <row r="27" spans="1:6" x14ac:dyDescent="0.25">
      <c r="A27" s="95" t="s">
        <v>85</v>
      </c>
      <c r="B27" s="76"/>
      <c r="C27" s="76"/>
      <c r="D27" s="76" t="s">
        <v>164</v>
      </c>
      <c r="E27" s="76" t="s">
        <v>26</v>
      </c>
      <c r="F27" s="96"/>
    </row>
    <row r="28" spans="1:6" x14ac:dyDescent="0.25">
      <c r="A28" s="93" t="s">
        <v>86</v>
      </c>
      <c r="B28" s="75"/>
      <c r="C28" s="75"/>
      <c r="D28" s="75" t="s">
        <v>165</v>
      </c>
      <c r="E28" s="75" t="s">
        <v>26</v>
      </c>
      <c r="F28" s="94"/>
    </row>
    <row r="29" spans="1:6" x14ac:dyDescent="0.25">
      <c r="A29" s="95" t="s">
        <v>87</v>
      </c>
      <c r="B29" s="76"/>
      <c r="C29" s="76"/>
      <c r="D29" s="76" t="s">
        <v>166</v>
      </c>
      <c r="E29" s="76" t="s">
        <v>26</v>
      </c>
      <c r="F29" s="96"/>
    </row>
    <row r="30" spans="1:6" x14ac:dyDescent="0.25">
      <c r="A30" s="93" t="s">
        <v>88</v>
      </c>
      <c r="B30" s="75"/>
      <c r="C30" s="75"/>
      <c r="D30" s="75" t="s">
        <v>167</v>
      </c>
      <c r="E30" s="75" t="s">
        <v>26</v>
      </c>
      <c r="F30" s="94"/>
    </row>
    <row r="31" spans="1:6" x14ac:dyDescent="0.25">
      <c r="A31" s="95" t="s">
        <v>89</v>
      </c>
      <c r="B31" s="76"/>
      <c r="C31" s="76"/>
      <c r="D31" s="76" t="s">
        <v>168</v>
      </c>
      <c r="E31" s="76" t="s">
        <v>26</v>
      </c>
      <c r="F31" s="96"/>
    </row>
    <row r="32" spans="1:6" x14ac:dyDescent="0.25">
      <c r="A32" s="93" t="s">
        <v>90</v>
      </c>
      <c r="B32" s="75"/>
      <c r="C32" s="75"/>
      <c r="D32" s="75" t="s">
        <v>169</v>
      </c>
      <c r="E32" s="75" t="s">
        <v>26</v>
      </c>
      <c r="F32" s="94"/>
    </row>
    <row r="33" spans="1:6" x14ac:dyDescent="0.25">
      <c r="A33" s="95" t="s">
        <v>100</v>
      </c>
      <c r="B33" s="76"/>
      <c r="C33" s="76"/>
      <c r="D33" s="76"/>
      <c r="E33" s="76" t="s">
        <v>154</v>
      </c>
      <c r="F33" s="96"/>
    </row>
    <row r="34" spans="1:6" x14ac:dyDescent="0.25">
      <c r="A34" s="93" t="s">
        <v>101</v>
      </c>
      <c r="B34" s="75"/>
      <c r="C34" s="75"/>
      <c r="D34" s="75"/>
      <c r="E34" s="75" t="s">
        <v>102</v>
      </c>
      <c r="F34" s="94"/>
    </row>
    <row r="35" spans="1:6" x14ac:dyDescent="0.25">
      <c r="A35" s="95" t="s">
        <v>71</v>
      </c>
      <c r="B35" s="76" t="s">
        <v>170</v>
      </c>
      <c r="C35" s="76"/>
      <c r="D35" s="76"/>
      <c r="E35" s="76" t="s">
        <v>6</v>
      </c>
      <c r="F35" s="96"/>
    </row>
    <row r="36" spans="1:6" x14ac:dyDescent="0.25">
      <c r="A36" s="93" t="s">
        <v>74</v>
      </c>
      <c r="B36" s="75" t="s">
        <v>155</v>
      </c>
      <c r="C36" s="75"/>
      <c r="D36" s="75"/>
      <c r="E36" s="75" t="s">
        <v>6</v>
      </c>
      <c r="F36" s="94"/>
    </row>
    <row r="37" spans="1:6" x14ac:dyDescent="0.25">
      <c r="A37" s="95" t="s">
        <v>75</v>
      </c>
      <c r="B37" s="76" t="s">
        <v>155</v>
      </c>
      <c r="C37" s="76"/>
      <c r="D37" s="76"/>
      <c r="E37" s="76" t="s">
        <v>104</v>
      </c>
      <c r="F37" s="96"/>
    </row>
    <row r="38" spans="1:6" x14ac:dyDescent="0.25">
      <c r="A38" s="93" t="s">
        <v>76</v>
      </c>
      <c r="B38" s="75" t="s">
        <v>171</v>
      </c>
      <c r="C38" s="75"/>
      <c r="D38" s="75" t="s">
        <v>163</v>
      </c>
      <c r="E38" s="75"/>
      <c r="F38" s="94"/>
    </row>
    <row r="39" spans="1:6" x14ac:dyDescent="0.25">
      <c r="A39" s="95" t="s">
        <v>77</v>
      </c>
      <c r="B39" s="76" t="s">
        <v>171</v>
      </c>
      <c r="C39" s="76"/>
      <c r="D39" s="76" t="s">
        <v>113</v>
      </c>
      <c r="E39" s="76"/>
      <c r="F39" s="96"/>
    </row>
    <row r="40" spans="1:6" x14ac:dyDescent="0.25">
      <c r="A40" s="93" t="s">
        <v>78</v>
      </c>
      <c r="B40" s="75" t="s">
        <v>171</v>
      </c>
      <c r="C40" s="75"/>
      <c r="D40" s="75" t="s">
        <v>164</v>
      </c>
      <c r="E40" s="75"/>
      <c r="F40" s="94"/>
    </row>
    <row r="41" spans="1:6" x14ac:dyDescent="0.25">
      <c r="A41" s="95" t="s">
        <v>79</v>
      </c>
      <c r="B41" s="76" t="s">
        <v>171</v>
      </c>
      <c r="C41" s="76"/>
      <c r="D41" s="76" t="s">
        <v>165</v>
      </c>
      <c r="E41" s="76"/>
      <c r="F41" s="96"/>
    </row>
    <row r="42" spans="1:6" x14ac:dyDescent="0.25">
      <c r="A42" s="93" t="s">
        <v>80</v>
      </c>
      <c r="B42" s="75" t="s">
        <v>171</v>
      </c>
      <c r="C42" s="75"/>
      <c r="D42" s="75" t="s">
        <v>166</v>
      </c>
      <c r="E42" s="75"/>
      <c r="F42" s="94"/>
    </row>
    <row r="43" spans="1:6" x14ac:dyDescent="0.25">
      <c r="A43" s="84" t="s">
        <v>81</v>
      </c>
      <c r="B43" s="85" t="s">
        <v>171</v>
      </c>
      <c r="C43" s="85"/>
      <c r="D43" s="85" t="s">
        <v>167</v>
      </c>
      <c r="E43" s="85"/>
      <c r="F43" s="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S2656"/>
  <sheetViews>
    <sheetView tabSelected="1" topLeftCell="A2627" zoomScaleNormal="100" workbookViewId="0">
      <selection activeCell="Q2655" sqref="Q2655"/>
    </sheetView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42578125" bestFit="1" customWidth="1"/>
    <col min="17" max="17" width="14.85546875" bestFit="1" customWidth="1"/>
  </cols>
  <sheetData>
    <row r="1" spans="1:15" x14ac:dyDescent="0.25">
      <c r="A1" t="s">
        <v>58</v>
      </c>
      <c r="B1" t="s">
        <v>0</v>
      </c>
      <c r="C1" t="s">
        <v>143</v>
      </c>
      <c r="D1" t="s">
        <v>144</v>
      </c>
      <c r="E1" t="s">
        <v>1</v>
      </c>
      <c r="F1" t="s">
        <v>145</v>
      </c>
      <c r="G1" t="s">
        <v>146</v>
      </c>
      <c r="H1" t="s">
        <v>147</v>
      </c>
      <c r="I1" t="s">
        <v>148</v>
      </c>
      <c r="J1" t="s">
        <v>149</v>
      </c>
      <c r="K1" t="s">
        <v>19</v>
      </c>
      <c r="L1" t="s">
        <v>2</v>
      </c>
      <c r="M1" t="s">
        <v>150</v>
      </c>
      <c r="N1" t="s">
        <v>151</v>
      </c>
      <c r="O1" t="s">
        <v>202</v>
      </c>
    </row>
    <row r="2" spans="1:15" x14ac:dyDescent="0.25">
      <c r="A2" t="s">
        <v>57</v>
      </c>
      <c r="B2" t="s">
        <v>71</v>
      </c>
      <c r="C2">
        <v>0</v>
      </c>
      <c r="D2">
        <v>1E-3</v>
      </c>
      <c r="E2">
        <v>1E-8</v>
      </c>
      <c r="F2" t="s">
        <v>6</v>
      </c>
      <c r="G2" t="s">
        <v>5</v>
      </c>
      <c r="H2">
        <v>0</v>
      </c>
      <c r="I2">
        <v>0</v>
      </c>
      <c r="K2">
        <v>0.62</v>
      </c>
      <c r="L2">
        <v>4.5</v>
      </c>
      <c r="M2">
        <v>2.7845000000000002E-2</v>
      </c>
      <c r="N2">
        <v>71.95</v>
      </c>
      <c r="O2" t="s">
        <v>237</v>
      </c>
    </row>
    <row r="3" spans="1:15" x14ac:dyDescent="0.25">
      <c r="A3" t="s">
        <v>57</v>
      </c>
      <c r="B3" t="s">
        <v>71</v>
      </c>
      <c r="C3">
        <v>0</v>
      </c>
      <c r="D3">
        <v>1E-3</v>
      </c>
      <c r="E3">
        <v>9.9999999999999995E-8</v>
      </c>
      <c r="F3" t="s">
        <v>6</v>
      </c>
      <c r="G3" t="s">
        <v>5</v>
      </c>
      <c r="H3">
        <v>0</v>
      </c>
      <c r="I3">
        <v>0</v>
      </c>
      <c r="K3">
        <v>0.62</v>
      </c>
      <c r="L3">
        <v>4.5</v>
      </c>
      <c r="M3">
        <v>6.2206999999999998E-2</v>
      </c>
      <c r="N3">
        <v>53.073</v>
      </c>
      <c r="O3" t="s">
        <v>238</v>
      </c>
    </row>
    <row r="4" spans="1:15" x14ac:dyDescent="0.25">
      <c r="A4" t="s">
        <v>57</v>
      </c>
      <c r="B4" t="s">
        <v>71</v>
      </c>
      <c r="C4">
        <v>0</v>
      </c>
      <c r="D4">
        <v>1E-3</v>
      </c>
      <c r="E4">
        <v>9.9999999999999995E-7</v>
      </c>
      <c r="F4" t="s">
        <v>6</v>
      </c>
      <c r="G4" t="s">
        <v>5</v>
      </c>
      <c r="H4">
        <v>0</v>
      </c>
      <c r="I4">
        <v>0</v>
      </c>
      <c r="K4">
        <v>0.62</v>
      </c>
      <c r="L4">
        <v>4.5</v>
      </c>
      <c r="M4">
        <v>0.58020000000000005</v>
      </c>
      <c r="N4">
        <v>8.2951999999999995</v>
      </c>
      <c r="O4" t="s">
        <v>239</v>
      </c>
    </row>
    <row r="5" spans="1:15" x14ac:dyDescent="0.25">
      <c r="A5" t="s">
        <v>57</v>
      </c>
      <c r="B5" t="s">
        <v>71</v>
      </c>
      <c r="C5">
        <v>0</v>
      </c>
      <c r="D5">
        <v>1E-3</v>
      </c>
      <c r="E5">
        <v>1.0000000000000001E-5</v>
      </c>
      <c r="F5" t="s">
        <v>6</v>
      </c>
      <c r="G5" t="s">
        <v>5</v>
      </c>
      <c r="H5">
        <v>0</v>
      </c>
      <c r="I5">
        <v>0</v>
      </c>
      <c r="K5">
        <v>5.8</v>
      </c>
      <c r="L5">
        <v>0.89276</v>
      </c>
      <c r="M5">
        <v>5.8</v>
      </c>
      <c r="N5">
        <v>0.83626</v>
      </c>
      <c r="O5" t="s">
        <v>240</v>
      </c>
    </row>
    <row r="6" spans="1:15" x14ac:dyDescent="0.25">
      <c r="A6" t="s">
        <v>57</v>
      </c>
      <c r="B6" t="s">
        <v>71</v>
      </c>
      <c r="C6">
        <v>0</v>
      </c>
      <c r="D6">
        <v>1E-3</v>
      </c>
      <c r="E6">
        <v>1E-4</v>
      </c>
      <c r="F6" t="s">
        <v>6</v>
      </c>
      <c r="G6" t="s">
        <v>5</v>
      </c>
      <c r="H6">
        <v>0</v>
      </c>
      <c r="I6">
        <v>0</v>
      </c>
      <c r="K6">
        <v>58</v>
      </c>
      <c r="L6">
        <v>0.10624</v>
      </c>
      <c r="M6">
        <v>58</v>
      </c>
      <c r="N6">
        <v>8.3632999999999999E-2</v>
      </c>
      <c r="O6" t="s">
        <v>241</v>
      </c>
    </row>
    <row r="7" spans="1:15" x14ac:dyDescent="0.25">
      <c r="A7" t="s">
        <v>57</v>
      </c>
      <c r="B7" t="s">
        <v>71</v>
      </c>
      <c r="C7">
        <v>0</v>
      </c>
      <c r="D7">
        <v>1E-3</v>
      </c>
      <c r="E7">
        <v>1E-3</v>
      </c>
      <c r="F7" t="s">
        <v>6</v>
      </c>
      <c r="G7" t="s">
        <v>5</v>
      </c>
      <c r="H7">
        <v>0</v>
      </c>
      <c r="I7">
        <v>0</v>
      </c>
      <c r="K7">
        <v>580</v>
      </c>
      <c r="L7">
        <v>1.7406000000000001E-2</v>
      </c>
      <c r="M7">
        <v>580</v>
      </c>
      <c r="N7">
        <v>8.3633000000000006E-3</v>
      </c>
      <c r="O7" t="s">
        <v>242</v>
      </c>
    </row>
    <row r="8" spans="1:15" x14ac:dyDescent="0.25">
      <c r="A8" t="s">
        <v>57</v>
      </c>
      <c r="B8" t="s">
        <v>71</v>
      </c>
      <c r="C8">
        <v>1E-3</v>
      </c>
      <c r="D8">
        <v>0.01</v>
      </c>
      <c r="E8">
        <v>1E-8</v>
      </c>
      <c r="F8" t="s">
        <v>6</v>
      </c>
      <c r="G8" t="s">
        <v>5</v>
      </c>
      <c r="H8">
        <v>0</v>
      </c>
      <c r="I8">
        <v>0</v>
      </c>
      <c r="K8">
        <v>0.62</v>
      </c>
      <c r="L8">
        <v>4.5</v>
      </c>
      <c r="M8">
        <v>6.0671999999999997E-2</v>
      </c>
      <c r="N8">
        <v>48.506</v>
      </c>
      <c r="O8" t="s">
        <v>243</v>
      </c>
    </row>
    <row r="9" spans="1:15" x14ac:dyDescent="0.25">
      <c r="A9" t="s">
        <v>57</v>
      </c>
      <c r="B9" t="s">
        <v>71</v>
      </c>
      <c r="C9">
        <v>1E-3</v>
      </c>
      <c r="D9">
        <v>0.01</v>
      </c>
      <c r="E9">
        <v>9.9999999999999995E-8</v>
      </c>
      <c r="F9" t="s">
        <v>6</v>
      </c>
      <c r="G9" t="s">
        <v>5</v>
      </c>
      <c r="H9">
        <v>0</v>
      </c>
      <c r="I9">
        <v>0</v>
      </c>
      <c r="K9">
        <v>0.62</v>
      </c>
      <c r="L9">
        <v>4.5</v>
      </c>
      <c r="M9">
        <v>7.6235999999999998E-2</v>
      </c>
      <c r="N9">
        <v>47.253999999999998</v>
      </c>
      <c r="O9" t="s">
        <v>244</v>
      </c>
    </row>
    <row r="10" spans="1:15" x14ac:dyDescent="0.25">
      <c r="A10" t="s">
        <v>57</v>
      </c>
      <c r="B10" t="s">
        <v>71</v>
      </c>
      <c r="C10">
        <v>1E-3</v>
      </c>
      <c r="D10">
        <v>0.01</v>
      </c>
      <c r="E10">
        <v>9.9999999999999995E-7</v>
      </c>
      <c r="F10" t="s">
        <v>6</v>
      </c>
      <c r="G10" t="s">
        <v>5</v>
      </c>
      <c r="H10">
        <v>0</v>
      </c>
      <c r="I10">
        <v>0</v>
      </c>
      <c r="K10">
        <v>0.62</v>
      </c>
      <c r="L10">
        <v>19.155000000000001</v>
      </c>
      <c r="M10">
        <v>0.56725000000000003</v>
      </c>
      <c r="N10">
        <v>22.911999999999999</v>
      </c>
      <c r="O10" t="s">
        <v>245</v>
      </c>
    </row>
    <row r="11" spans="1:15" x14ac:dyDescent="0.25">
      <c r="A11" t="s">
        <v>57</v>
      </c>
      <c r="B11" t="s">
        <v>71</v>
      </c>
      <c r="C11">
        <v>1E-3</v>
      </c>
      <c r="D11">
        <v>0.01</v>
      </c>
      <c r="E11">
        <v>1.0000000000000001E-5</v>
      </c>
      <c r="F11" t="s">
        <v>6</v>
      </c>
      <c r="G11" t="s">
        <v>5</v>
      </c>
      <c r="H11">
        <v>0</v>
      </c>
      <c r="I11">
        <v>0</v>
      </c>
      <c r="K11">
        <v>5.7983000000000002</v>
      </c>
      <c r="L11">
        <v>2.7570000000000001</v>
      </c>
      <c r="M11">
        <v>5.7983000000000002</v>
      </c>
      <c r="N11">
        <v>2.7323</v>
      </c>
      <c r="O11" t="s">
        <v>246</v>
      </c>
    </row>
    <row r="12" spans="1:15" x14ac:dyDescent="0.25">
      <c r="A12" t="s">
        <v>57</v>
      </c>
      <c r="B12" t="s">
        <v>71</v>
      </c>
      <c r="C12">
        <v>1E-3</v>
      </c>
      <c r="D12">
        <v>0.01</v>
      </c>
      <c r="E12">
        <v>1E-4</v>
      </c>
      <c r="F12" t="s">
        <v>6</v>
      </c>
      <c r="G12" t="s">
        <v>5</v>
      </c>
      <c r="H12">
        <v>0</v>
      </c>
      <c r="I12">
        <v>0</v>
      </c>
      <c r="K12">
        <v>58</v>
      </c>
      <c r="L12">
        <v>0.2838</v>
      </c>
      <c r="M12">
        <v>58</v>
      </c>
      <c r="N12">
        <v>0.27384999999999998</v>
      </c>
      <c r="O12" t="s">
        <v>247</v>
      </c>
    </row>
    <row r="13" spans="1:15" x14ac:dyDescent="0.25">
      <c r="A13" t="s">
        <v>57</v>
      </c>
      <c r="B13" t="s">
        <v>71</v>
      </c>
      <c r="C13">
        <v>1E-3</v>
      </c>
      <c r="D13">
        <v>0.01</v>
      </c>
      <c r="E13">
        <v>1E-3</v>
      </c>
      <c r="F13" t="s">
        <v>6</v>
      </c>
      <c r="G13" t="s">
        <v>5</v>
      </c>
      <c r="H13">
        <v>0</v>
      </c>
      <c r="I13">
        <v>0</v>
      </c>
      <c r="K13">
        <v>580</v>
      </c>
      <c r="L13">
        <v>3.1364000000000003E-2</v>
      </c>
      <c r="M13">
        <v>580</v>
      </c>
      <c r="N13">
        <v>2.7386000000000001E-2</v>
      </c>
      <c r="O13" t="s">
        <v>248</v>
      </c>
    </row>
    <row r="14" spans="1:15" x14ac:dyDescent="0.25">
      <c r="A14" t="s">
        <v>57</v>
      </c>
      <c r="B14" t="s">
        <v>71</v>
      </c>
      <c r="C14">
        <v>0.01</v>
      </c>
      <c r="D14">
        <v>0.1</v>
      </c>
      <c r="E14">
        <v>9.9999999999999995E-8</v>
      </c>
      <c r="F14" t="s">
        <v>6</v>
      </c>
      <c r="G14" t="s">
        <v>5</v>
      </c>
      <c r="H14">
        <v>0</v>
      </c>
      <c r="I14">
        <v>0</v>
      </c>
      <c r="K14">
        <v>0.48</v>
      </c>
      <c r="L14">
        <v>37</v>
      </c>
      <c r="M14">
        <v>0.47363</v>
      </c>
      <c r="N14">
        <v>36.624000000000002</v>
      </c>
      <c r="O14" t="s">
        <v>249</v>
      </c>
    </row>
    <row r="15" spans="1:15" x14ac:dyDescent="0.25">
      <c r="A15" t="s">
        <v>57</v>
      </c>
      <c r="B15" t="s">
        <v>71</v>
      </c>
      <c r="C15">
        <v>0.01</v>
      </c>
      <c r="D15">
        <v>0.1</v>
      </c>
      <c r="E15">
        <v>9.9999999999999995E-7</v>
      </c>
      <c r="F15" t="s">
        <v>6</v>
      </c>
      <c r="G15" t="s">
        <v>5</v>
      </c>
      <c r="H15">
        <v>0</v>
      </c>
      <c r="I15">
        <v>0</v>
      </c>
      <c r="K15">
        <v>0.66959999999999997</v>
      </c>
      <c r="L15">
        <v>35.075000000000003</v>
      </c>
      <c r="M15">
        <v>0.66822999999999999</v>
      </c>
      <c r="N15">
        <v>35.079000000000001</v>
      </c>
      <c r="O15" t="s">
        <v>250</v>
      </c>
    </row>
    <row r="16" spans="1:15" x14ac:dyDescent="0.25">
      <c r="A16" t="s">
        <v>57</v>
      </c>
      <c r="B16" t="s">
        <v>71</v>
      </c>
      <c r="C16">
        <v>0.01</v>
      </c>
      <c r="D16">
        <v>0.1</v>
      </c>
      <c r="E16">
        <v>1.0000000000000001E-5</v>
      </c>
      <c r="F16" t="s">
        <v>6</v>
      </c>
      <c r="G16" t="s">
        <v>5</v>
      </c>
      <c r="H16">
        <v>0</v>
      </c>
      <c r="I16">
        <v>0</v>
      </c>
      <c r="K16">
        <v>5.7206999999999999</v>
      </c>
      <c r="L16">
        <v>14.051</v>
      </c>
      <c r="M16">
        <v>5.7199</v>
      </c>
      <c r="N16">
        <v>14.036</v>
      </c>
      <c r="O16" t="s">
        <v>251</v>
      </c>
    </row>
    <row r="17" spans="1:15" x14ac:dyDescent="0.25">
      <c r="A17" t="s">
        <v>57</v>
      </c>
      <c r="B17" t="s">
        <v>71</v>
      </c>
      <c r="C17">
        <v>0.01</v>
      </c>
      <c r="D17">
        <v>0.1</v>
      </c>
      <c r="E17">
        <v>1E-4</v>
      </c>
      <c r="F17" t="s">
        <v>6</v>
      </c>
      <c r="G17" t="s">
        <v>5</v>
      </c>
      <c r="H17">
        <v>0</v>
      </c>
      <c r="I17">
        <v>0</v>
      </c>
      <c r="K17">
        <v>57.991</v>
      </c>
      <c r="L17">
        <v>1.5773999999999999</v>
      </c>
      <c r="M17">
        <v>57.99</v>
      </c>
      <c r="N17">
        <v>1.5689</v>
      </c>
      <c r="O17" t="s">
        <v>252</v>
      </c>
    </row>
    <row r="18" spans="1:15" x14ac:dyDescent="0.25">
      <c r="A18" t="s">
        <v>57</v>
      </c>
      <c r="B18" t="s">
        <v>71</v>
      </c>
      <c r="C18">
        <v>0.01</v>
      </c>
      <c r="D18">
        <v>0.1</v>
      </c>
      <c r="E18">
        <v>1E-3</v>
      </c>
      <c r="F18" t="s">
        <v>6</v>
      </c>
      <c r="G18" t="s">
        <v>5</v>
      </c>
      <c r="H18">
        <v>0</v>
      </c>
      <c r="I18">
        <v>0</v>
      </c>
      <c r="K18">
        <v>580</v>
      </c>
      <c r="L18">
        <v>0.16048999999999999</v>
      </c>
      <c r="M18">
        <v>580</v>
      </c>
      <c r="N18">
        <v>0.15709999999999999</v>
      </c>
      <c r="O18" t="s">
        <v>253</v>
      </c>
    </row>
    <row r="19" spans="1:15" x14ac:dyDescent="0.25">
      <c r="A19" t="s">
        <v>57</v>
      </c>
      <c r="B19" t="s">
        <v>71</v>
      </c>
      <c r="C19">
        <v>0.01</v>
      </c>
      <c r="D19">
        <v>0.1</v>
      </c>
      <c r="E19">
        <v>0.01</v>
      </c>
      <c r="F19" t="s">
        <v>6</v>
      </c>
      <c r="G19" t="s">
        <v>5</v>
      </c>
      <c r="H19">
        <v>0</v>
      </c>
      <c r="I19">
        <v>0</v>
      </c>
      <c r="K19">
        <v>5800</v>
      </c>
      <c r="L19">
        <v>1.7066999999999999E-2</v>
      </c>
      <c r="M19">
        <v>5800</v>
      </c>
      <c r="N19">
        <v>1.5709999999999998E-2</v>
      </c>
      <c r="O19" t="s">
        <v>254</v>
      </c>
    </row>
    <row r="20" spans="1:15" x14ac:dyDescent="0.25">
      <c r="A20" t="s">
        <v>57</v>
      </c>
      <c r="B20" t="s">
        <v>71</v>
      </c>
      <c r="C20">
        <v>0.1</v>
      </c>
      <c r="D20">
        <v>1</v>
      </c>
      <c r="E20">
        <v>9.9999999999999995E-7</v>
      </c>
      <c r="F20" t="s">
        <v>6</v>
      </c>
      <c r="G20" t="s">
        <v>5</v>
      </c>
      <c r="H20">
        <v>0</v>
      </c>
      <c r="I20">
        <v>0</v>
      </c>
      <c r="K20">
        <v>4.7</v>
      </c>
      <c r="L20">
        <v>41</v>
      </c>
      <c r="M20">
        <v>4.6517999999999997</v>
      </c>
      <c r="N20">
        <v>40.781999999999996</v>
      </c>
      <c r="O20" t="s">
        <v>255</v>
      </c>
    </row>
    <row r="21" spans="1:15" x14ac:dyDescent="0.25">
      <c r="A21" t="s">
        <v>57</v>
      </c>
      <c r="B21" t="s">
        <v>71</v>
      </c>
      <c r="C21">
        <v>0.1</v>
      </c>
      <c r="D21">
        <v>1</v>
      </c>
      <c r="E21">
        <v>1.0000000000000001E-5</v>
      </c>
      <c r="F21" t="s">
        <v>6</v>
      </c>
      <c r="G21" t="s">
        <v>5</v>
      </c>
      <c r="H21">
        <v>0</v>
      </c>
      <c r="I21">
        <v>0</v>
      </c>
      <c r="K21">
        <v>6.5522999999999998</v>
      </c>
      <c r="L21">
        <v>39.255000000000003</v>
      </c>
      <c r="M21">
        <v>6.5388999999999999</v>
      </c>
      <c r="N21">
        <v>39.26</v>
      </c>
      <c r="O21" t="s">
        <v>256</v>
      </c>
    </row>
    <row r="22" spans="1:15" x14ac:dyDescent="0.25">
      <c r="A22" t="s">
        <v>57</v>
      </c>
      <c r="B22" t="s">
        <v>71</v>
      </c>
      <c r="C22">
        <v>0.1</v>
      </c>
      <c r="D22">
        <v>1</v>
      </c>
      <c r="E22">
        <v>1E-4</v>
      </c>
      <c r="F22" t="s">
        <v>6</v>
      </c>
      <c r="G22" t="s">
        <v>5</v>
      </c>
      <c r="H22">
        <v>0</v>
      </c>
      <c r="I22">
        <v>0</v>
      </c>
      <c r="K22">
        <v>56.988999999999997</v>
      </c>
      <c r="L22">
        <v>16.704999999999998</v>
      </c>
      <c r="M22">
        <v>56.981000000000002</v>
      </c>
      <c r="N22">
        <v>16.693000000000001</v>
      </c>
      <c r="O22" t="s">
        <v>257</v>
      </c>
    </row>
    <row r="23" spans="1:15" x14ac:dyDescent="0.25">
      <c r="A23" t="s">
        <v>57</v>
      </c>
      <c r="B23" t="s">
        <v>71</v>
      </c>
      <c r="C23">
        <v>0.1</v>
      </c>
      <c r="D23">
        <v>1</v>
      </c>
      <c r="E23">
        <v>1E-3</v>
      </c>
      <c r="F23" t="s">
        <v>6</v>
      </c>
      <c r="G23" t="s">
        <v>5</v>
      </c>
      <c r="H23">
        <v>0</v>
      </c>
      <c r="I23">
        <v>0</v>
      </c>
      <c r="K23">
        <v>579.88</v>
      </c>
      <c r="L23">
        <v>1.9084000000000001</v>
      </c>
      <c r="M23">
        <v>579.88</v>
      </c>
      <c r="N23">
        <v>1.9012</v>
      </c>
      <c r="O23" t="s">
        <v>258</v>
      </c>
    </row>
    <row r="24" spans="1:15" x14ac:dyDescent="0.25">
      <c r="A24" t="s">
        <v>57</v>
      </c>
      <c r="B24" t="s">
        <v>71</v>
      </c>
      <c r="C24">
        <v>0.1</v>
      </c>
      <c r="D24">
        <v>1</v>
      </c>
      <c r="E24">
        <v>0.01</v>
      </c>
      <c r="F24" t="s">
        <v>6</v>
      </c>
      <c r="G24" t="s">
        <v>5</v>
      </c>
      <c r="H24">
        <v>0</v>
      </c>
      <c r="I24">
        <v>0</v>
      </c>
      <c r="K24">
        <v>5800</v>
      </c>
      <c r="L24">
        <v>0.19328999999999999</v>
      </c>
      <c r="M24">
        <v>5800</v>
      </c>
      <c r="N24">
        <v>0.19042000000000001</v>
      </c>
      <c r="O24" t="s">
        <v>259</v>
      </c>
    </row>
    <row r="25" spans="1:15" x14ac:dyDescent="0.25">
      <c r="A25" t="s">
        <v>57</v>
      </c>
      <c r="B25" t="s">
        <v>71</v>
      </c>
      <c r="C25">
        <v>0.1</v>
      </c>
      <c r="D25">
        <v>1</v>
      </c>
      <c r="E25">
        <v>0.1</v>
      </c>
      <c r="F25" t="s">
        <v>6</v>
      </c>
      <c r="G25" t="s">
        <v>5</v>
      </c>
      <c r="H25">
        <v>0</v>
      </c>
      <c r="I25">
        <v>0</v>
      </c>
      <c r="K25">
        <v>58000</v>
      </c>
      <c r="L25">
        <v>2.0188000000000001E-2</v>
      </c>
      <c r="M25">
        <v>58000</v>
      </c>
      <c r="N25">
        <v>1.9042E-2</v>
      </c>
      <c r="O25" t="s">
        <v>260</v>
      </c>
    </row>
    <row r="26" spans="1:15" x14ac:dyDescent="0.25">
      <c r="A26" t="s">
        <v>57</v>
      </c>
      <c r="B26" t="s">
        <v>71</v>
      </c>
      <c r="C26">
        <v>1</v>
      </c>
      <c r="D26">
        <v>10</v>
      </c>
      <c r="E26">
        <v>1.0000000000000001E-5</v>
      </c>
      <c r="F26" t="s">
        <v>6</v>
      </c>
      <c r="G26" t="s">
        <v>5</v>
      </c>
      <c r="H26">
        <v>0</v>
      </c>
      <c r="I26">
        <v>0</v>
      </c>
      <c r="K26">
        <v>47</v>
      </c>
      <c r="L26">
        <v>35</v>
      </c>
      <c r="M26">
        <v>46.375999999999998</v>
      </c>
      <c r="N26">
        <v>34.813000000000002</v>
      </c>
      <c r="O26" t="s">
        <v>261</v>
      </c>
    </row>
    <row r="27" spans="1:15" x14ac:dyDescent="0.25">
      <c r="A27" t="s">
        <v>57</v>
      </c>
      <c r="B27" t="s">
        <v>71</v>
      </c>
      <c r="C27">
        <v>1</v>
      </c>
      <c r="D27">
        <v>10</v>
      </c>
      <c r="E27">
        <v>1E-4</v>
      </c>
      <c r="F27" t="s">
        <v>6</v>
      </c>
      <c r="G27" t="s">
        <v>5</v>
      </c>
      <c r="H27">
        <v>0</v>
      </c>
      <c r="I27">
        <v>0</v>
      </c>
      <c r="K27">
        <v>66.457999999999998</v>
      </c>
      <c r="L27">
        <v>33.231999999999999</v>
      </c>
      <c r="M27">
        <v>66.382000000000005</v>
      </c>
      <c r="N27">
        <v>33.231999999999999</v>
      </c>
      <c r="O27" t="s">
        <v>262</v>
      </c>
    </row>
    <row r="28" spans="1:15" x14ac:dyDescent="0.25">
      <c r="A28" t="s">
        <v>57</v>
      </c>
      <c r="B28" t="s">
        <v>71</v>
      </c>
      <c r="C28">
        <v>1</v>
      </c>
      <c r="D28">
        <v>10</v>
      </c>
      <c r="E28">
        <v>1E-3</v>
      </c>
      <c r="F28" t="s">
        <v>6</v>
      </c>
      <c r="G28" t="s">
        <v>5</v>
      </c>
      <c r="H28">
        <v>0</v>
      </c>
      <c r="I28">
        <v>0</v>
      </c>
      <c r="K28">
        <v>572.80999999999995</v>
      </c>
      <c r="L28">
        <v>12.879</v>
      </c>
      <c r="M28">
        <v>572.76</v>
      </c>
      <c r="N28">
        <v>12.867000000000001</v>
      </c>
      <c r="O28" t="s">
        <v>263</v>
      </c>
    </row>
    <row r="29" spans="1:15" x14ac:dyDescent="0.25">
      <c r="A29" t="s">
        <v>57</v>
      </c>
      <c r="B29" t="s">
        <v>71</v>
      </c>
      <c r="C29">
        <v>1</v>
      </c>
      <c r="D29">
        <v>10</v>
      </c>
      <c r="E29">
        <v>0.01</v>
      </c>
      <c r="F29" t="s">
        <v>6</v>
      </c>
      <c r="G29" t="s">
        <v>5</v>
      </c>
      <c r="H29">
        <v>0</v>
      </c>
      <c r="I29">
        <v>0</v>
      </c>
      <c r="K29">
        <v>5799.2</v>
      </c>
      <c r="L29">
        <v>1.4325000000000001</v>
      </c>
      <c r="M29">
        <v>5799.1</v>
      </c>
      <c r="N29">
        <v>1.4258999999999999</v>
      </c>
      <c r="O29" t="s">
        <v>264</v>
      </c>
    </row>
    <row r="30" spans="1:15" x14ac:dyDescent="0.25">
      <c r="A30" t="s">
        <v>57</v>
      </c>
      <c r="B30" t="s">
        <v>71</v>
      </c>
      <c r="C30">
        <v>1</v>
      </c>
      <c r="D30">
        <v>10</v>
      </c>
      <c r="E30">
        <v>0.1</v>
      </c>
      <c r="F30" t="s">
        <v>6</v>
      </c>
      <c r="G30" t="s">
        <v>5</v>
      </c>
      <c r="H30">
        <v>0</v>
      </c>
      <c r="I30">
        <v>0</v>
      </c>
      <c r="K30">
        <v>58000</v>
      </c>
      <c r="L30">
        <v>0.1454</v>
      </c>
      <c r="M30">
        <v>58000</v>
      </c>
      <c r="N30">
        <v>0.14276</v>
      </c>
      <c r="O30" t="s">
        <v>265</v>
      </c>
    </row>
    <row r="31" spans="1:15" x14ac:dyDescent="0.25">
      <c r="A31" t="s">
        <v>57</v>
      </c>
      <c r="B31" t="s">
        <v>71</v>
      </c>
      <c r="C31">
        <v>1</v>
      </c>
      <c r="D31">
        <v>10</v>
      </c>
      <c r="E31">
        <v>1</v>
      </c>
      <c r="F31" t="s">
        <v>6</v>
      </c>
      <c r="G31" t="s">
        <v>5</v>
      </c>
      <c r="H31">
        <v>0</v>
      </c>
      <c r="I31">
        <v>0</v>
      </c>
      <c r="K31">
        <v>580000</v>
      </c>
      <c r="L31">
        <v>1.5330999999999999E-2</v>
      </c>
      <c r="M31">
        <v>580000</v>
      </c>
      <c r="N31">
        <v>1.4276E-2</v>
      </c>
      <c r="O31" t="s">
        <v>266</v>
      </c>
    </row>
    <row r="32" spans="1:15" x14ac:dyDescent="0.25">
      <c r="A32" t="s">
        <v>57</v>
      </c>
      <c r="B32" t="s">
        <v>71</v>
      </c>
      <c r="C32">
        <v>10</v>
      </c>
      <c r="D32">
        <v>100</v>
      </c>
      <c r="E32">
        <v>1E-4</v>
      </c>
      <c r="F32" t="s">
        <v>6</v>
      </c>
      <c r="G32" t="s">
        <v>4</v>
      </c>
      <c r="H32">
        <v>0</v>
      </c>
      <c r="I32">
        <v>0</v>
      </c>
      <c r="K32">
        <v>0.57999999999999996</v>
      </c>
      <c r="L32">
        <v>4.1000000000000002E-2</v>
      </c>
      <c r="M32">
        <v>0.57894999999999996</v>
      </c>
      <c r="N32">
        <v>4.0740999999999999E-2</v>
      </c>
      <c r="O32" t="s">
        <v>267</v>
      </c>
    </row>
    <row r="33" spans="1:15" x14ac:dyDescent="0.25">
      <c r="A33" t="s">
        <v>57</v>
      </c>
      <c r="B33" t="s">
        <v>71</v>
      </c>
      <c r="C33">
        <v>10</v>
      </c>
      <c r="D33">
        <v>100</v>
      </c>
      <c r="E33">
        <v>1E-3</v>
      </c>
      <c r="F33" t="s">
        <v>6</v>
      </c>
      <c r="G33" t="s">
        <v>4</v>
      </c>
      <c r="H33">
        <v>0</v>
      </c>
      <c r="I33">
        <v>0</v>
      </c>
      <c r="K33">
        <v>0.74950000000000006</v>
      </c>
      <c r="L33">
        <v>3.9399000000000003E-2</v>
      </c>
      <c r="M33">
        <v>0.74878999999999996</v>
      </c>
      <c r="N33">
        <v>3.9399000000000003E-2</v>
      </c>
      <c r="O33" t="s">
        <v>268</v>
      </c>
    </row>
    <row r="34" spans="1:15" x14ac:dyDescent="0.25">
      <c r="A34" t="s">
        <v>57</v>
      </c>
      <c r="B34" t="s">
        <v>71</v>
      </c>
      <c r="C34">
        <v>10</v>
      </c>
      <c r="D34">
        <v>100</v>
      </c>
      <c r="E34">
        <v>0.01</v>
      </c>
      <c r="F34" t="s">
        <v>6</v>
      </c>
      <c r="G34" t="s">
        <v>4</v>
      </c>
      <c r="H34">
        <v>0</v>
      </c>
      <c r="I34">
        <v>0</v>
      </c>
      <c r="K34">
        <v>5.7108999999999996</v>
      </c>
      <c r="L34">
        <v>1.7264000000000002E-2</v>
      </c>
      <c r="M34">
        <v>5.7104999999999997</v>
      </c>
      <c r="N34">
        <v>1.7250999999999999E-2</v>
      </c>
      <c r="O34" t="s">
        <v>269</v>
      </c>
    </row>
    <row r="35" spans="1:15" x14ac:dyDescent="0.25">
      <c r="A35" t="s">
        <v>57</v>
      </c>
      <c r="B35" t="s">
        <v>71</v>
      </c>
      <c r="C35">
        <v>10</v>
      </c>
      <c r="D35">
        <v>100</v>
      </c>
      <c r="E35">
        <v>0.1</v>
      </c>
      <c r="F35" t="s">
        <v>6</v>
      </c>
      <c r="G35" t="s">
        <v>4</v>
      </c>
      <c r="H35">
        <v>0</v>
      </c>
      <c r="I35">
        <v>0</v>
      </c>
      <c r="K35">
        <v>57.988999999999997</v>
      </c>
      <c r="L35">
        <v>1.9846E-3</v>
      </c>
      <c r="M35">
        <v>57.988999999999997</v>
      </c>
      <c r="N35">
        <v>1.9773E-3</v>
      </c>
      <c r="O35" t="s">
        <v>270</v>
      </c>
    </row>
    <row r="36" spans="1:15" x14ac:dyDescent="0.25">
      <c r="A36" t="s">
        <v>57</v>
      </c>
      <c r="B36" t="s">
        <v>71</v>
      </c>
      <c r="C36">
        <v>10</v>
      </c>
      <c r="D36">
        <v>100</v>
      </c>
      <c r="E36">
        <v>1</v>
      </c>
      <c r="F36" t="s">
        <v>6</v>
      </c>
      <c r="G36" t="s">
        <v>4</v>
      </c>
      <c r="H36">
        <v>0</v>
      </c>
      <c r="I36">
        <v>0</v>
      </c>
      <c r="K36">
        <v>580</v>
      </c>
      <c r="L36">
        <v>2.0100000000000001E-4</v>
      </c>
      <c r="M36">
        <v>580</v>
      </c>
      <c r="N36">
        <v>1.9806000000000001E-4</v>
      </c>
      <c r="O36" t="s">
        <v>271</v>
      </c>
    </row>
    <row r="37" spans="1:15" x14ac:dyDescent="0.25">
      <c r="A37" t="s">
        <v>57</v>
      </c>
      <c r="B37" t="s">
        <v>7</v>
      </c>
      <c r="C37">
        <v>0</v>
      </c>
      <c r="D37">
        <v>1000</v>
      </c>
      <c r="E37">
        <v>9.9999999999999995E-7</v>
      </c>
      <c r="F37" t="s">
        <v>104</v>
      </c>
      <c r="G37" t="s">
        <v>73</v>
      </c>
      <c r="H37">
        <v>0</v>
      </c>
      <c r="I37">
        <v>0</v>
      </c>
      <c r="K37">
        <v>3</v>
      </c>
      <c r="L37">
        <v>0.12</v>
      </c>
      <c r="M37">
        <v>2.3273220000000001</v>
      </c>
      <c r="N37">
        <v>8.0813122000000001E-2</v>
      </c>
      <c r="O37" t="s">
        <v>203</v>
      </c>
    </row>
    <row r="38" spans="1:15" x14ac:dyDescent="0.25">
      <c r="A38" t="s">
        <v>57</v>
      </c>
      <c r="B38" t="s">
        <v>7</v>
      </c>
      <c r="C38">
        <v>0</v>
      </c>
      <c r="D38">
        <v>1000</v>
      </c>
      <c r="E38">
        <v>1.0000000000000001E-5</v>
      </c>
      <c r="F38" t="s">
        <v>104</v>
      </c>
      <c r="G38" t="s">
        <v>73</v>
      </c>
      <c r="H38">
        <v>0</v>
      </c>
      <c r="I38">
        <v>0</v>
      </c>
      <c r="K38">
        <v>3</v>
      </c>
      <c r="L38">
        <v>0.12</v>
      </c>
      <c r="M38">
        <v>3.963721</v>
      </c>
      <c r="N38">
        <v>7.9376769999999999E-2</v>
      </c>
      <c r="O38" t="s">
        <v>204</v>
      </c>
    </row>
    <row r="39" spans="1:15" x14ac:dyDescent="0.25">
      <c r="A39" t="s">
        <v>57</v>
      </c>
      <c r="B39" t="s">
        <v>7</v>
      </c>
      <c r="C39">
        <v>0</v>
      </c>
      <c r="D39">
        <v>1000</v>
      </c>
      <c r="E39">
        <v>1E-4</v>
      </c>
      <c r="F39" t="s">
        <v>104</v>
      </c>
      <c r="G39" t="s">
        <v>73</v>
      </c>
      <c r="H39">
        <v>0</v>
      </c>
      <c r="I39">
        <v>0</v>
      </c>
      <c r="K39">
        <v>63.692799999999998</v>
      </c>
      <c r="L39">
        <v>6.2659430000000002E-2</v>
      </c>
      <c r="M39">
        <v>54.207389999999997</v>
      </c>
      <c r="N39">
        <v>4.7163209999999997E-2</v>
      </c>
      <c r="O39" t="s">
        <v>205</v>
      </c>
    </row>
    <row r="40" spans="1:15" x14ac:dyDescent="0.25">
      <c r="A40" t="s">
        <v>57</v>
      </c>
      <c r="B40" t="s">
        <v>7</v>
      </c>
      <c r="C40">
        <v>0</v>
      </c>
      <c r="D40">
        <v>1000</v>
      </c>
      <c r="E40">
        <v>1E-3</v>
      </c>
      <c r="F40" t="s">
        <v>104</v>
      </c>
      <c r="G40" t="s">
        <v>73</v>
      </c>
      <c r="H40">
        <v>0</v>
      </c>
      <c r="I40">
        <v>0</v>
      </c>
      <c r="K40">
        <v>600.322</v>
      </c>
      <c r="L40">
        <v>9.648081E-2</v>
      </c>
      <c r="M40">
        <v>579.44470000000001</v>
      </c>
      <c r="N40">
        <v>6.4835800000000001E-3</v>
      </c>
      <c r="O40" t="s">
        <v>206</v>
      </c>
    </row>
    <row r="41" spans="1:15" x14ac:dyDescent="0.25">
      <c r="A41" t="s">
        <v>57</v>
      </c>
      <c r="B41" t="s">
        <v>7</v>
      </c>
      <c r="C41">
        <v>0</v>
      </c>
      <c r="D41">
        <v>1000</v>
      </c>
      <c r="E41">
        <v>0.01</v>
      </c>
      <c r="F41" t="s">
        <v>104</v>
      </c>
      <c r="G41" t="s">
        <v>48</v>
      </c>
      <c r="H41">
        <v>0</v>
      </c>
      <c r="I41">
        <v>0</v>
      </c>
      <c r="K41">
        <v>5.8513330000000003</v>
      </c>
      <c r="L41">
        <v>2.4804999999999998E-4</v>
      </c>
      <c r="M41">
        <v>5.799944</v>
      </c>
      <c r="N41">
        <v>6.5168999999999998E-7</v>
      </c>
      <c r="O41" t="s">
        <v>207</v>
      </c>
    </row>
    <row r="42" spans="1:15" x14ac:dyDescent="0.25">
      <c r="A42" t="s">
        <v>57</v>
      </c>
      <c r="B42" t="s">
        <v>7</v>
      </c>
      <c r="C42">
        <v>1000</v>
      </c>
      <c r="D42">
        <v>10000</v>
      </c>
      <c r="E42">
        <v>1.0000000000000001E-5</v>
      </c>
      <c r="F42" t="s">
        <v>104</v>
      </c>
      <c r="G42" t="s">
        <v>73</v>
      </c>
      <c r="H42">
        <v>0</v>
      </c>
      <c r="I42">
        <v>0</v>
      </c>
      <c r="K42">
        <v>24.035060000000001</v>
      </c>
      <c r="L42">
        <v>6.9213540000000004E-2</v>
      </c>
      <c r="M42">
        <v>23.295500000000001</v>
      </c>
      <c r="N42">
        <v>6.9264220000000001E-2</v>
      </c>
      <c r="O42" t="s">
        <v>208</v>
      </c>
    </row>
    <row r="43" spans="1:15" x14ac:dyDescent="0.25">
      <c r="A43" t="s">
        <v>57</v>
      </c>
      <c r="B43" t="s">
        <v>7</v>
      </c>
      <c r="C43">
        <v>1000</v>
      </c>
      <c r="D43">
        <v>10000</v>
      </c>
      <c r="E43">
        <v>1E-4</v>
      </c>
      <c r="F43" t="s">
        <v>104</v>
      </c>
      <c r="G43" t="s">
        <v>73</v>
      </c>
      <c r="H43">
        <v>0</v>
      </c>
      <c r="I43">
        <v>0</v>
      </c>
      <c r="K43">
        <v>66.558580000000006</v>
      </c>
      <c r="L43">
        <v>6.6055710000000004E-2</v>
      </c>
      <c r="M43">
        <v>41.389360000000003</v>
      </c>
      <c r="N43">
        <v>6.7687049999999999E-2</v>
      </c>
      <c r="O43" t="s">
        <v>209</v>
      </c>
    </row>
    <row r="44" spans="1:15" x14ac:dyDescent="0.25">
      <c r="A44" t="s">
        <v>57</v>
      </c>
      <c r="B44" t="s">
        <v>7</v>
      </c>
      <c r="C44">
        <v>1000</v>
      </c>
      <c r="D44">
        <v>10000</v>
      </c>
      <c r="E44">
        <v>1E-3</v>
      </c>
      <c r="F44" t="s">
        <v>104</v>
      </c>
      <c r="G44" t="s">
        <v>73</v>
      </c>
      <c r="H44">
        <v>0</v>
      </c>
      <c r="I44">
        <v>0</v>
      </c>
      <c r="K44">
        <v>643.21469999999999</v>
      </c>
      <c r="L44">
        <v>5.475087E-2</v>
      </c>
      <c r="M44">
        <v>550.19219999999996</v>
      </c>
      <c r="N44">
        <v>3.7118350000000001E-2</v>
      </c>
      <c r="O44" t="s">
        <v>210</v>
      </c>
    </row>
    <row r="45" spans="1:15" x14ac:dyDescent="0.25">
      <c r="A45" t="s">
        <v>57</v>
      </c>
      <c r="B45" t="s">
        <v>7</v>
      </c>
      <c r="C45">
        <v>1000</v>
      </c>
      <c r="D45">
        <v>10000</v>
      </c>
      <c r="E45">
        <v>0.01</v>
      </c>
      <c r="F45" t="s">
        <v>104</v>
      </c>
      <c r="G45" t="s">
        <v>48</v>
      </c>
      <c r="H45">
        <v>0</v>
      </c>
      <c r="I45">
        <v>0</v>
      </c>
      <c r="K45">
        <v>6.0044399999999998</v>
      </c>
      <c r="L45">
        <v>9.5075599999999995E-5</v>
      </c>
      <c r="M45">
        <v>5.7959269999999998</v>
      </c>
      <c r="N45">
        <v>4.8090299999999996E-6</v>
      </c>
      <c r="O45" t="s">
        <v>211</v>
      </c>
    </row>
    <row r="46" spans="1:15" x14ac:dyDescent="0.25">
      <c r="A46" t="s">
        <v>57</v>
      </c>
      <c r="B46" t="s">
        <v>7</v>
      </c>
      <c r="C46">
        <v>1000</v>
      </c>
      <c r="D46">
        <v>10000</v>
      </c>
      <c r="E46">
        <v>0.1</v>
      </c>
      <c r="F46" t="s">
        <v>104</v>
      </c>
      <c r="G46" t="s">
        <v>48</v>
      </c>
      <c r="H46">
        <v>0</v>
      </c>
      <c r="I46">
        <v>0</v>
      </c>
      <c r="K46">
        <v>58.513469999999998</v>
      </c>
      <c r="L46">
        <v>2.47889E-4</v>
      </c>
      <c r="M46">
        <v>57.999589999999998</v>
      </c>
      <c r="N46">
        <v>4.8273899999999997E-7</v>
      </c>
      <c r="O46" t="s">
        <v>212</v>
      </c>
    </row>
    <row r="47" spans="1:15" x14ac:dyDescent="0.25">
      <c r="A47" t="s">
        <v>57</v>
      </c>
      <c r="B47" t="s">
        <v>7</v>
      </c>
      <c r="C47">
        <v>1000</v>
      </c>
      <c r="D47">
        <v>10000</v>
      </c>
      <c r="E47">
        <v>10</v>
      </c>
      <c r="F47" t="s">
        <v>104</v>
      </c>
      <c r="G47" t="s">
        <v>48</v>
      </c>
      <c r="H47">
        <v>0</v>
      </c>
      <c r="I47">
        <v>0</v>
      </c>
      <c r="K47">
        <v>24.035060000000001</v>
      </c>
      <c r="L47">
        <v>6.9214000000000005E-5</v>
      </c>
      <c r="M47">
        <v>23.295500000000001</v>
      </c>
      <c r="N47">
        <v>6.9264000000000006E-5</v>
      </c>
      <c r="O47" t="s">
        <v>213</v>
      </c>
    </row>
    <row r="48" spans="1:15" x14ac:dyDescent="0.25">
      <c r="A48" t="s">
        <v>57</v>
      </c>
      <c r="B48" t="s">
        <v>7</v>
      </c>
      <c r="C48">
        <v>1000</v>
      </c>
      <c r="D48">
        <v>10000</v>
      </c>
      <c r="E48">
        <v>100</v>
      </c>
      <c r="F48" t="s">
        <v>104</v>
      </c>
      <c r="G48" t="s">
        <v>48</v>
      </c>
      <c r="H48">
        <v>0</v>
      </c>
      <c r="I48">
        <v>0</v>
      </c>
      <c r="K48">
        <v>66.558580000000006</v>
      </c>
      <c r="L48">
        <v>6.6056000000000006E-5</v>
      </c>
      <c r="M48">
        <v>41.389360000000003</v>
      </c>
      <c r="N48">
        <v>6.7688000000000007E-5</v>
      </c>
      <c r="O48" t="s">
        <v>214</v>
      </c>
    </row>
    <row r="49" spans="1:15" x14ac:dyDescent="0.25">
      <c r="A49" t="s">
        <v>57</v>
      </c>
      <c r="B49" t="s">
        <v>7</v>
      </c>
      <c r="C49">
        <v>1000</v>
      </c>
      <c r="D49">
        <v>10000</v>
      </c>
      <c r="E49">
        <v>1000</v>
      </c>
      <c r="F49" t="s">
        <v>104</v>
      </c>
      <c r="G49" t="s">
        <v>48</v>
      </c>
      <c r="H49">
        <v>0</v>
      </c>
      <c r="I49">
        <v>0</v>
      </c>
      <c r="K49">
        <v>643.21469999999999</v>
      </c>
      <c r="L49">
        <v>5.4750999999999998E-5</v>
      </c>
      <c r="M49">
        <v>550.19200000000001</v>
      </c>
      <c r="N49">
        <v>3.7117999999999999E-5</v>
      </c>
      <c r="O49" t="s">
        <v>215</v>
      </c>
    </row>
    <row r="50" spans="1:15" x14ac:dyDescent="0.25">
      <c r="A50" t="s">
        <v>57</v>
      </c>
      <c r="B50" t="s">
        <v>7</v>
      </c>
      <c r="C50">
        <v>1000</v>
      </c>
      <c r="D50">
        <v>10000</v>
      </c>
      <c r="E50">
        <v>10000</v>
      </c>
      <c r="F50" t="s">
        <v>104</v>
      </c>
      <c r="G50" t="s">
        <v>49</v>
      </c>
      <c r="H50">
        <v>0</v>
      </c>
      <c r="I50">
        <v>0</v>
      </c>
      <c r="K50">
        <v>6.0044399999999998</v>
      </c>
      <c r="L50">
        <v>9.5075999999999997E-8</v>
      </c>
      <c r="M50">
        <v>5.7959269999999998</v>
      </c>
      <c r="N50">
        <v>4.8090000000000002E-9</v>
      </c>
      <c r="O50" t="s">
        <v>1493</v>
      </c>
    </row>
    <row r="51" spans="1:15" x14ac:dyDescent="0.25">
      <c r="A51" t="s">
        <v>57</v>
      </c>
      <c r="B51" t="s">
        <v>7</v>
      </c>
      <c r="C51">
        <v>1000</v>
      </c>
      <c r="D51">
        <v>10000</v>
      </c>
      <c r="E51">
        <v>100000</v>
      </c>
      <c r="F51" t="s">
        <v>104</v>
      </c>
      <c r="G51" t="s">
        <v>49</v>
      </c>
      <c r="H51">
        <v>0</v>
      </c>
      <c r="I51">
        <v>0</v>
      </c>
      <c r="K51">
        <v>58.513469999999998</v>
      </c>
      <c r="L51">
        <v>2.47889E-7</v>
      </c>
      <c r="M51">
        <v>57.999589999999998</v>
      </c>
      <c r="N51">
        <v>4.8299999999999999E-10</v>
      </c>
      <c r="O51" t="s">
        <v>216</v>
      </c>
    </row>
    <row r="52" spans="1:15" x14ac:dyDescent="0.25">
      <c r="A52" t="s">
        <v>57</v>
      </c>
      <c r="B52" t="s">
        <v>7</v>
      </c>
      <c r="C52">
        <v>10000</v>
      </c>
      <c r="D52">
        <v>100000</v>
      </c>
      <c r="E52">
        <v>1E-4</v>
      </c>
      <c r="F52" t="s">
        <v>104</v>
      </c>
      <c r="G52" t="s">
        <v>48</v>
      </c>
      <c r="H52">
        <v>0</v>
      </c>
      <c r="I52">
        <v>0</v>
      </c>
      <c r="K52">
        <v>0.24035100000000001</v>
      </c>
      <c r="L52">
        <v>6.9214000000000005E-5</v>
      </c>
      <c r="M52">
        <v>0.232955</v>
      </c>
      <c r="N52">
        <v>6.9264000000000006E-5</v>
      </c>
      <c r="O52" t="s">
        <v>217</v>
      </c>
    </row>
    <row r="53" spans="1:15" x14ac:dyDescent="0.25">
      <c r="A53" t="s">
        <v>57</v>
      </c>
      <c r="B53" t="s">
        <v>7</v>
      </c>
      <c r="C53">
        <v>10000</v>
      </c>
      <c r="D53">
        <v>100000</v>
      </c>
      <c r="E53">
        <v>1E-3</v>
      </c>
      <c r="F53" t="s">
        <v>104</v>
      </c>
      <c r="G53" t="s">
        <v>48</v>
      </c>
      <c r="H53">
        <v>0</v>
      </c>
      <c r="I53">
        <v>0</v>
      </c>
      <c r="K53">
        <v>0.66558600000000001</v>
      </c>
      <c r="L53">
        <v>6.6056000000000006E-5</v>
      </c>
      <c r="M53">
        <v>0.41389399999999998</v>
      </c>
      <c r="N53">
        <v>6.7687000000000004E-5</v>
      </c>
      <c r="O53" t="s">
        <v>218</v>
      </c>
    </row>
    <row r="54" spans="1:15" x14ac:dyDescent="0.25">
      <c r="A54" t="s">
        <v>57</v>
      </c>
      <c r="B54" t="s">
        <v>7</v>
      </c>
      <c r="C54">
        <v>10000</v>
      </c>
      <c r="D54">
        <v>100000</v>
      </c>
      <c r="E54">
        <v>0.01</v>
      </c>
      <c r="F54" t="s">
        <v>104</v>
      </c>
      <c r="G54" t="s">
        <v>48</v>
      </c>
      <c r="H54">
        <v>0</v>
      </c>
      <c r="I54">
        <v>0</v>
      </c>
      <c r="K54">
        <v>6.4321469999999996</v>
      </c>
      <c r="L54">
        <v>5.4750999999999998E-5</v>
      </c>
      <c r="M54">
        <v>5.5019220000000004</v>
      </c>
      <c r="N54">
        <v>3.7117999999999999E-5</v>
      </c>
      <c r="O54" t="s">
        <v>219</v>
      </c>
    </row>
    <row r="55" spans="1:15" x14ac:dyDescent="0.25">
      <c r="A55" t="s">
        <v>57</v>
      </c>
      <c r="B55" t="s">
        <v>7</v>
      </c>
      <c r="C55">
        <v>10000</v>
      </c>
      <c r="D55">
        <v>100000</v>
      </c>
      <c r="E55">
        <v>0.1</v>
      </c>
      <c r="F55" t="s">
        <v>104</v>
      </c>
      <c r="G55" t="s">
        <v>48</v>
      </c>
      <c r="H55">
        <v>0</v>
      </c>
      <c r="I55">
        <v>0</v>
      </c>
      <c r="K55">
        <v>60.044400000000003</v>
      </c>
      <c r="L55">
        <v>9.5075999999999996E-5</v>
      </c>
      <c r="M55">
        <v>57.959269999999997</v>
      </c>
      <c r="N55">
        <v>4.809E-6</v>
      </c>
      <c r="O55" t="s">
        <v>220</v>
      </c>
    </row>
    <row r="56" spans="1:15" x14ac:dyDescent="0.25">
      <c r="A56" t="s">
        <v>57</v>
      </c>
      <c r="B56" t="s">
        <v>7</v>
      </c>
      <c r="C56">
        <v>10000</v>
      </c>
      <c r="D56">
        <v>100000</v>
      </c>
      <c r="E56">
        <v>1</v>
      </c>
      <c r="F56" t="s">
        <v>104</v>
      </c>
      <c r="G56" t="s">
        <v>48</v>
      </c>
      <c r="H56">
        <v>0</v>
      </c>
      <c r="I56">
        <v>0</v>
      </c>
      <c r="K56">
        <v>585.13469999999995</v>
      </c>
      <c r="L56">
        <v>2.47889E-4</v>
      </c>
      <c r="M56">
        <v>579.99590000000001</v>
      </c>
      <c r="N56">
        <v>4.8299999999999997E-7</v>
      </c>
      <c r="O56" t="s">
        <v>221</v>
      </c>
    </row>
    <row r="57" spans="1:15" x14ac:dyDescent="0.25">
      <c r="A57" t="s">
        <v>57</v>
      </c>
      <c r="B57" t="s">
        <v>7</v>
      </c>
      <c r="C57">
        <v>10000</v>
      </c>
      <c r="D57">
        <v>100000</v>
      </c>
      <c r="E57">
        <v>100</v>
      </c>
      <c r="F57" t="s">
        <v>104</v>
      </c>
      <c r="G57" t="s">
        <v>49</v>
      </c>
      <c r="H57">
        <v>0</v>
      </c>
      <c r="I57">
        <v>0</v>
      </c>
      <c r="K57">
        <v>0.46937299999999998</v>
      </c>
      <c r="L57">
        <v>6.9199999999999998E-8</v>
      </c>
      <c r="M57">
        <v>0.46348800000000001</v>
      </c>
      <c r="N57">
        <v>6.9300000000000005E-8</v>
      </c>
      <c r="O57" t="s">
        <v>222</v>
      </c>
    </row>
    <row r="58" spans="1:15" x14ac:dyDescent="0.25">
      <c r="A58" t="s">
        <v>57</v>
      </c>
      <c r="B58" t="s">
        <v>7</v>
      </c>
      <c r="C58">
        <v>10000</v>
      </c>
      <c r="D58">
        <v>100000</v>
      </c>
      <c r="E58">
        <v>1000</v>
      </c>
      <c r="F58" t="s">
        <v>104</v>
      </c>
      <c r="G58" t="s">
        <v>49</v>
      </c>
      <c r="H58">
        <v>0</v>
      </c>
      <c r="I58">
        <v>0</v>
      </c>
      <c r="K58">
        <v>0.82927600000000001</v>
      </c>
      <c r="L58">
        <v>6.6699999999999995E-8</v>
      </c>
      <c r="M58">
        <v>0.61212599999999995</v>
      </c>
      <c r="N58">
        <v>6.8099999999999994E-8</v>
      </c>
      <c r="O58" t="s">
        <v>223</v>
      </c>
    </row>
    <row r="59" spans="1:15" x14ac:dyDescent="0.25">
      <c r="A59" t="s">
        <v>57</v>
      </c>
      <c r="B59" t="s">
        <v>7</v>
      </c>
      <c r="C59">
        <v>10000</v>
      </c>
      <c r="D59">
        <v>100000</v>
      </c>
      <c r="E59">
        <v>10000</v>
      </c>
      <c r="F59" t="s">
        <v>104</v>
      </c>
      <c r="G59" t="s">
        <v>49</v>
      </c>
      <c r="H59">
        <v>0</v>
      </c>
      <c r="I59">
        <v>0</v>
      </c>
      <c r="K59">
        <v>6.4546739999999998</v>
      </c>
      <c r="L59">
        <v>5.5899999999999998E-8</v>
      </c>
      <c r="M59">
        <v>5.527107</v>
      </c>
      <c r="N59">
        <v>3.8700000000000002E-8</v>
      </c>
      <c r="O59" t="s">
        <v>224</v>
      </c>
    </row>
    <row r="60" spans="1:15" x14ac:dyDescent="0.25">
      <c r="A60" t="s">
        <v>57</v>
      </c>
      <c r="B60" t="s">
        <v>7</v>
      </c>
      <c r="C60">
        <v>10000</v>
      </c>
      <c r="D60">
        <v>100000</v>
      </c>
      <c r="E60">
        <v>100000</v>
      </c>
      <c r="F60" t="s">
        <v>104</v>
      </c>
      <c r="G60" t="s">
        <v>49</v>
      </c>
      <c r="H60">
        <v>0</v>
      </c>
      <c r="I60">
        <v>0</v>
      </c>
      <c r="K60">
        <v>60.046087</v>
      </c>
      <c r="L60">
        <v>9.53E-8</v>
      </c>
      <c r="M60">
        <v>57.96067</v>
      </c>
      <c r="N60">
        <v>5.0899999999999996E-9</v>
      </c>
      <c r="O60" t="s">
        <v>225</v>
      </c>
    </row>
    <row r="61" spans="1:15" x14ac:dyDescent="0.25">
      <c r="A61" t="s">
        <v>57</v>
      </c>
      <c r="B61" t="s">
        <v>7</v>
      </c>
      <c r="C61">
        <v>10000</v>
      </c>
      <c r="D61">
        <v>100000</v>
      </c>
      <c r="E61">
        <v>1000000</v>
      </c>
      <c r="F61" t="s">
        <v>104</v>
      </c>
      <c r="G61" t="s">
        <v>49</v>
      </c>
      <c r="H61">
        <v>0</v>
      </c>
      <c r="I61">
        <v>0</v>
      </c>
      <c r="K61">
        <v>585.13490000000002</v>
      </c>
      <c r="L61">
        <v>2.48E-7</v>
      </c>
      <c r="M61">
        <v>579.99599999999998</v>
      </c>
      <c r="N61">
        <v>5.1E-10</v>
      </c>
      <c r="O61" t="s">
        <v>226</v>
      </c>
    </row>
    <row r="62" spans="1:15" x14ac:dyDescent="0.25">
      <c r="A62" t="s">
        <v>57</v>
      </c>
      <c r="B62" t="s">
        <v>7</v>
      </c>
      <c r="C62">
        <v>100000</v>
      </c>
      <c r="D62">
        <v>1000</v>
      </c>
      <c r="E62">
        <v>1</v>
      </c>
      <c r="F62" t="s">
        <v>104</v>
      </c>
      <c r="G62" t="s">
        <v>48</v>
      </c>
      <c r="H62">
        <v>0</v>
      </c>
      <c r="I62">
        <v>0</v>
      </c>
      <c r="K62">
        <v>2.4035060000000001</v>
      </c>
      <c r="L62">
        <v>6.9214000000000005E-5</v>
      </c>
      <c r="M62">
        <v>2.3295499999999998</v>
      </c>
      <c r="N62">
        <v>6.9264000000000006E-5</v>
      </c>
      <c r="O62" t="s">
        <v>227</v>
      </c>
    </row>
    <row r="63" spans="1:15" x14ac:dyDescent="0.25">
      <c r="A63" t="s">
        <v>57</v>
      </c>
      <c r="B63" t="s">
        <v>7</v>
      </c>
      <c r="C63">
        <v>100000</v>
      </c>
      <c r="D63">
        <v>1000</v>
      </c>
      <c r="E63">
        <v>10</v>
      </c>
      <c r="F63" t="s">
        <v>104</v>
      </c>
      <c r="G63" t="s">
        <v>48</v>
      </c>
      <c r="H63">
        <v>0</v>
      </c>
      <c r="I63">
        <v>0</v>
      </c>
      <c r="K63">
        <v>6.6558580000000003</v>
      </c>
      <c r="L63">
        <v>6.6056000000000006E-5</v>
      </c>
      <c r="M63">
        <v>4.1389360000000002</v>
      </c>
      <c r="N63">
        <v>6.7687000000000004E-5</v>
      </c>
      <c r="O63" t="s">
        <v>228</v>
      </c>
    </row>
    <row r="64" spans="1:15" x14ac:dyDescent="0.25">
      <c r="A64" t="s">
        <v>57</v>
      </c>
      <c r="B64" t="s">
        <v>7</v>
      </c>
      <c r="C64">
        <v>100000</v>
      </c>
      <c r="D64">
        <v>1000</v>
      </c>
      <c r="E64">
        <v>100</v>
      </c>
      <c r="F64" t="s">
        <v>104</v>
      </c>
      <c r="G64" t="s">
        <v>48</v>
      </c>
      <c r="H64">
        <v>0</v>
      </c>
      <c r="I64">
        <v>0</v>
      </c>
      <c r="K64">
        <v>64.321470000000005</v>
      </c>
      <c r="L64">
        <v>5.4750999999999998E-5</v>
      </c>
      <c r="M64">
        <v>55.019219999999997</v>
      </c>
      <c r="N64">
        <v>3.7117999999999999E-5</v>
      </c>
      <c r="O64" t="s">
        <v>229</v>
      </c>
    </row>
    <row r="65" spans="1:15" x14ac:dyDescent="0.25">
      <c r="A65" t="s">
        <v>57</v>
      </c>
      <c r="B65" t="s">
        <v>7</v>
      </c>
      <c r="C65">
        <v>100000</v>
      </c>
      <c r="D65">
        <v>1000</v>
      </c>
      <c r="E65">
        <v>1000</v>
      </c>
      <c r="F65" t="s">
        <v>104</v>
      </c>
      <c r="G65" t="s">
        <v>48</v>
      </c>
      <c r="H65">
        <v>0</v>
      </c>
      <c r="I65">
        <v>0</v>
      </c>
      <c r="K65">
        <v>600.44399999999996</v>
      </c>
      <c r="L65">
        <v>9.5075999999999996E-5</v>
      </c>
      <c r="M65">
        <v>579.59270000000004</v>
      </c>
      <c r="N65">
        <v>4.809E-6</v>
      </c>
      <c r="O65" t="s">
        <v>230</v>
      </c>
    </row>
    <row r="66" spans="1:15" x14ac:dyDescent="0.25">
      <c r="A66" t="s">
        <v>57</v>
      </c>
      <c r="B66" t="s">
        <v>7</v>
      </c>
      <c r="C66">
        <v>100000</v>
      </c>
      <c r="D66">
        <v>1000</v>
      </c>
      <c r="E66">
        <v>10000</v>
      </c>
      <c r="F66" t="s">
        <v>104</v>
      </c>
      <c r="G66" t="s">
        <v>49</v>
      </c>
      <c r="H66">
        <v>0</v>
      </c>
      <c r="I66">
        <v>0</v>
      </c>
      <c r="K66">
        <v>5.8513470999999999</v>
      </c>
      <c r="L66">
        <v>2.47889E-7</v>
      </c>
      <c r="M66">
        <v>5.7999590999999997</v>
      </c>
      <c r="N66">
        <v>4.8299999999999999E-10</v>
      </c>
      <c r="O66" t="s">
        <v>231</v>
      </c>
    </row>
    <row r="67" spans="1:15" x14ac:dyDescent="0.25">
      <c r="A67" t="s">
        <v>57</v>
      </c>
      <c r="B67" t="s">
        <v>7</v>
      </c>
      <c r="C67">
        <v>100000</v>
      </c>
      <c r="D67">
        <v>1000</v>
      </c>
      <c r="E67">
        <v>1000000</v>
      </c>
      <c r="F67" t="s">
        <v>104</v>
      </c>
      <c r="G67" t="s">
        <v>49</v>
      </c>
      <c r="H67">
        <v>0</v>
      </c>
      <c r="I67">
        <v>0</v>
      </c>
      <c r="K67">
        <v>5</v>
      </c>
      <c r="L67">
        <v>8.05E-8</v>
      </c>
      <c r="M67">
        <v>4.633432</v>
      </c>
      <c r="N67">
        <v>8.0799999999999996E-8</v>
      </c>
      <c r="O67" t="s">
        <v>232</v>
      </c>
    </row>
    <row r="68" spans="1:15" x14ac:dyDescent="0.25">
      <c r="A68" t="s">
        <v>57</v>
      </c>
      <c r="B68" t="s">
        <v>7</v>
      </c>
      <c r="C68">
        <v>100000</v>
      </c>
      <c r="D68">
        <v>1000</v>
      </c>
      <c r="E68">
        <v>10000000</v>
      </c>
      <c r="F68" t="s">
        <v>104</v>
      </c>
      <c r="G68" t="s">
        <v>49</v>
      </c>
      <c r="H68">
        <v>0</v>
      </c>
      <c r="I68">
        <v>0</v>
      </c>
      <c r="K68">
        <v>8.0349120000000003</v>
      </c>
      <c r="L68">
        <v>7.8400000000000001E-8</v>
      </c>
      <c r="M68">
        <v>5.9988400000000004</v>
      </c>
      <c r="N68">
        <v>7.9599999999999998E-8</v>
      </c>
      <c r="O68" t="s">
        <v>233</v>
      </c>
    </row>
    <row r="69" spans="1:15" x14ac:dyDescent="0.25">
      <c r="A69" t="s">
        <v>57</v>
      </c>
      <c r="B69" t="s">
        <v>7</v>
      </c>
      <c r="C69">
        <v>100000</v>
      </c>
      <c r="D69">
        <v>1000</v>
      </c>
      <c r="E69">
        <v>100000000</v>
      </c>
      <c r="F69" t="s">
        <v>104</v>
      </c>
      <c r="G69" t="s">
        <v>49</v>
      </c>
      <c r="H69">
        <v>0</v>
      </c>
      <c r="I69">
        <v>0</v>
      </c>
      <c r="K69">
        <v>63.945030000000003</v>
      </c>
      <c r="L69">
        <v>6.3899999999999996E-8</v>
      </c>
      <c r="M69">
        <v>54.496929999999999</v>
      </c>
      <c r="N69">
        <v>4.88E-8</v>
      </c>
      <c r="O69" t="s">
        <v>234</v>
      </c>
    </row>
    <row r="70" spans="1:15" x14ac:dyDescent="0.25">
      <c r="A70" t="s">
        <v>57</v>
      </c>
      <c r="B70" t="s">
        <v>7</v>
      </c>
      <c r="C70">
        <v>100000</v>
      </c>
      <c r="D70">
        <v>1000</v>
      </c>
      <c r="E70">
        <v>1000000000</v>
      </c>
      <c r="F70" t="s">
        <v>104</v>
      </c>
      <c r="G70" t="s">
        <v>49</v>
      </c>
      <c r="H70">
        <v>0</v>
      </c>
      <c r="I70">
        <v>0</v>
      </c>
      <c r="K70">
        <v>600.33960000000002</v>
      </c>
      <c r="L70">
        <v>9.6699999999999999E-8</v>
      </c>
      <c r="M70">
        <v>579.45889999999997</v>
      </c>
      <c r="N70">
        <v>6.7999999999999997E-9</v>
      </c>
      <c r="O70" t="s">
        <v>235</v>
      </c>
    </row>
    <row r="71" spans="1:15" x14ac:dyDescent="0.25">
      <c r="A71" t="s">
        <v>57</v>
      </c>
      <c r="B71" t="s">
        <v>7</v>
      </c>
      <c r="C71">
        <v>100000</v>
      </c>
      <c r="D71">
        <v>1000</v>
      </c>
      <c r="E71">
        <v>10000000000</v>
      </c>
      <c r="F71" t="s">
        <v>104</v>
      </c>
      <c r="G71" t="s">
        <v>50</v>
      </c>
      <c r="H71">
        <v>0</v>
      </c>
      <c r="I71">
        <v>0</v>
      </c>
      <c r="K71">
        <v>5.8513339999999996</v>
      </c>
      <c r="L71">
        <v>2.4800000000000002E-10</v>
      </c>
      <c r="M71">
        <v>5.7999460000000003</v>
      </c>
      <c r="N71">
        <v>9.9999999999999998E-13</v>
      </c>
      <c r="O71" t="s">
        <v>236</v>
      </c>
    </row>
    <row r="72" spans="1:15" x14ac:dyDescent="0.25">
      <c r="A72" t="s">
        <v>56</v>
      </c>
      <c r="B72" t="s">
        <v>47</v>
      </c>
      <c r="C72">
        <v>0</v>
      </c>
      <c r="D72">
        <v>1E-4</v>
      </c>
      <c r="E72">
        <v>1E-10</v>
      </c>
      <c r="F72" t="s">
        <v>13</v>
      </c>
      <c r="G72" t="s">
        <v>11</v>
      </c>
      <c r="H72">
        <v>0.02</v>
      </c>
      <c r="I72">
        <v>4.4999999999999998E-2</v>
      </c>
      <c r="J72" t="s">
        <v>10</v>
      </c>
      <c r="K72">
        <v>3.7999999999999999E-2</v>
      </c>
      <c r="L72">
        <v>1700</v>
      </c>
      <c r="M72">
        <v>3.4644000000000001E-2</v>
      </c>
      <c r="N72">
        <v>1732.1</v>
      </c>
      <c r="O72" t="s">
        <v>1791</v>
      </c>
    </row>
    <row r="73" spans="1:15" x14ac:dyDescent="0.25">
      <c r="A73" t="s">
        <v>56</v>
      </c>
      <c r="B73" t="s">
        <v>47</v>
      </c>
      <c r="C73">
        <v>0</v>
      </c>
      <c r="D73">
        <v>1E-4</v>
      </c>
      <c r="E73">
        <v>1E-10</v>
      </c>
      <c r="F73" t="s">
        <v>13</v>
      </c>
      <c r="G73" t="s">
        <v>11</v>
      </c>
      <c r="H73">
        <v>4.4999999999999998E-2</v>
      </c>
      <c r="I73">
        <v>5</v>
      </c>
      <c r="J73" t="s">
        <v>10</v>
      </c>
      <c r="K73">
        <v>3.6999999999999998E-2</v>
      </c>
      <c r="L73">
        <v>700</v>
      </c>
      <c r="M73">
        <v>3.5478000000000003E-2</v>
      </c>
      <c r="N73">
        <v>705.46</v>
      </c>
      <c r="O73" t="s">
        <v>1792</v>
      </c>
    </row>
    <row r="74" spans="1:15" x14ac:dyDescent="0.25">
      <c r="A74" t="s">
        <v>56</v>
      </c>
      <c r="B74" t="s">
        <v>47</v>
      </c>
      <c r="C74">
        <v>0</v>
      </c>
      <c r="D74">
        <v>1E-4</v>
      </c>
      <c r="E74">
        <v>1E-10</v>
      </c>
      <c r="F74" t="s">
        <v>13</v>
      </c>
      <c r="G74" t="s">
        <v>11</v>
      </c>
      <c r="H74">
        <v>1E-3</v>
      </c>
      <c r="I74">
        <v>0.02</v>
      </c>
      <c r="J74" t="s">
        <v>10</v>
      </c>
      <c r="K74">
        <v>7.6999999999999999E-2</v>
      </c>
      <c r="L74">
        <v>4200</v>
      </c>
      <c r="M74">
        <v>7.6632000000000006E-2</v>
      </c>
      <c r="N74">
        <v>4198.8999999999996</v>
      </c>
      <c r="O74" t="s">
        <v>2641</v>
      </c>
    </row>
    <row r="75" spans="1:15" x14ac:dyDescent="0.25">
      <c r="A75" t="s">
        <v>56</v>
      </c>
      <c r="B75" t="s">
        <v>47</v>
      </c>
      <c r="C75">
        <v>0</v>
      </c>
      <c r="D75">
        <v>1E-4</v>
      </c>
      <c r="E75">
        <v>1.0000000000000001E-9</v>
      </c>
      <c r="F75" t="s">
        <v>13</v>
      </c>
      <c r="G75" t="s">
        <v>11</v>
      </c>
      <c r="H75">
        <v>0.02</v>
      </c>
      <c r="I75">
        <v>4.4999999999999998E-2</v>
      </c>
      <c r="J75" t="s">
        <v>10</v>
      </c>
      <c r="K75">
        <v>3.7999999999999999E-2</v>
      </c>
      <c r="L75">
        <v>1700</v>
      </c>
      <c r="M75">
        <v>3.4647999999999998E-2</v>
      </c>
      <c r="N75">
        <v>1732.1</v>
      </c>
      <c r="O75" t="s">
        <v>1794</v>
      </c>
    </row>
    <row r="76" spans="1:15" x14ac:dyDescent="0.25">
      <c r="A76" t="s">
        <v>56</v>
      </c>
      <c r="B76" t="s">
        <v>47</v>
      </c>
      <c r="C76">
        <v>0</v>
      </c>
      <c r="D76">
        <v>1E-4</v>
      </c>
      <c r="E76">
        <v>1.0000000000000001E-9</v>
      </c>
      <c r="F76" t="s">
        <v>13</v>
      </c>
      <c r="G76" t="s">
        <v>11</v>
      </c>
      <c r="H76">
        <v>1E-3</v>
      </c>
      <c r="I76">
        <v>0.02</v>
      </c>
      <c r="J76" t="s">
        <v>10</v>
      </c>
      <c r="K76">
        <v>7.6999999999999999E-2</v>
      </c>
      <c r="L76">
        <v>4200</v>
      </c>
      <c r="M76">
        <v>7.6633000000000007E-2</v>
      </c>
      <c r="N76">
        <v>4198.8999999999996</v>
      </c>
      <c r="O76" t="s">
        <v>1795</v>
      </c>
    </row>
    <row r="77" spans="1:15" x14ac:dyDescent="0.25">
      <c r="A77" t="s">
        <v>56</v>
      </c>
      <c r="B77" t="s">
        <v>47</v>
      </c>
      <c r="C77">
        <v>0</v>
      </c>
      <c r="D77">
        <v>1E-4</v>
      </c>
      <c r="E77">
        <v>1.0000000000000001E-9</v>
      </c>
      <c r="F77" t="s">
        <v>13</v>
      </c>
      <c r="G77" t="s">
        <v>11</v>
      </c>
      <c r="H77">
        <v>4.4999999999999998E-2</v>
      </c>
      <c r="I77">
        <v>5</v>
      </c>
      <c r="J77" t="s">
        <v>10</v>
      </c>
      <c r="K77">
        <v>3.6999999999999998E-2</v>
      </c>
      <c r="L77">
        <v>701.57</v>
      </c>
      <c r="M77">
        <v>3.5484000000000002E-2</v>
      </c>
      <c r="N77">
        <v>705.45</v>
      </c>
      <c r="O77" t="s">
        <v>1793</v>
      </c>
    </row>
    <row r="78" spans="1:15" x14ac:dyDescent="0.25">
      <c r="A78" t="s">
        <v>56</v>
      </c>
      <c r="B78" t="s">
        <v>47</v>
      </c>
      <c r="C78">
        <v>0</v>
      </c>
      <c r="D78">
        <v>1E-4</v>
      </c>
      <c r="E78">
        <v>1E-8</v>
      </c>
      <c r="F78" t="s">
        <v>13</v>
      </c>
      <c r="G78" t="s">
        <v>11</v>
      </c>
      <c r="H78">
        <v>0.02</v>
      </c>
      <c r="I78">
        <v>4.4999999999999998E-2</v>
      </c>
      <c r="J78" t="s">
        <v>10</v>
      </c>
      <c r="K78">
        <v>3.7999999999999999E-2</v>
      </c>
      <c r="L78">
        <v>1700</v>
      </c>
      <c r="M78">
        <v>3.4998000000000001E-2</v>
      </c>
      <c r="N78">
        <v>1729.4</v>
      </c>
      <c r="O78" t="s">
        <v>2642</v>
      </c>
    </row>
    <row r="79" spans="1:15" x14ac:dyDescent="0.25">
      <c r="A79" t="s">
        <v>56</v>
      </c>
      <c r="B79" t="s">
        <v>47</v>
      </c>
      <c r="C79">
        <v>0</v>
      </c>
      <c r="D79">
        <v>1E-4</v>
      </c>
      <c r="E79">
        <v>1E-8</v>
      </c>
      <c r="F79" t="s">
        <v>13</v>
      </c>
      <c r="G79" t="s">
        <v>11</v>
      </c>
      <c r="H79">
        <v>4.4999999999999998E-2</v>
      </c>
      <c r="I79">
        <v>5</v>
      </c>
      <c r="J79" t="s">
        <v>10</v>
      </c>
      <c r="K79">
        <v>3.6999999999999998E-2</v>
      </c>
      <c r="L79">
        <v>703.27</v>
      </c>
      <c r="M79">
        <v>3.5899E-2</v>
      </c>
      <c r="N79">
        <v>702.95</v>
      </c>
      <c r="O79" t="s">
        <v>1797</v>
      </c>
    </row>
    <row r="80" spans="1:15" x14ac:dyDescent="0.25">
      <c r="A80" t="s">
        <v>56</v>
      </c>
      <c r="B80" t="s">
        <v>47</v>
      </c>
      <c r="C80">
        <v>0</v>
      </c>
      <c r="D80">
        <v>1E-4</v>
      </c>
      <c r="E80">
        <v>1E-8</v>
      </c>
      <c r="F80" t="s">
        <v>13</v>
      </c>
      <c r="G80" t="s">
        <v>11</v>
      </c>
      <c r="H80">
        <v>1E-3</v>
      </c>
      <c r="I80">
        <v>0.02</v>
      </c>
      <c r="J80" t="s">
        <v>10</v>
      </c>
      <c r="K80">
        <v>7.6999999999999999E-2</v>
      </c>
      <c r="L80">
        <v>4200</v>
      </c>
      <c r="M80">
        <v>7.6839000000000005E-2</v>
      </c>
      <c r="N80">
        <v>4197.2</v>
      </c>
      <c r="O80" t="s">
        <v>1796</v>
      </c>
    </row>
    <row r="81" spans="1:15" x14ac:dyDescent="0.25">
      <c r="A81" t="s">
        <v>56</v>
      </c>
      <c r="B81" t="s">
        <v>47</v>
      </c>
      <c r="C81">
        <v>0</v>
      </c>
      <c r="D81">
        <v>1E-4</v>
      </c>
      <c r="E81">
        <v>9.9999999999999995E-8</v>
      </c>
      <c r="F81" t="s">
        <v>13</v>
      </c>
      <c r="G81" t="s">
        <v>11</v>
      </c>
      <c r="H81">
        <v>1E-3</v>
      </c>
      <c r="I81">
        <v>0.02</v>
      </c>
      <c r="J81" t="s">
        <v>10</v>
      </c>
      <c r="K81">
        <v>9.5325999999999994E-2</v>
      </c>
      <c r="L81">
        <v>4045.9</v>
      </c>
      <c r="M81">
        <v>9.5287999999999998E-2</v>
      </c>
      <c r="N81">
        <v>4045.8</v>
      </c>
      <c r="O81" t="s">
        <v>2643</v>
      </c>
    </row>
    <row r="82" spans="1:15" x14ac:dyDescent="0.25">
      <c r="A82" t="s">
        <v>56</v>
      </c>
      <c r="B82" t="s">
        <v>47</v>
      </c>
      <c r="C82">
        <v>0</v>
      </c>
      <c r="D82">
        <v>1E-4</v>
      </c>
      <c r="E82">
        <v>9.9999999999999995E-8</v>
      </c>
      <c r="F82" t="s">
        <v>13</v>
      </c>
      <c r="G82" t="s">
        <v>11</v>
      </c>
      <c r="H82">
        <v>4.4999999999999998E-2</v>
      </c>
      <c r="I82">
        <v>5</v>
      </c>
      <c r="J82" t="s">
        <v>10</v>
      </c>
      <c r="K82">
        <v>6.6314999999999999E-2</v>
      </c>
      <c r="L82">
        <v>546.37</v>
      </c>
      <c r="M82">
        <v>6.6275000000000001E-2</v>
      </c>
      <c r="N82">
        <v>544.96</v>
      </c>
      <c r="O82" t="s">
        <v>1798</v>
      </c>
    </row>
    <row r="83" spans="1:15" x14ac:dyDescent="0.25">
      <c r="A83" t="s">
        <v>56</v>
      </c>
      <c r="B83" t="s">
        <v>47</v>
      </c>
      <c r="C83">
        <v>0</v>
      </c>
      <c r="D83">
        <v>1E-4</v>
      </c>
      <c r="E83">
        <v>9.9999999999999995E-8</v>
      </c>
      <c r="F83" t="s">
        <v>13</v>
      </c>
      <c r="G83" t="s">
        <v>11</v>
      </c>
      <c r="H83">
        <v>0.02</v>
      </c>
      <c r="I83">
        <v>4.4999999999999998E-2</v>
      </c>
      <c r="J83" t="s">
        <v>10</v>
      </c>
      <c r="K83">
        <v>6.2399000000000003E-2</v>
      </c>
      <c r="L83">
        <v>1534.5</v>
      </c>
      <c r="M83">
        <v>6.2349000000000002E-2</v>
      </c>
      <c r="N83">
        <v>1534</v>
      </c>
      <c r="O83" t="s">
        <v>1799</v>
      </c>
    </row>
    <row r="84" spans="1:15" x14ac:dyDescent="0.25">
      <c r="A84" t="s">
        <v>56</v>
      </c>
      <c r="B84" t="s">
        <v>47</v>
      </c>
      <c r="C84">
        <v>0</v>
      </c>
      <c r="D84">
        <v>1E-4</v>
      </c>
      <c r="E84">
        <v>9.9999999999999995E-7</v>
      </c>
      <c r="F84" t="s">
        <v>13</v>
      </c>
      <c r="G84" t="s">
        <v>11</v>
      </c>
      <c r="H84">
        <v>0.02</v>
      </c>
      <c r="I84">
        <v>4.4999999999999998E-2</v>
      </c>
      <c r="J84" t="s">
        <v>10</v>
      </c>
      <c r="K84">
        <v>0.57594000000000001</v>
      </c>
      <c r="L84">
        <v>378.74</v>
      </c>
      <c r="M84">
        <v>0.57591999999999999</v>
      </c>
      <c r="N84">
        <v>377.44</v>
      </c>
      <c r="O84" t="s">
        <v>1800</v>
      </c>
    </row>
    <row r="85" spans="1:15" x14ac:dyDescent="0.25">
      <c r="A85" t="s">
        <v>56</v>
      </c>
      <c r="B85" t="s">
        <v>47</v>
      </c>
      <c r="C85">
        <v>0</v>
      </c>
      <c r="D85">
        <v>1E-4</v>
      </c>
      <c r="E85">
        <v>9.9999999999999995E-7</v>
      </c>
      <c r="F85" t="s">
        <v>13</v>
      </c>
      <c r="G85" t="s">
        <v>11</v>
      </c>
      <c r="H85">
        <v>1E-3</v>
      </c>
      <c r="I85">
        <v>0.02</v>
      </c>
      <c r="J85" t="s">
        <v>10</v>
      </c>
      <c r="K85">
        <v>0.58121</v>
      </c>
      <c r="L85">
        <v>1804</v>
      </c>
      <c r="M85">
        <v>0.58118999999999998</v>
      </c>
      <c r="N85">
        <v>1803.1</v>
      </c>
      <c r="O85" t="s">
        <v>2644</v>
      </c>
    </row>
    <row r="86" spans="1:15" x14ac:dyDescent="0.25">
      <c r="A86" t="s">
        <v>56</v>
      </c>
      <c r="B86" t="s">
        <v>47</v>
      </c>
      <c r="C86">
        <v>0</v>
      </c>
      <c r="D86">
        <v>1E-4</v>
      </c>
      <c r="E86">
        <v>9.9999999999999995E-7</v>
      </c>
      <c r="F86" t="s">
        <v>13</v>
      </c>
      <c r="G86" t="s">
        <v>11</v>
      </c>
      <c r="H86">
        <v>4.4999999999999998E-2</v>
      </c>
      <c r="I86">
        <v>5</v>
      </c>
      <c r="J86" t="s">
        <v>10</v>
      </c>
      <c r="K86">
        <v>0.57804</v>
      </c>
      <c r="L86">
        <v>91.593000000000004</v>
      </c>
      <c r="M86">
        <v>0.57801999999999998</v>
      </c>
      <c r="N86">
        <v>90.227999999999994</v>
      </c>
      <c r="O86" t="s">
        <v>1801</v>
      </c>
    </row>
    <row r="87" spans="1:15" x14ac:dyDescent="0.25">
      <c r="A87" t="s">
        <v>56</v>
      </c>
      <c r="B87" t="s">
        <v>47</v>
      </c>
      <c r="C87">
        <v>0</v>
      </c>
      <c r="D87">
        <v>1E-4</v>
      </c>
      <c r="E87">
        <v>1.0000000000000001E-5</v>
      </c>
      <c r="F87" t="s">
        <v>13</v>
      </c>
      <c r="G87" t="s">
        <v>11</v>
      </c>
      <c r="H87">
        <v>0.02</v>
      </c>
      <c r="I87">
        <v>4.4999999999999998E-2</v>
      </c>
      <c r="J87" t="s">
        <v>10</v>
      </c>
      <c r="K87">
        <v>5.7733999999999996</v>
      </c>
      <c r="L87">
        <v>39.655999999999999</v>
      </c>
      <c r="M87">
        <v>5.77</v>
      </c>
      <c r="N87">
        <v>39.098999999999997</v>
      </c>
      <c r="O87" t="s">
        <v>2645</v>
      </c>
    </row>
    <row r="88" spans="1:15" x14ac:dyDescent="0.25">
      <c r="A88" t="s">
        <v>56</v>
      </c>
      <c r="B88" t="s">
        <v>47</v>
      </c>
      <c r="C88">
        <v>0</v>
      </c>
      <c r="D88">
        <v>1E-4</v>
      </c>
      <c r="E88">
        <v>1.0000000000000001E-5</v>
      </c>
      <c r="F88" t="s">
        <v>13</v>
      </c>
      <c r="G88" t="s">
        <v>11</v>
      </c>
      <c r="H88">
        <v>1E-3</v>
      </c>
      <c r="I88">
        <v>0.02</v>
      </c>
      <c r="J88" t="s">
        <v>10</v>
      </c>
      <c r="K88">
        <v>5.7739000000000003</v>
      </c>
      <c r="L88">
        <v>210.05</v>
      </c>
      <c r="M88">
        <v>5.7723000000000004</v>
      </c>
      <c r="N88">
        <v>209.55</v>
      </c>
      <c r="O88" t="s">
        <v>1802</v>
      </c>
    </row>
    <row r="89" spans="1:15" x14ac:dyDescent="0.25">
      <c r="A89" t="s">
        <v>56</v>
      </c>
      <c r="B89" t="s">
        <v>47</v>
      </c>
      <c r="C89">
        <v>0</v>
      </c>
      <c r="D89">
        <v>1E-4</v>
      </c>
      <c r="E89">
        <v>1.0000000000000001E-5</v>
      </c>
      <c r="F89" t="s">
        <v>13</v>
      </c>
      <c r="G89" t="s">
        <v>11</v>
      </c>
      <c r="H89">
        <v>4.4999999999999998E-2</v>
      </c>
      <c r="I89">
        <v>5</v>
      </c>
      <c r="J89" t="s">
        <v>10</v>
      </c>
      <c r="K89">
        <v>5.7736000000000001</v>
      </c>
      <c r="L89">
        <v>9.7714999999999996</v>
      </c>
      <c r="M89">
        <v>5.7728000000000002</v>
      </c>
      <c r="N89">
        <v>9.2142999999999997</v>
      </c>
      <c r="O89" t="s">
        <v>2646</v>
      </c>
    </row>
    <row r="90" spans="1:15" x14ac:dyDescent="0.25">
      <c r="A90" t="s">
        <v>56</v>
      </c>
      <c r="B90" t="s">
        <v>47</v>
      </c>
      <c r="C90">
        <v>0</v>
      </c>
      <c r="D90">
        <v>1E-4</v>
      </c>
      <c r="E90">
        <v>1E-4</v>
      </c>
      <c r="F90" t="s">
        <v>13</v>
      </c>
      <c r="G90" t="s">
        <v>11</v>
      </c>
      <c r="H90">
        <v>1E-3</v>
      </c>
      <c r="I90">
        <v>0.02</v>
      </c>
      <c r="J90" t="s">
        <v>10</v>
      </c>
      <c r="K90">
        <v>57.735999999999997</v>
      </c>
      <c r="L90">
        <v>21.196999999999999</v>
      </c>
      <c r="M90">
        <v>57.734000000000002</v>
      </c>
      <c r="N90">
        <v>20.994</v>
      </c>
      <c r="O90" t="s">
        <v>1803</v>
      </c>
    </row>
    <row r="91" spans="1:15" x14ac:dyDescent="0.25">
      <c r="A91" t="s">
        <v>56</v>
      </c>
      <c r="B91" t="s">
        <v>47</v>
      </c>
      <c r="C91">
        <v>0</v>
      </c>
      <c r="D91">
        <v>1E-4</v>
      </c>
      <c r="E91">
        <v>1E-4</v>
      </c>
      <c r="F91" t="s">
        <v>13</v>
      </c>
      <c r="G91" t="s">
        <v>11</v>
      </c>
      <c r="H91">
        <v>0.02</v>
      </c>
      <c r="I91">
        <v>4.4999999999999998E-2</v>
      </c>
      <c r="J91" t="s">
        <v>10</v>
      </c>
      <c r="K91">
        <v>57.735999999999997</v>
      </c>
      <c r="L91">
        <v>4.1759000000000004</v>
      </c>
      <c r="M91">
        <v>57.731999999999999</v>
      </c>
      <c r="N91">
        <v>3.9529999999999998</v>
      </c>
      <c r="O91" t="s">
        <v>2647</v>
      </c>
    </row>
    <row r="92" spans="1:15" x14ac:dyDescent="0.25">
      <c r="A92" t="s">
        <v>56</v>
      </c>
      <c r="B92" t="s">
        <v>47</v>
      </c>
      <c r="C92">
        <v>0</v>
      </c>
      <c r="D92">
        <v>1E-4</v>
      </c>
      <c r="E92">
        <v>1E-4</v>
      </c>
      <c r="F92" t="s">
        <v>13</v>
      </c>
      <c r="G92" t="s">
        <v>11</v>
      </c>
      <c r="H92">
        <v>4.4999999999999998E-2</v>
      </c>
      <c r="I92">
        <v>5</v>
      </c>
      <c r="J92" t="s">
        <v>10</v>
      </c>
      <c r="K92">
        <v>57.735999999999997</v>
      </c>
      <c r="L92">
        <v>1.1861999999999999</v>
      </c>
      <c r="M92">
        <v>57.734999999999999</v>
      </c>
      <c r="N92">
        <v>0.96331999999999995</v>
      </c>
      <c r="O92" t="s">
        <v>1804</v>
      </c>
    </row>
    <row r="93" spans="1:15" x14ac:dyDescent="0.25">
      <c r="A93" t="s">
        <v>56</v>
      </c>
      <c r="B93" t="s">
        <v>47</v>
      </c>
      <c r="C93">
        <v>0</v>
      </c>
      <c r="D93">
        <v>1E-4</v>
      </c>
      <c r="E93">
        <v>1E-3</v>
      </c>
      <c r="F93" t="s">
        <v>13</v>
      </c>
      <c r="G93" t="s">
        <v>11</v>
      </c>
      <c r="H93">
        <v>0.02</v>
      </c>
      <c r="I93">
        <v>4.4999999999999998E-2</v>
      </c>
      <c r="J93" t="s">
        <v>10</v>
      </c>
      <c r="K93">
        <v>577.36</v>
      </c>
      <c r="L93">
        <v>0.50117999999999996</v>
      </c>
      <c r="M93">
        <v>577.35</v>
      </c>
      <c r="N93">
        <v>0.41202</v>
      </c>
      <c r="O93" t="s">
        <v>1806</v>
      </c>
    </row>
    <row r="94" spans="1:15" x14ac:dyDescent="0.25">
      <c r="A94" t="s">
        <v>56</v>
      </c>
      <c r="B94" t="s">
        <v>47</v>
      </c>
      <c r="C94">
        <v>0</v>
      </c>
      <c r="D94">
        <v>1E-4</v>
      </c>
      <c r="E94">
        <v>1E-3</v>
      </c>
      <c r="F94" t="s">
        <v>13</v>
      </c>
      <c r="G94" t="s">
        <v>11</v>
      </c>
      <c r="H94">
        <v>4.4999999999999998E-2</v>
      </c>
      <c r="I94">
        <v>5</v>
      </c>
      <c r="J94" t="s">
        <v>10</v>
      </c>
      <c r="K94">
        <v>577.36</v>
      </c>
      <c r="L94">
        <v>0.20221</v>
      </c>
      <c r="M94">
        <v>577.35</v>
      </c>
      <c r="N94">
        <v>0.11305</v>
      </c>
      <c r="O94" t="s">
        <v>1805</v>
      </c>
    </row>
    <row r="95" spans="1:15" x14ac:dyDescent="0.25">
      <c r="A95" t="s">
        <v>56</v>
      </c>
      <c r="B95" t="s">
        <v>47</v>
      </c>
      <c r="C95">
        <v>0</v>
      </c>
      <c r="D95">
        <v>1E-4</v>
      </c>
      <c r="E95">
        <v>1E-3</v>
      </c>
      <c r="F95" t="s">
        <v>13</v>
      </c>
      <c r="G95" t="s">
        <v>11</v>
      </c>
      <c r="H95">
        <v>1E-3</v>
      </c>
      <c r="I95">
        <v>0.02</v>
      </c>
      <c r="J95" t="s">
        <v>10</v>
      </c>
      <c r="K95">
        <v>577.36</v>
      </c>
      <c r="L95">
        <v>2.1804999999999999</v>
      </c>
      <c r="M95">
        <v>577.35</v>
      </c>
      <c r="N95">
        <v>2.0994999999999999</v>
      </c>
      <c r="O95" t="s">
        <v>2648</v>
      </c>
    </row>
    <row r="96" spans="1:15" x14ac:dyDescent="0.25">
      <c r="A96" t="s">
        <v>56</v>
      </c>
      <c r="B96" t="s">
        <v>47</v>
      </c>
      <c r="C96">
        <v>0</v>
      </c>
      <c r="D96">
        <v>1E-4</v>
      </c>
      <c r="E96">
        <v>0.01</v>
      </c>
      <c r="F96" t="s">
        <v>13</v>
      </c>
      <c r="G96" t="s">
        <v>11</v>
      </c>
      <c r="H96">
        <v>4.4999999999999998E-2</v>
      </c>
      <c r="I96">
        <v>5</v>
      </c>
      <c r="J96" t="s">
        <v>10</v>
      </c>
      <c r="K96">
        <v>5773.6</v>
      </c>
      <c r="L96">
        <v>5.3657000000000003E-2</v>
      </c>
      <c r="M96">
        <v>5773.6</v>
      </c>
      <c r="N96">
        <v>1.7992000000000001E-2</v>
      </c>
      <c r="O96" t="s">
        <v>1808</v>
      </c>
    </row>
    <row r="97" spans="1:15" x14ac:dyDescent="0.25">
      <c r="A97" t="s">
        <v>56</v>
      </c>
      <c r="B97" t="s">
        <v>47</v>
      </c>
      <c r="C97">
        <v>0</v>
      </c>
      <c r="D97">
        <v>1E-4</v>
      </c>
      <c r="E97">
        <v>0.01</v>
      </c>
      <c r="F97" t="s">
        <v>13</v>
      </c>
      <c r="G97" t="s">
        <v>11</v>
      </c>
      <c r="H97">
        <v>1E-3</v>
      </c>
      <c r="I97">
        <v>0.02</v>
      </c>
      <c r="J97" t="s">
        <v>10</v>
      </c>
      <c r="K97">
        <v>5773.6</v>
      </c>
      <c r="L97">
        <v>0.24237</v>
      </c>
      <c r="M97">
        <v>5773.6</v>
      </c>
      <c r="N97">
        <v>0.20995</v>
      </c>
      <c r="O97" t="s">
        <v>1809</v>
      </c>
    </row>
    <row r="98" spans="1:15" x14ac:dyDescent="0.25">
      <c r="A98" t="s">
        <v>56</v>
      </c>
      <c r="B98" t="s">
        <v>47</v>
      </c>
      <c r="C98">
        <v>0</v>
      </c>
      <c r="D98">
        <v>1E-4</v>
      </c>
      <c r="E98">
        <v>0.01</v>
      </c>
      <c r="F98" t="s">
        <v>13</v>
      </c>
      <c r="G98" t="s">
        <v>11</v>
      </c>
      <c r="H98">
        <v>0.02</v>
      </c>
      <c r="I98">
        <v>4.4999999999999998E-2</v>
      </c>
      <c r="J98" t="s">
        <v>10</v>
      </c>
      <c r="K98">
        <v>5773.6</v>
      </c>
      <c r="L98">
        <v>8.3554000000000003E-2</v>
      </c>
      <c r="M98">
        <v>5773.5</v>
      </c>
      <c r="N98">
        <v>4.7889000000000001E-2</v>
      </c>
      <c r="O98" t="s">
        <v>1807</v>
      </c>
    </row>
    <row r="99" spans="1:15" x14ac:dyDescent="0.25">
      <c r="A99" t="s">
        <v>56</v>
      </c>
      <c r="B99" t="s">
        <v>47</v>
      </c>
      <c r="C99">
        <v>0</v>
      </c>
      <c r="D99">
        <v>1E-4</v>
      </c>
      <c r="E99">
        <v>0.1</v>
      </c>
      <c r="F99" t="s">
        <v>13</v>
      </c>
      <c r="G99" t="s">
        <v>11</v>
      </c>
      <c r="H99">
        <v>4.4999999999999998E-2</v>
      </c>
      <c r="I99">
        <v>5</v>
      </c>
      <c r="J99" t="s">
        <v>10</v>
      </c>
      <c r="K99">
        <v>57736</v>
      </c>
      <c r="L99">
        <v>1.874E-2</v>
      </c>
      <c r="M99">
        <v>57736</v>
      </c>
      <c r="N99">
        <v>4.4741E-3</v>
      </c>
      <c r="O99" t="s">
        <v>2649</v>
      </c>
    </row>
    <row r="100" spans="1:15" x14ac:dyDescent="0.25">
      <c r="A100" t="s">
        <v>56</v>
      </c>
      <c r="B100" t="s">
        <v>47</v>
      </c>
      <c r="C100">
        <v>0</v>
      </c>
      <c r="D100">
        <v>1E-4</v>
      </c>
      <c r="E100">
        <v>0.1</v>
      </c>
      <c r="F100" t="s">
        <v>13</v>
      </c>
      <c r="G100" t="s">
        <v>11</v>
      </c>
      <c r="H100">
        <v>1E-3</v>
      </c>
      <c r="I100">
        <v>0.02</v>
      </c>
      <c r="J100" t="s">
        <v>10</v>
      </c>
      <c r="K100">
        <v>57736</v>
      </c>
      <c r="L100">
        <v>3.3964000000000001E-2</v>
      </c>
      <c r="M100">
        <v>57736</v>
      </c>
      <c r="N100">
        <v>2.0995E-2</v>
      </c>
      <c r="O100" t="s">
        <v>1810</v>
      </c>
    </row>
    <row r="101" spans="1:15" x14ac:dyDescent="0.25">
      <c r="A101" t="s">
        <v>56</v>
      </c>
      <c r="B101" t="s">
        <v>47</v>
      </c>
      <c r="C101">
        <v>0</v>
      </c>
      <c r="D101">
        <v>1E-4</v>
      </c>
      <c r="E101">
        <v>0.1</v>
      </c>
      <c r="F101" t="s">
        <v>13</v>
      </c>
      <c r="G101" t="s">
        <v>11</v>
      </c>
      <c r="H101">
        <v>0.02</v>
      </c>
      <c r="I101">
        <v>4.4999999999999998E-2</v>
      </c>
      <c r="J101" t="s">
        <v>10</v>
      </c>
      <c r="K101">
        <v>57736</v>
      </c>
      <c r="L101">
        <v>2.1729999999999999E-2</v>
      </c>
      <c r="M101">
        <v>57736</v>
      </c>
      <c r="N101">
        <v>7.4637999999999996E-3</v>
      </c>
      <c r="O101" t="s">
        <v>1811</v>
      </c>
    </row>
    <row r="102" spans="1:15" x14ac:dyDescent="0.25">
      <c r="A102" t="s">
        <v>56</v>
      </c>
      <c r="B102" t="s">
        <v>47</v>
      </c>
      <c r="C102">
        <v>0</v>
      </c>
      <c r="D102">
        <v>1E-4</v>
      </c>
      <c r="E102">
        <v>1</v>
      </c>
      <c r="F102" t="s">
        <v>13</v>
      </c>
      <c r="G102" t="s">
        <v>11</v>
      </c>
      <c r="H102">
        <v>1E-3</v>
      </c>
      <c r="I102">
        <v>0.02</v>
      </c>
      <c r="J102" t="s">
        <v>10</v>
      </c>
      <c r="K102">
        <v>577360</v>
      </c>
      <c r="L102">
        <v>7.2871000000000003E-3</v>
      </c>
      <c r="M102">
        <v>577360</v>
      </c>
      <c r="N102">
        <v>2.0990000000000002E-3</v>
      </c>
      <c r="O102" t="s">
        <v>1812</v>
      </c>
    </row>
    <row r="103" spans="1:15" x14ac:dyDescent="0.25">
      <c r="A103" t="s">
        <v>56</v>
      </c>
      <c r="B103" t="s">
        <v>47</v>
      </c>
      <c r="C103">
        <v>0</v>
      </c>
      <c r="D103">
        <v>1E-4</v>
      </c>
      <c r="E103">
        <v>1</v>
      </c>
      <c r="F103" t="s">
        <v>13</v>
      </c>
      <c r="G103" t="s">
        <v>11</v>
      </c>
      <c r="H103">
        <v>4.4999999999999998E-2</v>
      </c>
      <c r="I103">
        <v>5</v>
      </c>
      <c r="J103" t="s">
        <v>10</v>
      </c>
      <c r="K103">
        <v>577360</v>
      </c>
      <c r="L103">
        <v>7.2242000000000001E-3</v>
      </c>
      <c r="M103">
        <v>577360</v>
      </c>
      <c r="N103">
        <v>1.5173000000000001E-3</v>
      </c>
      <c r="O103" t="s">
        <v>1813</v>
      </c>
    </row>
    <row r="104" spans="1:15" x14ac:dyDescent="0.25">
      <c r="A104" t="s">
        <v>56</v>
      </c>
      <c r="B104" t="s">
        <v>47</v>
      </c>
      <c r="C104">
        <v>0</v>
      </c>
      <c r="D104">
        <v>1E-4</v>
      </c>
      <c r="E104">
        <v>1</v>
      </c>
      <c r="F104" t="s">
        <v>13</v>
      </c>
      <c r="G104" t="s">
        <v>11</v>
      </c>
      <c r="H104">
        <v>0.02</v>
      </c>
      <c r="I104">
        <v>4.4999999999999998E-2</v>
      </c>
      <c r="J104" t="s">
        <v>10</v>
      </c>
      <c r="K104">
        <v>577360</v>
      </c>
      <c r="L104">
        <v>7.5230000000000002E-3</v>
      </c>
      <c r="M104">
        <v>577360</v>
      </c>
      <c r="N104">
        <v>1.8174E-3</v>
      </c>
      <c r="O104" t="s">
        <v>1814</v>
      </c>
    </row>
    <row r="105" spans="1:15" x14ac:dyDescent="0.25">
      <c r="A105" t="s">
        <v>56</v>
      </c>
      <c r="B105" t="s">
        <v>47</v>
      </c>
      <c r="C105">
        <v>1E-4</v>
      </c>
      <c r="D105">
        <v>1E-3</v>
      </c>
      <c r="E105">
        <v>1E-10</v>
      </c>
      <c r="F105" t="s">
        <v>13</v>
      </c>
      <c r="G105" t="s">
        <v>11</v>
      </c>
      <c r="H105">
        <v>4.4999999999999998E-2</v>
      </c>
      <c r="I105">
        <v>0.1</v>
      </c>
      <c r="J105" t="s">
        <v>10</v>
      </c>
      <c r="K105">
        <v>0.24</v>
      </c>
      <c r="L105">
        <v>690</v>
      </c>
      <c r="M105">
        <v>0.23094000000000001</v>
      </c>
      <c r="N105">
        <v>693.02</v>
      </c>
      <c r="O105" t="s">
        <v>1820</v>
      </c>
    </row>
    <row r="106" spans="1:15" x14ac:dyDescent="0.25">
      <c r="A106" t="s">
        <v>56</v>
      </c>
      <c r="B106" t="s">
        <v>47</v>
      </c>
      <c r="C106">
        <v>1E-4</v>
      </c>
      <c r="D106">
        <v>1E-3</v>
      </c>
      <c r="E106">
        <v>1E-10</v>
      </c>
      <c r="F106" t="s">
        <v>13</v>
      </c>
      <c r="G106" t="s">
        <v>11</v>
      </c>
      <c r="H106">
        <v>5</v>
      </c>
      <c r="I106">
        <v>20</v>
      </c>
      <c r="J106" t="s">
        <v>10</v>
      </c>
      <c r="K106">
        <v>0.25</v>
      </c>
      <c r="L106">
        <v>710</v>
      </c>
      <c r="M106">
        <v>0.23471</v>
      </c>
      <c r="N106">
        <v>715.83</v>
      </c>
      <c r="O106" t="s">
        <v>1816</v>
      </c>
    </row>
    <row r="107" spans="1:15" x14ac:dyDescent="0.25">
      <c r="A107" t="s">
        <v>56</v>
      </c>
      <c r="B107" t="s">
        <v>47</v>
      </c>
      <c r="C107">
        <v>1E-4</v>
      </c>
      <c r="D107">
        <v>1E-3</v>
      </c>
      <c r="E107">
        <v>1E-10</v>
      </c>
      <c r="F107" t="s">
        <v>13</v>
      </c>
      <c r="G107" t="s">
        <v>11</v>
      </c>
      <c r="H107">
        <v>20</v>
      </c>
      <c r="I107">
        <v>50</v>
      </c>
      <c r="J107" t="s">
        <v>10</v>
      </c>
      <c r="K107">
        <v>0.47</v>
      </c>
      <c r="L107">
        <v>4800</v>
      </c>
      <c r="M107">
        <v>0.46627000000000002</v>
      </c>
      <c r="N107">
        <v>4761.7</v>
      </c>
      <c r="O107" t="s">
        <v>1819</v>
      </c>
    </row>
    <row r="108" spans="1:15" x14ac:dyDescent="0.25">
      <c r="A108" t="s">
        <v>56</v>
      </c>
      <c r="B108" t="s">
        <v>47</v>
      </c>
      <c r="C108">
        <v>1E-4</v>
      </c>
      <c r="D108">
        <v>1E-3</v>
      </c>
      <c r="E108">
        <v>1E-10</v>
      </c>
      <c r="F108" t="s">
        <v>13</v>
      </c>
      <c r="G108" t="s">
        <v>11</v>
      </c>
      <c r="H108">
        <v>50</v>
      </c>
      <c r="I108">
        <v>100</v>
      </c>
      <c r="J108" t="s">
        <v>10</v>
      </c>
      <c r="K108">
        <v>1.9</v>
      </c>
      <c r="L108">
        <v>6500</v>
      </c>
      <c r="M108">
        <v>1.7592000000000001</v>
      </c>
      <c r="N108">
        <v>6558</v>
      </c>
      <c r="O108" t="s">
        <v>2650</v>
      </c>
    </row>
    <row r="109" spans="1:15" x14ac:dyDescent="0.25">
      <c r="A109" t="s">
        <v>56</v>
      </c>
      <c r="B109" t="s">
        <v>47</v>
      </c>
      <c r="C109">
        <v>1E-4</v>
      </c>
      <c r="D109">
        <v>1E-3</v>
      </c>
      <c r="E109">
        <v>1E-10</v>
      </c>
      <c r="F109" t="s">
        <v>13</v>
      </c>
      <c r="G109" t="s">
        <v>11</v>
      </c>
      <c r="H109">
        <v>1E-3</v>
      </c>
      <c r="I109">
        <v>0.02</v>
      </c>
      <c r="J109" t="s">
        <v>10</v>
      </c>
      <c r="K109">
        <v>0.25</v>
      </c>
      <c r="L109">
        <v>4600</v>
      </c>
      <c r="M109">
        <v>0.23094999999999999</v>
      </c>
      <c r="N109">
        <v>4618.8</v>
      </c>
      <c r="O109" t="s">
        <v>1817</v>
      </c>
    </row>
    <row r="110" spans="1:15" x14ac:dyDescent="0.25">
      <c r="A110" t="s">
        <v>56</v>
      </c>
      <c r="B110" t="s">
        <v>47</v>
      </c>
      <c r="C110">
        <v>1E-4</v>
      </c>
      <c r="D110">
        <v>1E-3</v>
      </c>
      <c r="E110">
        <v>1E-10</v>
      </c>
      <c r="F110" t="s">
        <v>13</v>
      </c>
      <c r="G110" t="s">
        <v>11</v>
      </c>
      <c r="H110">
        <v>0.1</v>
      </c>
      <c r="I110">
        <v>5</v>
      </c>
      <c r="J110" t="s">
        <v>10</v>
      </c>
      <c r="K110">
        <v>0.25</v>
      </c>
      <c r="L110">
        <v>350</v>
      </c>
      <c r="M110">
        <v>0.23000999999999999</v>
      </c>
      <c r="N110">
        <v>364.09</v>
      </c>
      <c r="O110" t="s">
        <v>1815</v>
      </c>
    </row>
    <row r="111" spans="1:15" x14ac:dyDescent="0.25">
      <c r="A111" t="s">
        <v>56</v>
      </c>
      <c r="B111" t="s">
        <v>47</v>
      </c>
      <c r="C111">
        <v>1E-4</v>
      </c>
      <c r="D111">
        <v>1E-3</v>
      </c>
      <c r="E111">
        <v>1E-10</v>
      </c>
      <c r="F111" t="s">
        <v>13</v>
      </c>
      <c r="G111" t="s">
        <v>11</v>
      </c>
      <c r="H111">
        <v>0.02</v>
      </c>
      <c r="I111">
        <v>4.4999999999999998E-2</v>
      </c>
      <c r="J111" t="s">
        <v>10</v>
      </c>
      <c r="K111">
        <v>0.27</v>
      </c>
      <c r="L111">
        <v>1700</v>
      </c>
      <c r="M111">
        <v>0.23094000000000001</v>
      </c>
      <c r="N111">
        <v>1732.1</v>
      </c>
      <c r="O111" t="s">
        <v>1818</v>
      </c>
    </row>
    <row r="112" spans="1:15" x14ac:dyDescent="0.25">
      <c r="A112" t="s">
        <v>56</v>
      </c>
      <c r="B112" t="s">
        <v>47</v>
      </c>
      <c r="C112">
        <v>1E-4</v>
      </c>
      <c r="D112">
        <v>1E-3</v>
      </c>
      <c r="E112">
        <v>1.0000000000000001E-9</v>
      </c>
      <c r="F112" t="s">
        <v>13</v>
      </c>
      <c r="G112" t="s">
        <v>11</v>
      </c>
      <c r="H112">
        <v>50</v>
      </c>
      <c r="I112">
        <v>100</v>
      </c>
      <c r="J112" t="s">
        <v>10</v>
      </c>
      <c r="K112">
        <v>1.9</v>
      </c>
      <c r="L112">
        <v>6531.9</v>
      </c>
      <c r="M112">
        <v>1.7594000000000001</v>
      </c>
      <c r="N112">
        <v>6558.1</v>
      </c>
      <c r="O112" t="s">
        <v>1822</v>
      </c>
    </row>
    <row r="113" spans="1:15" x14ac:dyDescent="0.25">
      <c r="A113" t="s">
        <v>56</v>
      </c>
      <c r="B113" t="s">
        <v>47</v>
      </c>
      <c r="C113">
        <v>1E-4</v>
      </c>
      <c r="D113">
        <v>1E-3</v>
      </c>
      <c r="E113">
        <v>1.0000000000000001E-9</v>
      </c>
      <c r="F113" t="s">
        <v>13</v>
      </c>
      <c r="G113" t="s">
        <v>11</v>
      </c>
      <c r="H113">
        <v>4.4999999999999998E-2</v>
      </c>
      <c r="I113">
        <v>0.1</v>
      </c>
      <c r="J113" t="s">
        <v>10</v>
      </c>
      <c r="K113">
        <v>0.24</v>
      </c>
      <c r="L113">
        <v>690</v>
      </c>
      <c r="M113">
        <v>0.23102</v>
      </c>
      <c r="N113">
        <v>692.99</v>
      </c>
      <c r="O113" t="s">
        <v>2651</v>
      </c>
    </row>
    <row r="114" spans="1:15" x14ac:dyDescent="0.25">
      <c r="A114" t="s">
        <v>56</v>
      </c>
      <c r="B114" t="s">
        <v>47</v>
      </c>
      <c r="C114">
        <v>1E-4</v>
      </c>
      <c r="D114">
        <v>1E-3</v>
      </c>
      <c r="E114">
        <v>1.0000000000000001E-9</v>
      </c>
      <c r="F114" t="s">
        <v>13</v>
      </c>
      <c r="G114" t="s">
        <v>11</v>
      </c>
      <c r="H114">
        <v>20</v>
      </c>
      <c r="I114">
        <v>50</v>
      </c>
      <c r="J114" t="s">
        <v>10</v>
      </c>
      <c r="K114">
        <v>0.47</v>
      </c>
      <c r="L114">
        <v>4761.6000000000004</v>
      </c>
      <c r="M114">
        <v>0.46636</v>
      </c>
      <c r="N114">
        <v>4761.6000000000004</v>
      </c>
      <c r="O114" t="s">
        <v>1824</v>
      </c>
    </row>
    <row r="115" spans="1:15" x14ac:dyDescent="0.25">
      <c r="A115" t="s">
        <v>56</v>
      </c>
      <c r="B115" t="s">
        <v>47</v>
      </c>
      <c r="C115">
        <v>1E-4</v>
      </c>
      <c r="D115">
        <v>1E-3</v>
      </c>
      <c r="E115">
        <v>1.0000000000000001E-9</v>
      </c>
      <c r="F115" t="s">
        <v>13</v>
      </c>
      <c r="G115" t="s">
        <v>11</v>
      </c>
      <c r="H115">
        <v>0.02</v>
      </c>
      <c r="I115">
        <v>4.4999999999999998E-2</v>
      </c>
      <c r="J115" t="s">
        <v>10</v>
      </c>
      <c r="K115">
        <v>0.27</v>
      </c>
      <c r="L115">
        <v>1700</v>
      </c>
      <c r="M115">
        <v>0.23100000000000001</v>
      </c>
      <c r="N115">
        <v>1732.1</v>
      </c>
      <c r="O115" t="s">
        <v>1825</v>
      </c>
    </row>
    <row r="116" spans="1:15" x14ac:dyDescent="0.25">
      <c r="A116" t="s">
        <v>56</v>
      </c>
      <c r="B116" t="s">
        <v>47</v>
      </c>
      <c r="C116">
        <v>1E-4</v>
      </c>
      <c r="D116">
        <v>1E-3</v>
      </c>
      <c r="E116">
        <v>1.0000000000000001E-9</v>
      </c>
      <c r="F116" t="s">
        <v>13</v>
      </c>
      <c r="G116" t="s">
        <v>11</v>
      </c>
      <c r="H116">
        <v>1E-3</v>
      </c>
      <c r="I116">
        <v>0.02</v>
      </c>
      <c r="J116" t="s">
        <v>10</v>
      </c>
      <c r="K116">
        <v>0.25</v>
      </c>
      <c r="L116">
        <v>4600</v>
      </c>
      <c r="M116">
        <v>0.23097999999999999</v>
      </c>
      <c r="N116">
        <v>4618.8</v>
      </c>
      <c r="O116" t="s">
        <v>1826</v>
      </c>
    </row>
    <row r="117" spans="1:15" x14ac:dyDescent="0.25">
      <c r="A117" t="s">
        <v>56</v>
      </c>
      <c r="B117" t="s">
        <v>47</v>
      </c>
      <c r="C117">
        <v>1E-4</v>
      </c>
      <c r="D117">
        <v>1E-3</v>
      </c>
      <c r="E117">
        <v>1.0000000000000001E-9</v>
      </c>
      <c r="F117" t="s">
        <v>13</v>
      </c>
      <c r="G117" t="s">
        <v>11</v>
      </c>
      <c r="H117">
        <v>5</v>
      </c>
      <c r="I117">
        <v>20</v>
      </c>
      <c r="J117" t="s">
        <v>10</v>
      </c>
      <c r="K117">
        <v>0.25</v>
      </c>
      <c r="L117">
        <v>711.93</v>
      </c>
      <c r="M117">
        <v>0.23479</v>
      </c>
      <c r="N117">
        <v>715.8</v>
      </c>
      <c r="O117" t="s">
        <v>1823</v>
      </c>
    </row>
    <row r="118" spans="1:15" x14ac:dyDescent="0.25">
      <c r="A118" t="s">
        <v>56</v>
      </c>
      <c r="B118" t="s">
        <v>47</v>
      </c>
      <c r="C118">
        <v>1E-4</v>
      </c>
      <c r="D118">
        <v>1E-3</v>
      </c>
      <c r="E118">
        <v>1.0000000000000001E-9</v>
      </c>
      <c r="F118" t="s">
        <v>13</v>
      </c>
      <c r="G118" t="s">
        <v>11</v>
      </c>
      <c r="H118">
        <v>0.1</v>
      </c>
      <c r="I118">
        <v>5</v>
      </c>
      <c r="J118" t="s">
        <v>10</v>
      </c>
      <c r="K118">
        <v>0.25</v>
      </c>
      <c r="L118">
        <v>354.91</v>
      </c>
      <c r="M118">
        <v>0.23008999999999999</v>
      </c>
      <c r="N118">
        <v>364.09</v>
      </c>
      <c r="O118" t="s">
        <v>1821</v>
      </c>
    </row>
    <row r="119" spans="1:15" x14ac:dyDescent="0.25">
      <c r="A119" t="s">
        <v>56</v>
      </c>
      <c r="B119" t="s">
        <v>47</v>
      </c>
      <c r="C119">
        <v>1E-4</v>
      </c>
      <c r="D119">
        <v>1E-3</v>
      </c>
      <c r="E119">
        <v>1E-8</v>
      </c>
      <c r="F119" t="s">
        <v>13</v>
      </c>
      <c r="G119" t="s">
        <v>11</v>
      </c>
      <c r="H119">
        <v>50</v>
      </c>
      <c r="I119">
        <v>100</v>
      </c>
      <c r="J119" t="s">
        <v>10</v>
      </c>
      <c r="K119">
        <v>1.9</v>
      </c>
      <c r="L119">
        <v>6537.4</v>
      </c>
      <c r="M119">
        <v>1.7606999999999999</v>
      </c>
      <c r="N119">
        <v>6558</v>
      </c>
      <c r="O119" t="s">
        <v>1830</v>
      </c>
    </row>
    <row r="120" spans="1:15" x14ac:dyDescent="0.25">
      <c r="A120" t="s">
        <v>56</v>
      </c>
      <c r="B120" t="s">
        <v>47</v>
      </c>
      <c r="C120">
        <v>1E-4</v>
      </c>
      <c r="D120">
        <v>1E-3</v>
      </c>
      <c r="E120">
        <v>1E-8</v>
      </c>
      <c r="F120" t="s">
        <v>13</v>
      </c>
      <c r="G120" t="s">
        <v>11</v>
      </c>
      <c r="H120">
        <v>4.4999999999999998E-2</v>
      </c>
      <c r="I120">
        <v>0.1</v>
      </c>
      <c r="J120" t="s">
        <v>10</v>
      </c>
      <c r="K120">
        <v>0.24</v>
      </c>
      <c r="L120">
        <v>690</v>
      </c>
      <c r="M120">
        <v>0.23691000000000001</v>
      </c>
      <c r="N120">
        <v>689</v>
      </c>
      <c r="O120" t="s">
        <v>1828</v>
      </c>
    </row>
    <row r="121" spans="1:15" x14ac:dyDescent="0.25">
      <c r="A121" t="s">
        <v>56</v>
      </c>
      <c r="B121" t="s">
        <v>47</v>
      </c>
      <c r="C121">
        <v>1E-4</v>
      </c>
      <c r="D121">
        <v>1E-3</v>
      </c>
      <c r="E121">
        <v>1E-8</v>
      </c>
      <c r="F121" t="s">
        <v>13</v>
      </c>
      <c r="G121" t="s">
        <v>11</v>
      </c>
      <c r="H121">
        <v>5</v>
      </c>
      <c r="I121">
        <v>20</v>
      </c>
      <c r="J121" t="s">
        <v>10</v>
      </c>
      <c r="K121">
        <v>0.25</v>
      </c>
      <c r="L121">
        <v>712.22</v>
      </c>
      <c r="M121">
        <v>0.24057999999999999</v>
      </c>
      <c r="N121">
        <v>711.87</v>
      </c>
      <c r="O121" t="s">
        <v>1833</v>
      </c>
    </row>
    <row r="122" spans="1:15" x14ac:dyDescent="0.25">
      <c r="A122" t="s">
        <v>56</v>
      </c>
      <c r="B122" t="s">
        <v>47</v>
      </c>
      <c r="C122">
        <v>1E-4</v>
      </c>
      <c r="D122">
        <v>1E-3</v>
      </c>
      <c r="E122">
        <v>1E-8</v>
      </c>
      <c r="F122" t="s">
        <v>13</v>
      </c>
      <c r="G122" t="s">
        <v>11</v>
      </c>
      <c r="H122">
        <v>0.1</v>
      </c>
      <c r="I122">
        <v>5</v>
      </c>
      <c r="J122" t="s">
        <v>10</v>
      </c>
      <c r="K122">
        <v>0.25</v>
      </c>
      <c r="L122">
        <v>359.01</v>
      </c>
      <c r="M122">
        <v>0.23663000000000001</v>
      </c>
      <c r="N122">
        <v>360.5</v>
      </c>
      <c r="O122" t="s">
        <v>1829</v>
      </c>
    </row>
    <row r="123" spans="1:15" x14ac:dyDescent="0.25">
      <c r="A123" t="s">
        <v>56</v>
      </c>
      <c r="B123" t="s">
        <v>47</v>
      </c>
      <c r="C123">
        <v>1E-4</v>
      </c>
      <c r="D123">
        <v>1E-3</v>
      </c>
      <c r="E123">
        <v>1E-8</v>
      </c>
      <c r="F123" t="s">
        <v>13</v>
      </c>
      <c r="G123" t="s">
        <v>11</v>
      </c>
      <c r="H123">
        <v>1E-3</v>
      </c>
      <c r="I123">
        <v>0.02</v>
      </c>
      <c r="J123" t="s">
        <v>10</v>
      </c>
      <c r="K123">
        <v>0.25</v>
      </c>
      <c r="L123">
        <v>4600.3</v>
      </c>
      <c r="M123">
        <v>0.23363</v>
      </c>
      <c r="N123">
        <v>4616.5</v>
      </c>
      <c r="O123" t="s">
        <v>1831</v>
      </c>
    </row>
    <row r="124" spans="1:15" x14ac:dyDescent="0.25">
      <c r="A124" t="s">
        <v>56</v>
      </c>
      <c r="B124" t="s">
        <v>47</v>
      </c>
      <c r="C124">
        <v>1E-4</v>
      </c>
      <c r="D124">
        <v>1E-3</v>
      </c>
      <c r="E124">
        <v>1E-8</v>
      </c>
      <c r="F124" t="s">
        <v>13</v>
      </c>
      <c r="G124" t="s">
        <v>11</v>
      </c>
      <c r="H124">
        <v>20</v>
      </c>
      <c r="I124">
        <v>50</v>
      </c>
      <c r="J124" t="s">
        <v>10</v>
      </c>
      <c r="K124">
        <v>0.47</v>
      </c>
      <c r="L124">
        <v>4759.8999999999996</v>
      </c>
      <c r="M124">
        <v>0.46837000000000001</v>
      </c>
      <c r="N124">
        <v>4760</v>
      </c>
      <c r="O124" t="s">
        <v>1827</v>
      </c>
    </row>
    <row r="125" spans="1:15" x14ac:dyDescent="0.25">
      <c r="A125" t="s">
        <v>56</v>
      </c>
      <c r="B125" t="s">
        <v>47</v>
      </c>
      <c r="C125">
        <v>1E-4</v>
      </c>
      <c r="D125">
        <v>1E-3</v>
      </c>
      <c r="E125">
        <v>1E-8</v>
      </c>
      <c r="F125" t="s">
        <v>13</v>
      </c>
      <c r="G125" t="s">
        <v>11</v>
      </c>
      <c r="H125">
        <v>0.02</v>
      </c>
      <c r="I125">
        <v>4.4999999999999998E-2</v>
      </c>
      <c r="J125" t="s">
        <v>10</v>
      </c>
      <c r="K125">
        <v>0.27</v>
      </c>
      <c r="L125">
        <v>1700</v>
      </c>
      <c r="M125">
        <v>0.23546</v>
      </c>
      <c r="N125">
        <v>1728.5</v>
      </c>
      <c r="O125" t="s">
        <v>1832</v>
      </c>
    </row>
    <row r="126" spans="1:15" x14ac:dyDescent="0.25">
      <c r="A126" t="s">
        <v>56</v>
      </c>
      <c r="B126" t="s">
        <v>47</v>
      </c>
      <c r="C126">
        <v>1E-4</v>
      </c>
      <c r="D126">
        <v>1E-3</v>
      </c>
      <c r="E126">
        <v>9.9999999999999995E-8</v>
      </c>
      <c r="F126" t="s">
        <v>13</v>
      </c>
      <c r="G126" t="s">
        <v>11</v>
      </c>
      <c r="H126">
        <v>0.02</v>
      </c>
      <c r="I126">
        <v>4.4999999999999998E-2</v>
      </c>
      <c r="J126" t="s">
        <v>10</v>
      </c>
      <c r="K126">
        <v>0.55630000000000002</v>
      </c>
      <c r="L126">
        <v>1491.3</v>
      </c>
      <c r="M126">
        <v>0.55586000000000002</v>
      </c>
      <c r="N126">
        <v>1490.6</v>
      </c>
      <c r="O126" t="s">
        <v>1834</v>
      </c>
    </row>
    <row r="127" spans="1:15" x14ac:dyDescent="0.25">
      <c r="A127" t="s">
        <v>56</v>
      </c>
      <c r="B127" t="s">
        <v>47</v>
      </c>
      <c r="C127">
        <v>1E-4</v>
      </c>
      <c r="D127">
        <v>1E-3</v>
      </c>
      <c r="E127">
        <v>9.9999999999999995E-8</v>
      </c>
      <c r="F127" t="s">
        <v>13</v>
      </c>
      <c r="G127" t="s">
        <v>11</v>
      </c>
      <c r="H127">
        <v>1E-3</v>
      </c>
      <c r="I127">
        <v>0.02</v>
      </c>
      <c r="J127" t="s">
        <v>10</v>
      </c>
      <c r="K127">
        <v>0.45989999999999998</v>
      </c>
      <c r="L127">
        <v>4424.7</v>
      </c>
      <c r="M127">
        <v>0.45951999999999998</v>
      </c>
      <c r="N127">
        <v>4424.6000000000004</v>
      </c>
      <c r="O127" t="s">
        <v>1837</v>
      </c>
    </row>
    <row r="128" spans="1:15" x14ac:dyDescent="0.25">
      <c r="A128" t="s">
        <v>56</v>
      </c>
      <c r="B128" t="s">
        <v>47</v>
      </c>
      <c r="C128">
        <v>1E-4</v>
      </c>
      <c r="D128">
        <v>1E-3</v>
      </c>
      <c r="E128">
        <v>9.9999999999999995E-8</v>
      </c>
      <c r="F128" t="s">
        <v>13</v>
      </c>
      <c r="G128" t="s">
        <v>11</v>
      </c>
      <c r="H128">
        <v>20</v>
      </c>
      <c r="I128">
        <v>50</v>
      </c>
      <c r="J128" t="s">
        <v>10</v>
      </c>
      <c r="K128">
        <v>0.64627000000000001</v>
      </c>
      <c r="L128">
        <v>4616</v>
      </c>
      <c r="M128">
        <v>0.64414000000000005</v>
      </c>
      <c r="N128">
        <v>4616.1000000000004</v>
      </c>
      <c r="O128" t="s">
        <v>1838</v>
      </c>
    </row>
    <row r="129" spans="1:15" x14ac:dyDescent="0.25">
      <c r="A129" t="s">
        <v>56</v>
      </c>
      <c r="B129" t="s">
        <v>47</v>
      </c>
      <c r="C129">
        <v>1E-4</v>
      </c>
      <c r="D129">
        <v>1E-3</v>
      </c>
      <c r="E129">
        <v>9.9999999999999995E-8</v>
      </c>
      <c r="F129" t="s">
        <v>13</v>
      </c>
      <c r="G129" t="s">
        <v>11</v>
      </c>
      <c r="H129">
        <v>50</v>
      </c>
      <c r="I129">
        <v>100</v>
      </c>
      <c r="J129" t="s">
        <v>10</v>
      </c>
      <c r="K129">
        <v>1.9</v>
      </c>
      <c r="L129">
        <v>6516.3</v>
      </c>
      <c r="M129">
        <v>1.8353999999999999</v>
      </c>
      <c r="N129">
        <v>6506.9</v>
      </c>
      <c r="O129" t="s">
        <v>1835</v>
      </c>
    </row>
    <row r="130" spans="1:15" x14ac:dyDescent="0.25">
      <c r="A130" t="s">
        <v>56</v>
      </c>
      <c r="B130" t="s">
        <v>47</v>
      </c>
      <c r="C130">
        <v>1E-4</v>
      </c>
      <c r="D130">
        <v>1E-3</v>
      </c>
      <c r="E130">
        <v>9.9999999999999995E-8</v>
      </c>
      <c r="F130" t="s">
        <v>13</v>
      </c>
      <c r="G130" t="s">
        <v>11</v>
      </c>
      <c r="H130">
        <v>4.4999999999999998E-2</v>
      </c>
      <c r="I130">
        <v>0.1</v>
      </c>
      <c r="J130" t="s">
        <v>10</v>
      </c>
      <c r="K130">
        <v>0.60248999999999997</v>
      </c>
      <c r="L130">
        <v>489.7</v>
      </c>
      <c r="M130">
        <v>0.60209999999999997</v>
      </c>
      <c r="N130">
        <v>487.94</v>
      </c>
      <c r="O130" t="s">
        <v>1839</v>
      </c>
    </row>
    <row r="131" spans="1:15" x14ac:dyDescent="0.25">
      <c r="A131" t="s">
        <v>56</v>
      </c>
      <c r="B131" t="s">
        <v>47</v>
      </c>
      <c r="C131">
        <v>1E-4</v>
      </c>
      <c r="D131">
        <v>1E-3</v>
      </c>
      <c r="E131">
        <v>9.9999999999999995E-8</v>
      </c>
      <c r="F131" t="s">
        <v>13</v>
      </c>
      <c r="G131" t="s">
        <v>11</v>
      </c>
      <c r="H131">
        <v>5</v>
      </c>
      <c r="I131">
        <v>20</v>
      </c>
      <c r="J131" t="s">
        <v>10</v>
      </c>
      <c r="K131">
        <v>0.60309999999999997</v>
      </c>
      <c r="L131">
        <v>511.67</v>
      </c>
      <c r="M131">
        <v>0.60272000000000003</v>
      </c>
      <c r="N131">
        <v>509.95</v>
      </c>
      <c r="O131" t="s">
        <v>1840</v>
      </c>
    </row>
    <row r="132" spans="1:15" x14ac:dyDescent="0.25">
      <c r="A132" t="s">
        <v>56</v>
      </c>
      <c r="B132" t="s">
        <v>47</v>
      </c>
      <c r="C132">
        <v>1E-4</v>
      </c>
      <c r="D132">
        <v>1E-3</v>
      </c>
      <c r="E132">
        <v>9.9999999999999995E-8</v>
      </c>
      <c r="F132" t="s">
        <v>13</v>
      </c>
      <c r="G132" t="s">
        <v>11</v>
      </c>
      <c r="H132">
        <v>0.1</v>
      </c>
      <c r="I132">
        <v>5</v>
      </c>
      <c r="J132" t="s">
        <v>10</v>
      </c>
      <c r="K132">
        <v>0.61485999999999996</v>
      </c>
      <c r="L132">
        <v>217.08</v>
      </c>
      <c r="M132">
        <v>0.61453999999999998</v>
      </c>
      <c r="N132">
        <v>214.58</v>
      </c>
      <c r="O132" t="s">
        <v>1836</v>
      </c>
    </row>
    <row r="133" spans="1:15" x14ac:dyDescent="0.25">
      <c r="A133" t="s">
        <v>56</v>
      </c>
      <c r="B133" t="s">
        <v>47</v>
      </c>
      <c r="C133">
        <v>1E-4</v>
      </c>
      <c r="D133">
        <v>1E-3</v>
      </c>
      <c r="E133">
        <v>9.9999999999999995E-7</v>
      </c>
      <c r="F133" t="s">
        <v>13</v>
      </c>
      <c r="G133" t="s">
        <v>11</v>
      </c>
      <c r="H133">
        <v>1E-3</v>
      </c>
      <c r="I133">
        <v>0.02</v>
      </c>
      <c r="J133" t="s">
        <v>10</v>
      </c>
      <c r="K133">
        <v>5.6234999999999999</v>
      </c>
      <c r="L133">
        <v>1918.3</v>
      </c>
      <c r="M133">
        <v>5.6233000000000004</v>
      </c>
      <c r="N133">
        <v>1917.2</v>
      </c>
      <c r="O133" t="s">
        <v>1842</v>
      </c>
    </row>
    <row r="134" spans="1:15" x14ac:dyDescent="0.25">
      <c r="A134" t="s">
        <v>56</v>
      </c>
      <c r="B134" t="s">
        <v>47</v>
      </c>
      <c r="C134">
        <v>1E-4</v>
      </c>
      <c r="D134">
        <v>1E-3</v>
      </c>
      <c r="E134">
        <v>9.9999999999999995E-7</v>
      </c>
      <c r="F134" t="s">
        <v>13</v>
      </c>
      <c r="G134" t="s">
        <v>11</v>
      </c>
      <c r="H134">
        <v>50</v>
      </c>
      <c r="I134">
        <v>100</v>
      </c>
      <c r="J134" t="s">
        <v>10</v>
      </c>
      <c r="K134">
        <v>5.8456000000000001</v>
      </c>
      <c r="L134">
        <v>4362.3</v>
      </c>
      <c r="M134">
        <v>5.8320999999999996</v>
      </c>
      <c r="N134">
        <v>4309.3</v>
      </c>
      <c r="O134" t="s">
        <v>1844</v>
      </c>
    </row>
    <row r="135" spans="1:15" x14ac:dyDescent="0.25">
      <c r="A135" t="s">
        <v>56</v>
      </c>
      <c r="B135" t="s">
        <v>47</v>
      </c>
      <c r="C135">
        <v>1E-4</v>
      </c>
      <c r="D135">
        <v>1E-3</v>
      </c>
      <c r="E135">
        <v>9.9999999999999995E-7</v>
      </c>
      <c r="F135" t="s">
        <v>13</v>
      </c>
      <c r="G135" t="s">
        <v>11</v>
      </c>
      <c r="H135">
        <v>0.02</v>
      </c>
      <c r="I135">
        <v>4.4999999999999998E-2</v>
      </c>
      <c r="J135" t="s">
        <v>10</v>
      </c>
      <c r="K135">
        <v>5.7533000000000003</v>
      </c>
      <c r="L135">
        <v>346.75</v>
      </c>
      <c r="M135">
        <v>5.7531999999999996</v>
      </c>
      <c r="N135">
        <v>345.32</v>
      </c>
      <c r="O135" t="s">
        <v>1846</v>
      </c>
    </row>
    <row r="136" spans="1:15" x14ac:dyDescent="0.25">
      <c r="A136" t="s">
        <v>56</v>
      </c>
      <c r="B136" t="s">
        <v>47</v>
      </c>
      <c r="C136">
        <v>1E-4</v>
      </c>
      <c r="D136">
        <v>1E-3</v>
      </c>
      <c r="E136">
        <v>9.9999999999999995E-7</v>
      </c>
      <c r="F136" t="s">
        <v>13</v>
      </c>
      <c r="G136" t="s">
        <v>11</v>
      </c>
      <c r="H136">
        <v>5</v>
      </c>
      <c r="I136">
        <v>20</v>
      </c>
      <c r="J136" t="s">
        <v>10</v>
      </c>
      <c r="K136">
        <v>5.7740999999999998</v>
      </c>
      <c r="L136">
        <v>79.209999999999994</v>
      </c>
      <c r="M136">
        <v>5.774</v>
      </c>
      <c r="N136">
        <v>77.712999999999994</v>
      </c>
      <c r="O136" t="s">
        <v>1841</v>
      </c>
    </row>
    <row r="137" spans="1:15" x14ac:dyDescent="0.25">
      <c r="A137" t="s">
        <v>56</v>
      </c>
      <c r="B137" t="s">
        <v>47</v>
      </c>
      <c r="C137">
        <v>1E-4</v>
      </c>
      <c r="D137">
        <v>1E-3</v>
      </c>
      <c r="E137">
        <v>9.9999999999999995E-7</v>
      </c>
      <c r="F137" t="s">
        <v>13</v>
      </c>
      <c r="G137" t="s">
        <v>11</v>
      </c>
      <c r="H137">
        <v>20</v>
      </c>
      <c r="I137">
        <v>50</v>
      </c>
      <c r="J137" t="s">
        <v>10</v>
      </c>
      <c r="K137">
        <v>5.6360000000000001</v>
      </c>
      <c r="L137">
        <v>2159.6999999999998</v>
      </c>
      <c r="M137">
        <v>5.6349</v>
      </c>
      <c r="N137">
        <v>2155.3000000000002</v>
      </c>
      <c r="O137" t="s">
        <v>1843</v>
      </c>
    </row>
    <row r="138" spans="1:15" x14ac:dyDescent="0.25">
      <c r="A138" t="s">
        <v>56</v>
      </c>
      <c r="B138" t="s">
        <v>47</v>
      </c>
      <c r="C138">
        <v>1E-4</v>
      </c>
      <c r="D138">
        <v>1E-3</v>
      </c>
      <c r="E138">
        <v>9.9999999999999995E-7</v>
      </c>
      <c r="F138" t="s">
        <v>13</v>
      </c>
      <c r="G138" t="s">
        <v>11</v>
      </c>
      <c r="H138">
        <v>0.1</v>
      </c>
      <c r="I138">
        <v>5</v>
      </c>
      <c r="J138" t="s">
        <v>10</v>
      </c>
      <c r="K138">
        <v>5.7770999999999999</v>
      </c>
      <c r="L138">
        <v>28.936</v>
      </c>
      <c r="M138">
        <v>5.7770000000000001</v>
      </c>
      <c r="N138">
        <v>27.423999999999999</v>
      </c>
      <c r="O138" t="s">
        <v>1847</v>
      </c>
    </row>
    <row r="139" spans="1:15" x14ac:dyDescent="0.25">
      <c r="A139" t="s">
        <v>56</v>
      </c>
      <c r="B139" t="s">
        <v>47</v>
      </c>
      <c r="C139">
        <v>1E-4</v>
      </c>
      <c r="D139">
        <v>1E-3</v>
      </c>
      <c r="E139">
        <v>9.9999999999999995E-7</v>
      </c>
      <c r="F139" t="s">
        <v>13</v>
      </c>
      <c r="G139" t="s">
        <v>11</v>
      </c>
      <c r="H139">
        <v>4.4999999999999998E-2</v>
      </c>
      <c r="I139">
        <v>0.1</v>
      </c>
      <c r="J139" t="s">
        <v>10</v>
      </c>
      <c r="K139">
        <v>5.7742000000000004</v>
      </c>
      <c r="L139">
        <v>74.831999999999994</v>
      </c>
      <c r="M139">
        <v>5.7740999999999998</v>
      </c>
      <c r="N139">
        <v>73.332999999999998</v>
      </c>
      <c r="O139" t="s">
        <v>1845</v>
      </c>
    </row>
    <row r="140" spans="1:15" x14ac:dyDescent="0.25">
      <c r="A140" t="s">
        <v>56</v>
      </c>
      <c r="B140" t="s">
        <v>47</v>
      </c>
      <c r="C140">
        <v>1E-3</v>
      </c>
      <c r="D140">
        <v>0.01</v>
      </c>
      <c r="E140">
        <v>1E-8</v>
      </c>
      <c r="F140" t="s">
        <v>13</v>
      </c>
      <c r="G140" t="s">
        <v>11</v>
      </c>
      <c r="H140">
        <v>4.4999999999999998E-2</v>
      </c>
      <c r="I140">
        <v>0.1</v>
      </c>
      <c r="J140" t="s">
        <v>10</v>
      </c>
      <c r="K140">
        <v>2.4</v>
      </c>
      <c r="L140">
        <v>690</v>
      </c>
      <c r="M140">
        <v>2.3094999999999999</v>
      </c>
      <c r="N140">
        <v>693.04</v>
      </c>
      <c r="O140" t="s">
        <v>2652</v>
      </c>
    </row>
    <row r="141" spans="1:15" x14ac:dyDescent="0.25">
      <c r="A141" t="s">
        <v>56</v>
      </c>
      <c r="B141" t="s">
        <v>47</v>
      </c>
      <c r="C141">
        <v>1E-3</v>
      </c>
      <c r="D141">
        <v>0.01</v>
      </c>
      <c r="E141">
        <v>1E-8</v>
      </c>
      <c r="F141" t="s">
        <v>13</v>
      </c>
      <c r="G141" t="s">
        <v>11</v>
      </c>
      <c r="H141">
        <v>0.1</v>
      </c>
      <c r="I141">
        <v>5</v>
      </c>
      <c r="J141" t="s">
        <v>10</v>
      </c>
      <c r="K141">
        <v>2.5</v>
      </c>
      <c r="L141">
        <v>350</v>
      </c>
      <c r="M141">
        <v>2.2951999999999999</v>
      </c>
      <c r="N141">
        <v>364.62</v>
      </c>
      <c r="O141" t="s">
        <v>1848</v>
      </c>
    </row>
    <row r="142" spans="1:15" x14ac:dyDescent="0.25">
      <c r="A142" t="s">
        <v>56</v>
      </c>
      <c r="B142" t="s">
        <v>47</v>
      </c>
      <c r="C142">
        <v>1E-3</v>
      </c>
      <c r="D142">
        <v>0.01</v>
      </c>
      <c r="E142">
        <v>1E-8</v>
      </c>
      <c r="F142" t="s">
        <v>13</v>
      </c>
      <c r="G142" t="s">
        <v>11</v>
      </c>
      <c r="H142">
        <v>1E-3</v>
      </c>
      <c r="I142">
        <v>0.02</v>
      </c>
      <c r="J142" t="s">
        <v>10</v>
      </c>
      <c r="K142">
        <v>2.5</v>
      </c>
      <c r="L142">
        <v>4600</v>
      </c>
      <c r="M142">
        <v>2.3096000000000001</v>
      </c>
      <c r="N142">
        <v>4618.8</v>
      </c>
      <c r="O142" t="s">
        <v>1849</v>
      </c>
    </row>
    <row r="143" spans="1:15" x14ac:dyDescent="0.25">
      <c r="A143" t="s">
        <v>56</v>
      </c>
      <c r="B143" t="s">
        <v>47</v>
      </c>
      <c r="C143">
        <v>1E-3</v>
      </c>
      <c r="D143">
        <v>0.01</v>
      </c>
      <c r="E143">
        <v>1E-8</v>
      </c>
      <c r="F143" t="s">
        <v>13</v>
      </c>
      <c r="G143" t="s">
        <v>11</v>
      </c>
      <c r="H143">
        <v>50</v>
      </c>
      <c r="I143">
        <v>100</v>
      </c>
      <c r="J143" t="s">
        <v>10</v>
      </c>
      <c r="K143">
        <v>19</v>
      </c>
      <c r="L143">
        <v>6500</v>
      </c>
      <c r="M143">
        <v>17.151</v>
      </c>
      <c r="N143">
        <v>6602.1</v>
      </c>
      <c r="O143" t="s">
        <v>1853</v>
      </c>
    </row>
    <row r="144" spans="1:15" x14ac:dyDescent="0.25">
      <c r="A144" t="s">
        <v>56</v>
      </c>
      <c r="B144" t="s">
        <v>47</v>
      </c>
      <c r="C144">
        <v>1E-3</v>
      </c>
      <c r="D144">
        <v>0.01</v>
      </c>
      <c r="E144">
        <v>1E-8</v>
      </c>
      <c r="F144" t="s">
        <v>13</v>
      </c>
      <c r="G144" t="s">
        <v>11</v>
      </c>
      <c r="H144">
        <v>20</v>
      </c>
      <c r="I144">
        <v>50</v>
      </c>
      <c r="J144" t="s">
        <v>10</v>
      </c>
      <c r="K144">
        <v>5.0999999999999996</v>
      </c>
      <c r="L144">
        <v>4700</v>
      </c>
      <c r="M144">
        <v>4.5719000000000003</v>
      </c>
      <c r="N144">
        <v>4747.8999999999996</v>
      </c>
      <c r="O144" t="s">
        <v>1851</v>
      </c>
    </row>
    <row r="145" spans="1:15" x14ac:dyDescent="0.25">
      <c r="A145" t="s">
        <v>56</v>
      </c>
      <c r="B145" t="s">
        <v>47</v>
      </c>
      <c r="C145">
        <v>1E-3</v>
      </c>
      <c r="D145">
        <v>0.01</v>
      </c>
      <c r="E145">
        <v>1E-8</v>
      </c>
      <c r="F145" t="s">
        <v>13</v>
      </c>
      <c r="G145" t="s">
        <v>11</v>
      </c>
      <c r="H145">
        <v>5</v>
      </c>
      <c r="I145">
        <v>20</v>
      </c>
      <c r="J145" t="s">
        <v>10</v>
      </c>
      <c r="K145">
        <v>2.5</v>
      </c>
      <c r="L145">
        <v>710</v>
      </c>
      <c r="M145">
        <v>2.2890999999999999</v>
      </c>
      <c r="N145">
        <v>721.65</v>
      </c>
      <c r="O145" t="s">
        <v>1850</v>
      </c>
    </row>
    <row r="146" spans="1:15" x14ac:dyDescent="0.25">
      <c r="A146" t="s">
        <v>56</v>
      </c>
      <c r="B146" t="s">
        <v>47</v>
      </c>
      <c r="C146">
        <v>1E-3</v>
      </c>
      <c r="D146">
        <v>0.01</v>
      </c>
      <c r="E146">
        <v>1E-8</v>
      </c>
      <c r="F146" t="s">
        <v>13</v>
      </c>
      <c r="G146" t="s">
        <v>11</v>
      </c>
      <c r="H146">
        <v>0.02</v>
      </c>
      <c r="I146">
        <v>4.4999999999999998E-2</v>
      </c>
      <c r="J146" t="s">
        <v>10</v>
      </c>
      <c r="K146">
        <v>2.7</v>
      </c>
      <c r="L146">
        <v>1700</v>
      </c>
      <c r="M146">
        <v>2.3094999999999999</v>
      </c>
      <c r="N146">
        <v>1732.1</v>
      </c>
      <c r="O146" t="s">
        <v>1852</v>
      </c>
    </row>
    <row r="147" spans="1:15" x14ac:dyDescent="0.25">
      <c r="A147" t="s">
        <v>56</v>
      </c>
      <c r="B147" t="s">
        <v>47</v>
      </c>
      <c r="C147">
        <v>1E-3</v>
      </c>
      <c r="D147">
        <v>0.01</v>
      </c>
      <c r="E147">
        <v>9.9999999999999995E-8</v>
      </c>
      <c r="F147" t="s">
        <v>13</v>
      </c>
      <c r="G147" t="s">
        <v>11</v>
      </c>
      <c r="H147">
        <v>0.1</v>
      </c>
      <c r="I147">
        <v>5</v>
      </c>
      <c r="J147" t="s">
        <v>10</v>
      </c>
      <c r="K147">
        <v>2.5</v>
      </c>
      <c r="L147">
        <v>355.75</v>
      </c>
      <c r="M147">
        <v>2.2965</v>
      </c>
      <c r="N147">
        <v>364.68</v>
      </c>
      <c r="O147" t="s">
        <v>1854</v>
      </c>
    </row>
    <row r="148" spans="1:15" x14ac:dyDescent="0.25">
      <c r="A148" t="s">
        <v>56</v>
      </c>
      <c r="B148" t="s">
        <v>47</v>
      </c>
      <c r="C148">
        <v>1E-3</v>
      </c>
      <c r="D148">
        <v>0.01</v>
      </c>
      <c r="E148">
        <v>9.9999999999999995E-8</v>
      </c>
      <c r="F148" t="s">
        <v>13</v>
      </c>
      <c r="G148" t="s">
        <v>11</v>
      </c>
      <c r="H148">
        <v>20</v>
      </c>
      <c r="I148">
        <v>50</v>
      </c>
      <c r="J148" t="s">
        <v>10</v>
      </c>
      <c r="K148">
        <v>5.0999999999999996</v>
      </c>
      <c r="L148">
        <v>4739.1000000000004</v>
      </c>
      <c r="M148">
        <v>4.5721999999999996</v>
      </c>
      <c r="N148">
        <v>4747.8999999999996</v>
      </c>
      <c r="O148" t="s">
        <v>1855</v>
      </c>
    </row>
    <row r="149" spans="1:15" x14ac:dyDescent="0.25">
      <c r="A149" t="s">
        <v>56</v>
      </c>
      <c r="B149" t="s">
        <v>47</v>
      </c>
      <c r="C149">
        <v>1E-3</v>
      </c>
      <c r="D149">
        <v>0.01</v>
      </c>
      <c r="E149">
        <v>9.9999999999999995E-8</v>
      </c>
      <c r="F149" t="s">
        <v>13</v>
      </c>
      <c r="G149" t="s">
        <v>11</v>
      </c>
      <c r="H149">
        <v>0.02</v>
      </c>
      <c r="I149">
        <v>4.4999999999999998E-2</v>
      </c>
      <c r="J149" t="s">
        <v>10</v>
      </c>
      <c r="K149">
        <v>2.7</v>
      </c>
      <c r="L149">
        <v>1700</v>
      </c>
      <c r="M149">
        <v>2.3109999999999999</v>
      </c>
      <c r="N149">
        <v>1732</v>
      </c>
      <c r="O149" t="s">
        <v>2653</v>
      </c>
    </row>
    <row r="150" spans="1:15" x14ac:dyDescent="0.25">
      <c r="A150" t="s">
        <v>56</v>
      </c>
      <c r="B150" t="s">
        <v>47</v>
      </c>
      <c r="C150">
        <v>1E-3</v>
      </c>
      <c r="D150">
        <v>0.01</v>
      </c>
      <c r="E150">
        <v>9.9999999999999995E-8</v>
      </c>
      <c r="F150" t="s">
        <v>13</v>
      </c>
      <c r="G150" t="s">
        <v>11</v>
      </c>
      <c r="H150">
        <v>5</v>
      </c>
      <c r="I150">
        <v>20</v>
      </c>
      <c r="J150" t="s">
        <v>10</v>
      </c>
      <c r="K150">
        <v>2.5</v>
      </c>
      <c r="L150">
        <v>712.46</v>
      </c>
      <c r="M150">
        <v>2.2904</v>
      </c>
      <c r="N150">
        <v>721.65</v>
      </c>
      <c r="O150" t="s">
        <v>1859</v>
      </c>
    </row>
    <row r="151" spans="1:15" x14ac:dyDescent="0.25">
      <c r="A151" t="s">
        <v>56</v>
      </c>
      <c r="B151" t="s">
        <v>47</v>
      </c>
      <c r="C151">
        <v>1E-3</v>
      </c>
      <c r="D151">
        <v>0.01</v>
      </c>
      <c r="E151">
        <v>9.9999999999999995E-8</v>
      </c>
      <c r="F151" t="s">
        <v>13</v>
      </c>
      <c r="G151" t="s">
        <v>11</v>
      </c>
      <c r="H151">
        <v>1E-3</v>
      </c>
      <c r="I151">
        <v>0.02</v>
      </c>
      <c r="J151" t="s">
        <v>10</v>
      </c>
      <c r="K151">
        <v>2.5</v>
      </c>
      <c r="L151">
        <v>4600</v>
      </c>
      <c r="M151">
        <v>2.3100999999999998</v>
      </c>
      <c r="N151">
        <v>4618.8</v>
      </c>
      <c r="O151" t="s">
        <v>1857</v>
      </c>
    </row>
    <row r="152" spans="1:15" x14ac:dyDescent="0.25">
      <c r="A152" t="s">
        <v>56</v>
      </c>
      <c r="B152" t="s">
        <v>47</v>
      </c>
      <c r="C152">
        <v>1E-3</v>
      </c>
      <c r="D152">
        <v>0.01</v>
      </c>
      <c r="E152">
        <v>9.9999999999999995E-8</v>
      </c>
      <c r="F152" t="s">
        <v>13</v>
      </c>
      <c r="G152" t="s">
        <v>11</v>
      </c>
      <c r="H152">
        <v>50</v>
      </c>
      <c r="I152">
        <v>100</v>
      </c>
      <c r="J152" t="s">
        <v>10</v>
      </c>
      <c r="K152">
        <v>19</v>
      </c>
      <c r="L152">
        <v>6531.1</v>
      </c>
      <c r="M152">
        <v>17.152999999999999</v>
      </c>
      <c r="N152">
        <v>6602.1</v>
      </c>
      <c r="O152" t="s">
        <v>1856</v>
      </c>
    </row>
    <row r="153" spans="1:15" x14ac:dyDescent="0.25">
      <c r="A153" t="s">
        <v>56</v>
      </c>
      <c r="B153" t="s">
        <v>47</v>
      </c>
      <c r="C153">
        <v>1E-3</v>
      </c>
      <c r="D153">
        <v>0.01</v>
      </c>
      <c r="E153">
        <v>9.9999999999999995E-8</v>
      </c>
      <c r="F153" t="s">
        <v>13</v>
      </c>
      <c r="G153" t="s">
        <v>11</v>
      </c>
      <c r="H153">
        <v>4.4999999999999998E-2</v>
      </c>
      <c r="I153">
        <v>0.1</v>
      </c>
      <c r="J153" t="s">
        <v>10</v>
      </c>
      <c r="K153">
        <v>2.4</v>
      </c>
      <c r="L153">
        <v>690</v>
      </c>
      <c r="M153">
        <v>2.3107000000000002</v>
      </c>
      <c r="N153">
        <v>693.04</v>
      </c>
      <c r="O153" t="s">
        <v>1858</v>
      </c>
    </row>
    <row r="154" spans="1:15" x14ac:dyDescent="0.25">
      <c r="A154" t="s">
        <v>56</v>
      </c>
      <c r="B154" t="s">
        <v>47</v>
      </c>
      <c r="C154">
        <v>1E-3</v>
      </c>
      <c r="D154">
        <v>0.01</v>
      </c>
      <c r="E154">
        <v>9.9999999999999995E-7</v>
      </c>
      <c r="F154" t="s">
        <v>13</v>
      </c>
      <c r="G154" t="s">
        <v>11</v>
      </c>
      <c r="H154">
        <v>5</v>
      </c>
      <c r="I154">
        <v>20</v>
      </c>
      <c r="J154" t="s">
        <v>10</v>
      </c>
      <c r="K154">
        <v>2.5</v>
      </c>
      <c r="L154">
        <v>716.59</v>
      </c>
      <c r="M154">
        <v>2.3512</v>
      </c>
      <c r="N154">
        <v>717.7</v>
      </c>
      <c r="O154" t="s">
        <v>1860</v>
      </c>
    </row>
    <row r="155" spans="1:15" x14ac:dyDescent="0.25">
      <c r="A155" t="s">
        <v>56</v>
      </c>
      <c r="B155" t="s">
        <v>47</v>
      </c>
      <c r="C155">
        <v>1E-3</v>
      </c>
      <c r="D155">
        <v>0.01</v>
      </c>
      <c r="E155">
        <v>9.9999999999999995E-7</v>
      </c>
      <c r="F155" t="s">
        <v>13</v>
      </c>
      <c r="G155" t="s">
        <v>11</v>
      </c>
      <c r="H155">
        <v>4.4999999999999998E-2</v>
      </c>
      <c r="I155">
        <v>0.1</v>
      </c>
      <c r="J155" t="s">
        <v>10</v>
      </c>
      <c r="K155">
        <v>2.4</v>
      </c>
      <c r="L155">
        <v>690</v>
      </c>
      <c r="M155">
        <v>2.3717000000000001</v>
      </c>
      <c r="N155">
        <v>689.14</v>
      </c>
      <c r="O155" t="s">
        <v>2657</v>
      </c>
    </row>
    <row r="156" spans="1:15" x14ac:dyDescent="0.25">
      <c r="A156" t="s">
        <v>56</v>
      </c>
      <c r="B156" t="s">
        <v>47</v>
      </c>
      <c r="C156">
        <v>1E-3</v>
      </c>
      <c r="D156">
        <v>0.01</v>
      </c>
      <c r="E156">
        <v>9.9999999999999995E-7</v>
      </c>
      <c r="F156" t="s">
        <v>13</v>
      </c>
      <c r="G156" t="s">
        <v>11</v>
      </c>
      <c r="H156">
        <v>0.02</v>
      </c>
      <c r="I156">
        <v>4.4999999999999998E-2</v>
      </c>
      <c r="J156" t="s">
        <v>10</v>
      </c>
      <c r="K156">
        <v>2.7</v>
      </c>
      <c r="L156">
        <v>1700</v>
      </c>
      <c r="M156">
        <v>2.3565999999999998</v>
      </c>
      <c r="N156">
        <v>1728.5</v>
      </c>
      <c r="O156" t="s">
        <v>2655</v>
      </c>
    </row>
    <row r="157" spans="1:15" x14ac:dyDescent="0.25">
      <c r="A157" t="s">
        <v>56</v>
      </c>
      <c r="B157" t="s">
        <v>47</v>
      </c>
      <c r="C157">
        <v>1E-3</v>
      </c>
      <c r="D157">
        <v>0.01</v>
      </c>
      <c r="E157">
        <v>9.9999999999999995E-7</v>
      </c>
      <c r="F157" t="s">
        <v>13</v>
      </c>
      <c r="G157" t="s">
        <v>11</v>
      </c>
      <c r="H157">
        <v>50</v>
      </c>
      <c r="I157">
        <v>100</v>
      </c>
      <c r="J157" t="s">
        <v>10</v>
      </c>
      <c r="K157">
        <v>19</v>
      </c>
      <c r="L157">
        <v>6534.1</v>
      </c>
      <c r="M157">
        <v>17.164000000000001</v>
      </c>
      <c r="N157">
        <v>6601.7</v>
      </c>
      <c r="O157" t="s">
        <v>1861</v>
      </c>
    </row>
    <row r="158" spans="1:15" x14ac:dyDescent="0.25">
      <c r="A158" t="s">
        <v>56</v>
      </c>
      <c r="B158" t="s">
        <v>47</v>
      </c>
      <c r="C158">
        <v>1E-3</v>
      </c>
      <c r="D158">
        <v>0.01</v>
      </c>
      <c r="E158">
        <v>9.9999999999999995E-7</v>
      </c>
      <c r="F158" t="s">
        <v>13</v>
      </c>
      <c r="G158" t="s">
        <v>11</v>
      </c>
      <c r="H158">
        <v>20</v>
      </c>
      <c r="I158">
        <v>50</v>
      </c>
      <c r="J158" t="s">
        <v>10</v>
      </c>
      <c r="K158">
        <v>5.0999999999999996</v>
      </c>
      <c r="L158">
        <v>4739.8999999999996</v>
      </c>
      <c r="M158">
        <v>4.5921000000000003</v>
      </c>
      <c r="N158">
        <v>4746.3</v>
      </c>
      <c r="O158" t="s">
        <v>2656</v>
      </c>
    </row>
    <row r="159" spans="1:15" x14ac:dyDescent="0.25">
      <c r="A159" t="s">
        <v>56</v>
      </c>
      <c r="B159" t="s">
        <v>47</v>
      </c>
      <c r="C159">
        <v>1E-3</v>
      </c>
      <c r="D159">
        <v>0.01</v>
      </c>
      <c r="E159">
        <v>9.9999999999999995E-7</v>
      </c>
      <c r="F159" t="s">
        <v>13</v>
      </c>
      <c r="G159" t="s">
        <v>11</v>
      </c>
      <c r="H159">
        <v>0.1</v>
      </c>
      <c r="I159">
        <v>5</v>
      </c>
      <c r="J159" t="s">
        <v>10</v>
      </c>
      <c r="K159">
        <v>2.5</v>
      </c>
      <c r="L159">
        <v>362.33</v>
      </c>
      <c r="M159">
        <v>2.3641000000000001</v>
      </c>
      <c r="N159">
        <v>361.33</v>
      </c>
      <c r="O159" t="s">
        <v>1862</v>
      </c>
    </row>
    <row r="160" spans="1:15" x14ac:dyDescent="0.25">
      <c r="A160" t="s">
        <v>56</v>
      </c>
      <c r="B160" t="s">
        <v>47</v>
      </c>
      <c r="C160">
        <v>1E-3</v>
      </c>
      <c r="D160">
        <v>0.01</v>
      </c>
      <c r="E160">
        <v>9.9999999999999995E-7</v>
      </c>
      <c r="F160" t="s">
        <v>13</v>
      </c>
      <c r="G160" t="s">
        <v>11</v>
      </c>
      <c r="H160">
        <v>1E-3</v>
      </c>
      <c r="I160">
        <v>0.02</v>
      </c>
      <c r="J160" t="s">
        <v>10</v>
      </c>
      <c r="K160">
        <v>2.5</v>
      </c>
      <c r="L160">
        <v>4600.7</v>
      </c>
      <c r="M160">
        <v>2.3372999999999999</v>
      </c>
      <c r="N160">
        <v>4616.5</v>
      </c>
      <c r="O160" t="s">
        <v>2654</v>
      </c>
    </row>
    <row r="161" spans="1:15" x14ac:dyDescent="0.25">
      <c r="A161" t="s">
        <v>56</v>
      </c>
      <c r="B161" t="s">
        <v>47</v>
      </c>
      <c r="C161">
        <v>1E-3</v>
      </c>
      <c r="D161">
        <v>0.01</v>
      </c>
      <c r="E161">
        <v>1.0000000000000001E-5</v>
      </c>
      <c r="F161" t="s">
        <v>13</v>
      </c>
      <c r="G161" t="s">
        <v>11</v>
      </c>
      <c r="H161">
        <v>4.4999999999999998E-2</v>
      </c>
      <c r="I161">
        <v>0.1</v>
      </c>
      <c r="J161" t="s">
        <v>10</v>
      </c>
      <c r="K161">
        <v>6.0457999999999998</v>
      </c>
      <c r="L161">
        <v>494.17</v>
      </c>
      <c r="M161">
        <v>6.0251999999999999</v>
      </c>
      <c r="N161">
        <v>488.84</v>
      </c>
      <c r="O161" t="s">
        <v>1866</v>
      </c>
    </row>
    <row r="162" spans="1:15" x14ac:dyDescent="0.25">
      <c r="A162" t="s">
        <v>56</v>
      </c>
      <c r="B162" t="s">
        <v>47</v>
      </c>
      <c r="C162">
        <v>1E-3</v>
      </c>
      <c r="D162">
        <v>0.01</v>
      </c>
      <c r="E162">
        <v>1.0000000000000001E-5</v>
      </c>
      <c r="F162" t="s">
        <v>13</v>
      </c>
      <c r="G162" t="s">
        <v>11</v>
      </c>
      <c r="H162">
        <v>50</v>
      </c>
      <c r="I162">
        <v>100</v>
      </c>
      <c r="J162" t="s">
        <v>10</v>
      </c>
      <c r="K162">
        <v>19</v>
      </c>
      <c r="L162">
        <v>6550</v>
      </c>
      <c r="M162">
        <v>17.919</v>
      </c>
      <c r="N162">
        <v>6548</v>
      </c>
      <c r="O162" t="s">
        <v>1865</v>
      </c>
    </row>
    <row r="163" spans="1:15" x14ac:dyDescent="0.25">
      <c r="A163" t="s">
        <v>56</v>
      </c>
      <c r="B163" t="s">
        <v>47</v>
      </c>
      <c r="C163">
        <v>1E-3</v>
      </c>
      <c r="D163">
        <v>0.01</v>
      </c>
      <c r="E163">
        <v>1.0000000000000001E-5</v>
      </c>
      <c r="F163" t="s">
        <v>13</v>
      </c>
      <c r="G163" t="s">
        <v>11</v>
      </c>
      <c r="H163">
        <v>0.1</v>
      </c>
      <c r="I163">
        <v>5</v>
      </c>
      <c r="J163" t="s">
        <v>10</v>
      </c>
      <c r="K163">
        <v>6.1658999999999997</v>
      </c>
      <c r="L163">
        <v>223.94</v>
      </c>
      <c r="M163">
        <v>6.1471999999999998</v>
      </c>
      <c r="N163">
        <v>216.14</v>
      </c>
      <c r="O163" t="s">
        <v>1867</v>
      </c>
    </row>
    <row r="164" spans="1:15" x14ac:dyDescent="0.25">
      <c r="A164" t="s">
        <v>56</v>
      </c>
      <c r="B164" t="s">
        <v>47</v>
      </c>
      <c r="C164">
        <v>1E-3</v>
      </c>
      <c r="D164">
        <v>0.01</v>
      </c>
      <c r="E164">
        <v>1.0000000000000001E-5</v>
      </c>
      <c r="F164" t="s">
        <v>13</v>
      </c>
      <c r="G164" t="s">
        <v>11</v>
      </c>
      <c r="H164">
        <v>5</v>
      </c>
      <c r="I164">
        <v>20</v>
      </c>
      <c r="J164" t="s">
        <v>10</v>
      </c>
      <c r="K164">
        <v>6.0251000000000001</v>
      </c>
      <c r="L164">
        <v>518.67999999999995</v>
      </c>
      <c r="M164">
        <v>6.0044000000000004</v>
      </c>
      <c r="N164">
        <v>513.52</v>
      </c>
      <c r="O164" t="s">
        <v>1869</v>
      </c>
    </row>
    <row r="165" spans="1:15" x14ac:dyDescent="0.25">
      <c r="A165" t="s">
        <v>56</v>
      </c>
      <c r="B165" t="s">
        <v>47</v>
      </c>
      <c r="C165">
        <v>1E-3</v>
      </c>
      <c r="D165">
        <v>0.01</v>
      </c>
      <c r="E165">
        <v>1.0000000000000001E-5</v>
      </c>
      <c r="F165" t="s">
        <v>13</v>
      </c>
      <c r="G165" t="s">
        <v>11</v>
      </c>
      <c r="H165">
        <v>1E-3</v>
      </c>
      <c r="I165">
        <v>0.02</v>
      </c>
      <c r="J165" t="s">
        <v>10</v>
      </c>
      <c r="K165">
        <v>4.6177000000000001</v>
      </c>
      <c r="L165">
        <v>4424.3</v>
      </c>
      <c r="M165">
        <v>4.5991</v>
      </c>
      <c r="N165">
        <v>4424.5</v>
      </c>
      <c r="O165" t="s">
        <v>1863</v>
      </c>
    </row>
    <row r="166" spans="1:15" x14ac:dyDescent="0.25">
      <c r="A166" t="s">
        <v>56</v>
      </c>
      <c r="B166" t="s">
        <v>47</v>
      </c>
      <c r="C166">
        <v>1E-3</v>
      </c>
      <c r="D166">
        <v>0.01</v>
      </c>
      <c r="E166">
        <v>1.0000000000000001E-5</v>
      </c>
      <c r="F166" t="s">
        <v>13</v>
      </c>
      <c r="G166" t="s">
        <v>11</v>
      </c>
      <c r="H166">
        <v>20</v>
      </c>
      <c r="I166">
        <v>50</v>
      </c>
      <c r="J166" t="s">
        <v>10</v>
      </c>
      <c r="K166">
        <v>6.3814000000000002</v>
      </c>
      <c r="L166">
        <v>4600.8</v>
      </c>
      <c r="M166">
        <v>6.3659999999999997</v>
      </c>
      <c r="N166">
        <v>4600.8</v>
      </c>
      <c r="O166" t="s">
        <v>1864</v>
      </c>
    </row>
    <row r="167" spans="1:15" x14ac:dyDescent="0.25">
      <c r="A167" t="s">
        <v>56</v>
      </c>
      <c r="B167" t="s">
        <v>47</v>
      </c>
      <c r="C167">
        <v>1E-3</v>
      </c>
      <c r="D167">
        <v>0.01</v>
      </c>
      <c r="E167">
        <v>1.0000000000000001E-5</v>
      </c>
      <c r="F167" t="s">
        <v>13</v>
      </c>
      <c r="G167" t="s">
        <v>11</v>
      </c>
      <c r="H167">
        <v>0.02</v>
      </c>
      <c r="I167">
        <v>4.4999999999999998E-2</v>
      </c>
      <c r="J167" t="s">
        <v>10</v>
      </c>
      <c r="K167">
        <v>5.585</v>
      </c>
      <c r="L167">
        <v>1492.6</v>
      </c>
      <c r="M167">
        <v>5.5625999999999998</v>
      </c>
      <c r="N167">
        <v>1490.9</v>
      </c>
      <c r="O167" t="s">
        <v>1868</v>
      </c>
    </row>
    <row r="168" spans="1:15" x14ac:dyDescent="0.25">
      <c r="A168" t="s">
        <v>56</v>
      </c>
      <c r="B168" t="s">
        <v>47</v>
      </c>
      <c r="C168">
        <v>1E-3</v>
      </c>
      <c r="D168">
        <v>0.01</v>
      </c>
      <c r="E168">
        <v>1E-4</v>
      </c>
      <c r="F168" t="s">
        <v>13</v>
      </c>
      <c r="G168" t="s">
        <v>11</v>
      </c>
      <c r="H168">
        <v>5</v>
      </c>
      <c r="I168">
        <v>20</v>
      </c>
      <c r="J168" t="s">
        <v>10</v>
      </c>
      <c r="K168">
        <v>57.744999999999997</v>
      </c>
      <c r="L168">
        <v>83.688999999999993</v>
      </c>
      <c r="M168">
        <v>57.738</v>
      </c>
      <c r="N168">
        <v>78.852999999999994</v>
      </c>
      <c r="O168" t="s">
        <v>1870</v>
      </c>
    </row>
    <row r="169" spans="1:15" x14ac:dyDescent="0.25">
      <c r="A169" t="s">
        <v>56</v>
      </c>
      <c r="B169" t="s">
        <v>47</v>
      </c>
      <c r="C169">
        <v>1E-3</v>
      </c>
      <c r="D169">
        <v>0.01</v>
      </c>
      <c r="E169">
        <v>1E-4</v>
      </c>
      <c r="F169" t="s">
        <v>13</v>
      </c>
      <c r="G169" t="s">
        <v>11</v>
      </c>
      <c r="H169">
        <v>0.02</v>
      </c>
      <c r="I169">
        <v>4.4999999999999998E-2</v>
      </c>
      <c r="J169" t="s">
        <v>10</v>
      </c>
      <c r="K169">
        <v>57.540999999999997</v>
      </c>
      <c r="L169">
        <v>350.7</v>
      </c>
      <c r="M169">
        <v>57.533999999999999</v>
      </c>
      <c r="N169">
        <v>346.11</v>
      </c>
      <c r="O169" t="s">
        <v>1872</v>
      </c>
    </row>
    <row r="170" spans="1:15" x14ac:dyDescent="0.25">
      <c r="A170" t="s">
        <v>56</v>
      </c>
      <c r="B170" t="s">
        <v>47</v>
      </c>
      <c r="C170">
        <v>1E-3</v>
      </c>
      <c r="D170">
        <v>0.01</v>
      </c>
      <c r="E170">
        <v>1E-4</v>
      </c>
      <c r="F170" t="s">
        <v>13</v>
      </c>
      <c r="G170" t="s">
        <v>11</v>
      </c>
      <c r="H170">
        <v>4.4999999999999998E-2</v>
      </c>
      <c r="I170">
        <v>0.1</v>
      </c>
      <c r="J170" t="s">
        <v>10</v>
      </c>
      <c r="K170">
        <v>57.749000000000002</v>
      </c>
      <c r="L170">
        <v>79.009</v>
      </c>
      <c r="M170">
        <v>57.741999999999997</v>
      </c>
      <c r="N170">
        <v>74.17</v>
      </c>
      <c r="O170" t="s">
        <v>1871</v>
      </c>
    </row>
    <row r="171" spans="1:15" x14ac:dyDescent="0.25">
      <c r="A171" t="s">
        <v>56</v>
      </c>
      <c r="B171" t="s">
        <v>47</v>
      </c>
      <c r="C171">
        <v>1E-3</v>
      </c>
      <c r="D171">
        <v>0.01</v>
      </c>
      <c r="E171">
        <v>1E-4</v>
      </c>
      <c r="F171" t="s">
        <v>13</v>
      </c>
      <c r="G171" t="s">
        <v>11</v>
      </c>
      <c r="H171">
        <v>1E-3</v>
      </c>
      <c r="I171">
        <v>0.02</v>
      </c>
      <c r="J171" t="s">
        <v>10</v>
      </c>
      <c r="K171">
        <v>56.243000000000002</v>
      </c>
      <c r="L171">
        <v>1921.2</v>
      </c>
      <c r="M171">
        <v>56.234999999999999</v>
      </c>
      <c r="N171">
        <v>1917.8</v>
      </c>
      <c r="O171" t="s">
        <v>2658</v>
      </c>
    </row>
    <row r="172" spans="1:15" x14ac:dyDescent="0.25">
      <c r="A172" t="s">
        <v>56</v>
      </c>
      <c r="B172" t="s">
        <v>47</v>
      </c>
      <c r="C172">
        <v>1E-3</v>
      </c>
      <c r="D172">
        <v>0.01</v>
      </c>
      <c r="E172">
        <v>1E-4</v>
      </c>
      <c r="F172" t="s">
        <v>13</v>
      </c>
      <c r="G172" t="s">
        <v>11</v>
      </c>
      <c r="H172">
        <v>20</v>
      </c>
      <c r="I172">
        <v>50</v>
      </c>
      <c r="J172" t="s">
        <v>10</v>
      </c>
      <c r="K172">
        <v>56.353999999999999</v>
      </c>
      <c r="L172">
        <v>2143.3000000000002</v>
      </c>
      <c r="M172">
        <v>56.345999999999997</v>
      </c>
      <c r="N172">
        <v>2139.9</v>
      </c>
      <c r="O172" t="s">
        <v>1875</v>
      </c>
    </row>
    <row r="173" spans="1:15" x14ac:dyDescent="0.25">
      <c r="A173" t="s">
        <v>56</v>
      </c>
      <c r="B173" t="s">
        <v>47</v>
      </c>
      <c r="C173">
        <v>1E-3</v>
      </c>
      <c r="D173">
        <v>0.01</v>
      </c>
      <c r="E173">
        <v>1E-4</v>
      </c>
      <c r="F173" t="s">
        <v>13</v>
      </c>
      <c r="G173" t="s">
        <v>11</v>
      </c>
      <c r="H173">
        <v>0.1</v>
      </c>
      <c r="I173">
        <v>5</v>
      </c>
      <c r="J173" t="s">
        <v>10</v>
      </c>
      <c r="K173">
        <v>57.777999999999999</v>
      </c>
      <c r="L173">
        <v>33.176000000000002</v>
      </c>
      <c r="M173">
        <v>57.771000000000001</v>
      </c>
      <c r="N173">
        <v>28.291</v>
      </c>
      <c r="O173" t="s">
        <v>1873</v>
      </c>
    </row>
    <row r="174" spans="1:15" x14ac:dyDescent="0.25">
      <c r="A174" t="s">
        <v>56</v>
      </c>
      <c r="B174" t="s">
        <v>47</v>
      </c>
      <c r="C174">
        <v>1E-3</v>
      </c>
      <c r="D174">
        <v>0.01</v>
      </c>
      <c r="E174">
        <v>1E-4</v>
      </c>
      <c r="F174" t="s">
        <v>13</v>
      </c>
      <c r="G174" t="s">
        <v>11</v>
      </c>
      <c r="H174">
        <v>50</v>
      </c>
      <c r="I174">
        <v>100</v>
      </c>
      <c r="J174" t="s">
        <v>10</v>
      </c>
      <c r="K174">
        <v>58.261000000000003</v>
      </c>
      <c r="L174">
        <v>4342.2</v>
      </c>
      <c r="M174">
        <v>58.146000000000001</v>
      </c>
      <c r="N174">
        <v>4318.8</v>
      </c>
      <c r="O174" t="s">
        <v>1874</v>
      </c>
    </row>
    <row r="175" spans="1:15" x14ac:dyDescent="0.25">
      <c r="A175" t="s">
        <v>56</v>
      </c>
      <c r="B175" t="s">
        <v>47</v>
      </c>
      <c r="C175">
        <v>0.01</v>
      </c>
      <c r="D175">
        <v>0.1</v>
      </c>
      <c r="E175">
        <v>9.9999999999999995E-8</v>
      </c>
      <c r="F175" t="s">
        <v>13</v>
      </c>
      <c r="G175" t="s">
        <v>11</v>
      </c>
      <c r="H175">
        <v>1E-3</v>
      </c>
      <c r="I175">
        <v>0.02</v>
      </c>
      <c r="J175" t="s">
        <v>10</v>
      </c>
      <c r="K175">
        <v>25</v>
      </c>
      <c r="L175">
        <v>4600</v>
      </c>
      <c r="M175">
        <v>23.094999999999999</v>
      </c>
      <c r="N175">
        <v>4618.8</v>
      </c>
      <c r="O175" t="s">
        <v>1881</v>
      </c>
    </row>
    <row r="176" spans="1:15" x14ac:dyDescent="0.25">
      <c r="A176" t="s">
        <v>56</v>
      </c>
      <c r="B176" t="s">
        <v>47</v>
      </c>
      <c r="C176">
        <v>0.01</v>
      </c>
      <c r="D176">
        <v>0.1</v>
      </c>
      <c r="E176">
        <v>9.9999999999999995E-8</v>
      </c>
      <c r="F176" t="s">
        <v>13</v>
      </c>
      <c r="G176" t="s">
        <v>11</v>
      </c>
      <c r="H176">
        <v>5</v>
      </c>
      <c r="I176">
        <v>20</v>
      </c>
      <c r="J176" t="s">
        <v>10</v>
      </c>
      <c r="K176">
        <v>25</v>
      </c>
      <c r="L176">
        <v>710</v>
      </c>
      <c r="M176">
        <v>22.890999999999998</v>
      </c>
      <c r="N176">
        <v>721.64</v>
      </c>
      <c r="O176" t="s">
        <v>1878</v>
      </c>
    </row>
    <row r="177" spans="1:15" x14ac:dyDescent="0.25">
      <c r="A177" t="s">
        <v>56</v>
      </c>
      <c r="B177" t="s">
        <v>47</v>
      </c>
      <c r="C177">
        <v>0.01</v>
      </c>
      <c r="D177">
        <v>0.1</v>
      </c>
      <c r="E177">
        <v>9.9999999999999995E-8</v>
      </c>
      <c r="F177" t="s">
        <v>13</v>
      </c>
      <c r="G177" t="s">
        <v>11</v>
      </c>
      <c r="H177">
        <v>0.1</v>
      </c>
      <c r="I177">
        <v>5</v>
      </c>
      <c r="J177" t="s">
        <v>10</v>
      </c>
      <c r="K177">
        <v>25</v>
      </c>
      <c r="L177">
        <v>350</v>
      </c>
      <c r="M177">
        <v>22.95</v>
      </c>
      <c r="N177">
        <v>364.61</v>
      </c>
      <c r="O177" t="s">
        <v>1877</v>
      </c>
    </row>
    <row r="178" spans="1:15" x14ac:dyDescent="0.25">
      <c r="A178" t="s">
        <v>56</v>
      </c>
      <c r="B178" t="s">
        <v>47</v>
      </c>
      <c r="C178">
        <v>0.01</v>
      </c>
      <c r="D178">
        <v>0.1</v>
      </c>
      <c r="E178">
        <v>9.9999999999999995E-8</v>
      </c>
      <c r="F178" t="s">
        <v>13</v>
      </c>
      <c r="G178" t="s">
        <v>11</v>
      </c>
      <c r="H178">
        <v>20</v>
      </c>
      <c r="I178">
        <v>50</v>
      </c>
      <c r="J178" t="s">
        <v>10</v>
      </c>
      <c r="K178">
        <v>51</v>
      </c>
      <c r="L178">
        <v>4700</v>
      </c>
      <c r="M178">
        <v>45.601999999999997</v>
      </c>
      <c r="N178">
        <v>4746.8999999999996</v>
      </c>
      <c r="O178" t="s">
        <v>1882</v>
      </c>
    </row>
    <row r="179" spans="1:15" x14ac:dyDescent="0.25">
      <c r="A179" t="s">
        <v>56</v>
      </c>
      <c r="B179" t="s">
        <v>47</v>
      </c>
      <c r="C179">
        <v>0.01</v>
      </c>
      <c r="D179">
        <v>0.1</v>
      </c>
      <c r="E179">
        <v>9.9999999999999995E-8</v>
      </c>
      <c r="F179" t="s">
        <v>13</v>
      </c>
      <c r="G179" t="s">
        <v>11</v>
      </c>
      <c r="H179">
        <v>0.02</v>
      </c>
      <c r="I179">
        <v>4.4999999999999998E-2</v>
      </c>
      <c r="J179" t="s">
        <v>10</v>
      </c>
      <c r="K179">
        <v>27</v>
      </c>
      <c r="L179">
        <v>1700</v>
      </c>
      <c r="M179">
        <v>23.094999999999999</v>
      </c>
      <c r="N179">
        <v>1732.1</v>
      </c>
      <c r="O179" t="s">
        <v>1880</v>
      </c>
    </row>
    <row r="180" spans="1:15" x14ac:dyDescent="0.25">
      <c r="A180" t="s">
        <v>56</v>
      </c>
      <c r="B180" t="s">
        <v>47</v>
      </c>
      <c r="C180">
        <v>0.01</v>
      </c>
      <c r="D180">
        <v>0.1</v>
      </c>
      <c r="E180">
        <v>9.9999999999999995E-8</v>
      </c>
      <c r="F180" t="s">
        <v>13</v>
      </c>
      <c r="G180" t="s">
        <v>11</v>
      </c>
      <c r="H180">
        <v>50</v>
      </c>
      <c r="I180">
        <v>100</v>
      </c>
      <c r="J180" t="s">
        <v>10</v>
      </c>
      <c r="K180">
        <v>190</v>
      </c>
      <c r="L180">
        <v>6500</v>
      </c>
      <c r="M180">
        <v>171.51</v>
      </c>
      <c r="N180">
        <v>6602.2</v>
      </c>
      <c r="O180" t="s">
        <v>1876</v>
      </c>
    </row>
    <row r="181" spans="1:15" x14ac:dyDescent="0.25">
      <c r="A181" t="s">
        <v>56</v>
      </c>
      <c r="B181" t="s">
        <v>47</v>
      </c>
      <c r="C181">
        <v>0.01</v>
      </c>
      <c r="D181">
        <v>0.1</v>
      </c>
      <c r="E181">
        <v>9.9999999999999995E-8</v>
      </c>
      <c r="F181" t="s">
        <v>13</v>
      </c>
      <c r="G181" t="s">
        <v>11</v>
      </c>
      <c r="H181">
        <v>4.4999999999999998E-2</v>
      </c>
      <c r="I181">
        <v>0.1</v>
      </c>
      <c r="J181" t="s">
        <v>10</v>
      </c>
      <c r="K181">
        <v>24</v>
      </c>
      <c r="L181">
        <v>690</v>
      </c>
      <c r="M181">
        <v>23.094000000000001</v>
      </c>
      <c r="N181">
        <v>693.05</v>
      </c>
      <c r="O181" t="s">
        <v>1879</v>
      </c>
    </row>
    <row r="182" spans="1:15" x14ac:dyDescent="0.25">
      <c r="A182" t="s">
        <v>56</v>
      </c>
      <c r="B182" t="s">
        <v>47</v>
      </c>
      <c r="C182">
        <v>0.01</v>
      </c>
      <c r="D182">
        <v>0.1</v>
      </c>
      <c r="E182">
        <v>9.9999999999999995E-7</v>
      </c>
      <c r="F182" t="s">
        <v>13</v>
      </c>
      <c r="G182" t="s">
        <v>11</v>
      </c>
      <c r="H182">
        <v>1E-3</v>
      </c>
      <c r="I182">
        <v>0.02</v>
      </c>
      <c r="J182" t="s">
        <v>10</v>
      </c>
      <c r="K182">
        <v>25</v>
      </c>
      <c r="L182">
        <v>4600</v>
      </c>
      <c r="M182">
        <v>23.099</v>
      </c>
      <c r="N182">
        <v>4618.8</v>
      </c>
      <c r="O182" t="s">
        <v>2659</v>
      </c>
    </row>
    <row r="183" spans="1:15" x14ac:dyDescent="0.25">
      <c r="A183" t="s">
        <v>56</v>
      </c>
      <c r="B183" t="s">
        <v>47</v>
      </c>
      <c r="C183">
        <v>0.01</v>
      </c>
      <c r="D183">
        <v>0.1</v>
      </c>
      <c r="E183">
        <v>9.9999999999999995E-7</v>
      </c>
      <c r="F183" t="s">
        <v>13</v>
      </c>
      <c r="G183" t="s">
        <v>11</v>
      </c>
      <c r="H183">
        <v>20</v>
      </c>
      <c r="I183">
        <v>50</v>
      </c>
      <c r="J183" t="s">
        <v>10</v>
      </c>
      <c r="K183">
        <v>51</v>
      </c>
      <c r="L183">
        <v>4736.8</v>
      </c>
      <c r="M183">
        <v>45.606000000000002</v>
      </c>
      <c r="N183">
        <v>4746.8999999999996</v>
      </c>
      <c r="O183" t="s">
        <v>1884</v>
      </c>
    </row>
    <row r="184" spans="1:15" x14ac:dyDescent="0.25">
      <c r="A184" t="s">
        <v>56</v>
      </c>
      <c r="B184" t="s">
        <v>47</v>
      </c>
      <c r="C184">
        <v>0.01</v>
      </c>
      <c r="D184">
        <v>0.1</v>
      </c>
      <c r="E184">
        <v>9.9999999999999995E-7</v>
      </c>
      <c r="F184" t="s">
        <v>13</v>
      </c>
      <c r="G184" t="s">
        <v>11</v>
      </c>
      <c r="H184">
        <v>4.4999999999999998E-2</v>
      </c>
      <c r="I184">
        <v>0.1</v>
      </c>
      <c r="J184" t="s">
        <v>10</v>
      </c>
      <c r="K184">
        <v>24</v>
      </c>
      <c r="L184">
        <v>690</v>
      </c>
      <c r="M184">
        <v>23.103000000000002</v>
      </c>
      <c r="N184">
        <v>693.03</v>
      </c>
      <c r="O184" t="s">
        <v>1886</v>
      </c>
    </row>
    <row r="185" spans="1:15" x14ac:dyDescent="0.25">
      <c r="A185" t="s">
        <v>56</v>
      </c>
      <c r="B185" t="s">
        <v>47</v>
      </c>
      <c r="C185">
        <v>0.01</v>
      </c>
      <c r="D185">
        <v>0.1</v>
      </c>
      <c r="E185">
        <v>9.9999999999999995E-7</v>
      </c>
      <c r="F185" t="s">
        <v>13</v>
      </c>
      <c r="G185" t="s">
        <v>11</v>
      </c>
      <c r="H185">
        <v>0.1</v>
      </c>
      <c r="I185">
        <v>5</v>
      </c>
      <c r="J185" t="s">
        <v>10</v>
      </c>
      <c r="K185">
        <v>25</v>
      </c>
      <c r="L185">
        <v>355.17</v>
      </c>
      <c r="M185">
        <v>22.960999999999999</v>
      </c>
      <c r="N185">
        <v>364.62</v>
      </c>
      <c r="O185" t="s">
        <v>2660</v>
      </c>
    </row>
    <row r="186" spans="1:15" x14ac:dyDescent="0.25">
      <c r="A186" t="s">
        <v>56</v>
      </c>
      <c r="B186" t="s">
        <v>47</v>
      </c>
      <c r="C186">
        <v>0.01</v>
      </c>
      <c r="D186">
        <v>0.1</v>
      </c>
      <c r="E186">
        <v>9.9999999999999995E-7</v>
      </c>
      <c r="F186" t="s">
        <v>13</v>
      </c>
      <c r="G186" t="s">
        <v>11</v>
      </c>
      <c r="H186">
        <v>5</v>
      </c>
      <c r="I186">
        <v>20</v>
      </c>
      <c r="J186" t="s">
        <v>10</v>
      </c>
      <c r="K186">
        <v>25</v>
      </c>
      <c r="L186">
        <v>712.1</v>
      </c>
      <c r="M186">
        <v>22.9</v>
      </c>
      <c r="N186">
        <v>721.62</v>
      </c>
      <c r="O186" t="s">
        <v>1885</v>
      </c>
    </row>
    <row r="187" spans="1:15" x14ac:dyDescent="0.25">
      <c r="A187" t="s">
        <v>56</v>
      </c>
      <c r="B187" t="s">
        <v>47</v>
      </c>
      <c r="C187">
        <v>0.01</v>
      </c>
      <c r="D187">
        <v>0.1</v>
      </c>
      <c r="E187">
        <v>9.9999999999999995E-7</v>
      </c>
      <c r="F187" t="s">
        <v>13</v>
      </c>
      <c r="G187" t="s">
        <v>11</v>
      </c>
      <c r="H187">
        <v>0.02</v>
      </c>
      <c r="I187">
        <v>4.4999999999999998E-2</v>
      </c>
      <c r="J187" t="s">
        <v>10</v>
      </c>
      <c r="K187">
        <v>27</v>
      </c>
      <c r="L187">
        <v>1700</v>
      </c>
      <c r="M187">
        <v>23.102</v>
      </c>
      <c r="N187">
        <v>1732.1</v>
      </c>
      <c r="O187" t="s">
        <v>1883</v>
      </c>
    </row>
    <row r="188" spans="1:15" x14ac:dyDescent="0.25">
      <c r="A188" t="s">
        <v>56</v>
      </c>
      <c r="B188" t="s">
        <v>47</v>
      </c>
      <c r="C188">
        <v>0.01</v>
      </c>
      <c r="D188">
        <v>0.1</v>
      </c>
      <c r="E188">
        <v>9.9999999999999995E-7</v>
      </c>
      <c r="F188" t="s">
        <v>13</v>
      </c>
      <c r="G188" t="s">
        <v>11</v>
      </c>
      <c r="H188">
        <v>50</v>
      </c>
      <c r="I188">
        <v>100</v>
      </c>
      <c r="J188" t="s">
        <v>10</v>
      </c>
      <c r="K188">
        <v>190</v>
      </c>
      <c r="L188">
        <v>6538.1</v>
      </c>
      <c r="M188">
        <v>171.63</v>
      </c>
      <c r="N188">
        <v>6602.5</v>
      </c>
      <c r="O188" t="s">
        <v>1887</v>
      </c>
    </row>
    <row r="189" spans="1:15" x14ac:dyDescent="0.25">
      <c r="A189" t="s">
        <v>56</v>
      </c>
      <c r="B189" t="s">
        <v>47</v>
      </c>
      <c r="C189">
        <v>0.01</v>
      </c>
      <c r="D189">
        <v>0.1</v>
      </c>
      <c r="E189">
        <v>1.0000000000000001E-5</v>
      </c>
      <c r="F189" t="s">
        <v>13</v>
      </c>
      <c r="G189" t="s">
        <v>11</v>
      </c>
      <c r="H189">
        <v>4.4999999999999998E-2</v>
      </c>
      <c r="I189">
        <v>0.1</v>
      </c>
      <c r="J189" t="s">
        <v>10</v>
      </c>
      <c r="K189">
        <v>24</v>
      </c>
      <c r="L189">
        <v>690</v>
      </c>
      <c r="M189">
        <v>23.701000000000001</v>
      </c>
      <c r="N189">
        <v>689.05</v>
      </c>
      <c r="O189" t="s">
        <v>1892</v>
      </c>
    </row>
    <row r="190" spans="1:15" x14ac:dyDescent="0.25">
      <c r="A190" t="s">
        <v>56</v>
      </c>
      <c r="B190" t="s">
        <v>47</v>
      </c>
      <c r="C190">
        <v>0.01</v>
      </c>
      <c r="D190">
        <v>0.1</v>
      </c>
      <c r="E190">
        <v>1.0000000000000001E-5</v>
      </c>
      <c r="F190" t="s">
        <v>13</v>
      </c>
      <c r="G190" t="s">
        <v>11</v>
      </c>
      <c r="H190">
        <v>0.02</v>
      </c>
      <c r="I190">
        <v>4.4999999999999998E-2</v>
      </c>
      <c r="J190" t="s">
        <v>10</v>
      </c>
      <c r="K190">
        <v>27</v>
      </c>
      <c r="L190">
        <v>1700</v>
      </c>
      <c r="M190">
        <v>23.553999999999998</v>
      </c>
      <c r="N190">
        <v>1728.5</v>
      </c>
      <c r="O190" t="s">
        <v>1888</v>
      </c>
    </row>
    <row r="191" spans="1:15" x14ac:dyDescent="0.25">
      <c r="A191" t="s">
        <v>56</v>
      </c>
      <c r="B191" t="s">
        <v>47</v>
      </c>
      <c r="C191">
        <v>0.01</v>
      </c>
      <c r="D191">
        <v>0.1</v>
      </c>
      <c r="E191">
        <v>1.0000000000000001E-5</v>
      </c>
      <c r="F191" t="s">
        <v>13</v>
      </c>
      <c r="G191" t="s">
        <v>11</v>
      </c>
      <c r="H191">
        <v>1E-3</v>
      </c>
      <c r="I191">
        <v>0.02</v>
      </c>
      <c r="J191" t="s">
        <v>10</v>
      </c>
      <c r="K191">
        <v>25</v>
      </c>
      <c r="L191">
        <v>4600.3999999999996</v>
      </c>
      <c r="M191">
        <v>23.366</v>
      </c>
      <c r="N191">
        <v>4616.5</v>
      </c>
      <c r="O191" t="s">
        <v>2661</v>
      </c>
    </row>
    <row r="192" spans="1:15" x14ac:dyDescent="0.25">
      <c r="A192" t="s">
        <v>56</v>
      </c>
      <c r="B192" t="s">
        <v>47</v>
      </c>
      <c r="C192">
        <v>0.01</v>
      </c>
      <c r="D192">
        <v>0.1</v>
      </c>
      <c r="E192">
        <v>1.0000000000000001E-5</v>
      </c>
      <c r="F192" t="s">
        <v>13</v>
      </c>
      <c r="G192" t="s">
        <v>11</v>
      </c>
      <c r="H192">
        <v>5</v>
      </c>
      <c r="I192">
        <v>20</v>
      </c>
      <c r="J192" t="s">
        <v>10</v>
      </c>
      <c r="K192">
        <v>25</v>
      </c>
      <c r="L192">
        <v>715.16</v>
      </c>
      <c r="M192">
        <v>23.497</v>
      </c>
      <c r="N192">
        <v>717.59</v>
      </c>
      <c r="O192" t="s">
        <v>2662</v>
      </c>
    </row>
    <row r="193" spans="1:15" x14ac:dyDescent="0.25">
      <c r="A193" t="s">
        <v>56</v>
      </c>
      <c r="B193" t="s">
        <v>47</v>
      </c>
      <c r="C193">
        <v>0.01</v>
      </c>
      <c r="D193">
        <v>0.1</v>
      </c>
      <c r="E193">
        <v>1.0000000000000001E-5</v>
      </c>
      <c r="F193" t="s">
        <v>13</v>
      </c>
      <c r="G193" t="s">
        <v>11</v>
      </c>
      <c r="H193">
        <v>0.1</v>
      </c>
      <c r="I193">
        <v>5</v>
      </c>
      <c r="J193" t="s">
        <v>10</v>
      </c>
      <c r="K193">
        <v>25</v>
      </c>
      <c r="L193">
        <v>360.06</v>
      </c>
      <c r="M193">
        <v>23.625</v>
      </c>
      <c r="N193">
        <v>361.08</v>
      </c>
      <c r="O193" t="s">
        <v>1891</v>
      </c>
    </row>
    <row r="194" spans="1:15" x14ac:dyDescent="0.25">
      <c r="A194" t="s">
        <v>56</v>
      </c>
      <c r="B194" t="s">
        <v>47</v>
      </c>
      <c r="C194">
        <v>0.01</v>
      </c>
      <c r="D194">
        <v>0.1</v>
      </c>
      <c r="E194">
        <v>1.0000000000000001E-5</v>
      </c>
      <c r="F194" t="s">
        <v>13</v>
      </c>
      <c r="G194" t="s">
        <v>11</v>
      </c>
      <c r="H194">
        <v>20</v>
      </c>
      <c r="I194">
        <v>50</v>
      </c>
      <c r="J194" t="s">
        <v>10</v>
      </c>
      <c r="K194">
        <v>51</v>
      </c>
      <c r="L194">
        <v>4738</v>
      </c>
      <c r="M194">
        <v>45.823</v>
      </c>
      <c r="N194">
        <v>4745.2</v>
      </c>
      <c r="O194" t="s">
        <v>1890</v>
      </c>
    </row>
    <row r="195" spans="1:15" x14ac:dyDescent="0.25">
      <c r="A195" t="s">
        <v>56</v>
      </c>
      <c r="B195" t="s">
        <v>47</v>
      </c>
      <c r="C195">
        <v>0.01</v>
      </c>
      <c r="D195">
        <v>0.1</v>
      </c>
      <c r="E195">
        <v>1.0000000000000001E-5</v>
      </c>
      <c r="F195" t="s">
        <v>13</v>
      </c>
      <c r="G195" t="s">
        <v>11</v>
      </c>
      <c r="H195">
        <v>50</v>
      </c>
      <c r="I195">
        <v>100</v>
      </c>
      <c r="J195" t="s">
        <v>10</v>
      </c>
      <c r="K195">
        <v>190</v>
      </c>
      <c r="L195">
        <v>6565.8</v>
      </c>
      <c r="M195">
        <v>179.15</v>
      </c>
      <c r="N195">
        <v>6551.2</v>
      </c>
      <c r="O195" t="s">
        <v>1889</v>
      </c>
    </row>
    <row r="196" spans="1:15" x14ac:dyDescent="0.25">
      <c r="A196" t="s">
        <v>56</v>
      </c>
      <c r="B196" t="s">
        <v>47</v>
      </c>
      <c r="C196">
        <v>0.01</v>
      </c>
      <c r="D196">
        <v>0.1</v>
      </c>
      <c r="E196">
        <v>1E-4</v>
      </c>
      <c r="F196" t="s">
        <v>13</v>
      </c>
      <c r="G196" t="s">
        <v>11</v>
      </c>
      <c r="H196">
        <v>5</v>
      </c>
      <c r="I196">
        <v>20</v>
      </c>
      <c r="J196" t="s">
        <v>10</v>
      </c>
      <c r="K196">
        <v>60.128</v>
      </c>
      <c r="L196">
        <v>515.53</v>
      </c>
      <c r="M196">
        <v>60.018000000000001</v>
      </c>
      <c r="N196">
        <v>512.89</v>
      </c>
      <c r="O196" t="s">
        <v>1893</v>
      </c>
    </row>
    <row r="197" spans="1:15" x14ac:dyDescent="0.25">
      <c r="A197" t="s">
        <v>56</v>
      </c>
      <c r="B197" t="s">
        <v>47</v>
      </c>
      <c r="C197">
        <v>0.01</v>
      </c>
      <c r="D197">
        <v>0.1</v>
      </c>
      <c r="E197">
        <v>1E-4</v>
      </c>
      <c r="F197" t="s">
        <v>13</v>
      </c>
      <c r="G197" t="s">
        <v>11</v>
      </c>
      <c r="H197">
        <v>0.1</v>
      </c>
      <c r="I197">
        <v>5</v>
      </c>
      <c r="J197" t="s">
        <v>10</v>
      </c>
      <c r="K197">
        <v>61.548000000000002</v>
      </c>
      <c r="L197">
        <v>219.19</v>
      </c>
      <c r="M197">
        <v>61.448999999999998</v>
      </c>
      <c r="N197">
        <v>215.18</v>
      </c>
      <c r="O197" t="s">
        <v>1895</v>
      </c>
    </row>
    <row r="198" spans="1:15" x14ac:dyDescent="0.25">
      <c r="A198" t="s">
        <v>56</v>
      </c>
      <c r="B198" t="s">
        <v>47</v>
      </c>
      <c r="C198">
        <v>0.01</v>
      </c>
      <c r="D198">
        <v>0.1</v>
      </c>
      <c r="E198">
        <v>1E-4</v>
      </c>
      <c r="F198" t="s">
        <v>13</v>
      </c>
      <c r="G198" t="s">
        <v>11</v>
      </c>
      <c r="H198">
        <v>4.4999999999999998E-2</v>
      </c>
      <c r="I198">
        <v>0.1</v>
      </c>
      <c r="J198" t="s">
        <v>10</v>
      </c>
      <c r="K198">
        <v>60.335999999999999</v>
      </c>
      <c r="L198">
        <v>490.93</v>
      </c>
      <c r="M198">
        <v>60.226999999999997</v>
      </c>
      <c r="N198">
        <v>488.21</v>
      </c>
      <c r="O198" t="s">
        <v>2663</v>
      </c>
    </row>
    <row r="199" spans="1:15" x14ac:dyDescent="0.25">
      <c r="A199" t="s">
        <v>56</v>
      </c>
      <c r="B199" t="s">
        <v>47</v>
      </c>
      <c r="C199">
        <v>0.01</v>
      </c>
      <c r="D199">
        <v>0.1</v>
      </c>
      <c r="E199">
        <v>1E-4</v>
      </c>
      <c r="F199" t="s">
        <v>13</v>
      </c>
      <c r="G199" t="s">
        <v>11</v>
      </c>
      <c r="H199">
        <v>1E-3</v>
      </c>
      <c r="I199">
        <v>0.02</v>
      </c>
      <c r="J199" t="s">
        <v>10</v>
      </c>
      <c r="K199">
        <v>46.067</v>
      </c>
      <c r="L199">
        <v>4424.3999999999996</v>
      </c>
      <c r="M199">
        <v>45.963999999999999</v>
      </c>
      <c r="N199">
        <v>4424.6000000000004</v>
      </c>
      <c r="O199" t="s">
        <v>1896</v>
      </c>
    </row>
    <row r="200" spans="1:15" x14ac:dyDescent="0.25">
      <c r="A200" t="s">
        <v>56</v>
      </c>
      <c r="B200" t="s">
        <v>47</v>
      </c>
      <c r="C200">
        <v>0.01</v>
      </c>
      <c r="D200">
        <v>0.1</v>
      </c>
      <c r="E200">
        <v>1E-4</v>
      </c>
      <c r="F200" t="s">
        <v>13</v>
      </c>
      <c r="G200" t="s">
        <v>11</v>
      </c>
      <c r="H200">
        <v>50</v>
      </c>
      <c r="I200">
        <v>100</v>
      </c>
      <c r="J200" t="s">
        <v>10</v>
      </c>
      <c r="K200">
        <v>582.09</v>
      </c>
      <c r="L200">
        <v>4394.2</v>
      </c>
      <c r="M200">
        <v>581.36</v>
      </c>
      <c r="N200">
        <v>4329.2</v>
      </c>
      <c r="O200" t="s">
        <v>1894</v>
      </c>
    </row>
    <row r="201" spans="1:15" x14ac:dyDescent="0.25">
      <c r="A201" t="s">
        <v>56</v>
      </c>
      <c r="B201" t="s">
        <v>47</v>
      </c>
      <c r="C201">
        <v>0.01</v>
      </c>
      <c r="D201">
        <v>0.1</v>
      </c>
      <c r="E201">
        <v>1E-4</v>
      </c>
      <c r="F201" t="s">
        <v>13</v>
      </c>
      <c r="G201" t="s">
        <v>11</v>
      </c>
      <c r="H201">
        <v>20</v>
      </c>
      <c r="I201">
        <v>50</v>
      </c>
      <c r="J201" t="s">
        <v>10</v>
      </c>
      <c r="K201">
        <v>64.007999999999996</v>
      </c>
      <c r="L201">
        <v>4598.6000000000004</v>
      </c>
      <c r="M201">
        <v>63.621000000000002</v>
      </c>
      <c r="N201">
        <v>4599.3999999999996</v>
      </c>
      <c r="O201" t="s">
        <v>2665</v>
      </c>
    </row>
    <row r="202" spans="1:15" x14ac:dyDescent="0.25">
      <c r="A202" t="s">
        <v>56</v>
      </c>
      <c r="B202" t="s">
        <v>47</v>
      </c>
      <c r="C202">
        <v>0.01</v>
      </c>
      <c r="D202">
        <v>0.1</v>
      </c>
      <c r="E202">
        <v>1E-4</v>
      </c>
      <c r="F202" t="s">
        <v>13</v>
      </c>
      <c r="G202" t="s">
        <v>11</v>
      </c>
      <c r="H202">
        <v>0.02</v>
      </c>
      <c r="I202">
        <v>4.4999999999999998E-2</v>
      </c>
      <c r="J202" t="s">
        <v>10</v>
      </c>
      <c r="K202">
        <v>55.716000000000001</v>
      </c>
      <c r="L202">
        <v>1491.6</v>
      </c>
      <c r="M202">
        <v>55.6</v>
      </c>
      <c r="N202">
        <v>1490.7</v>
      </c>
      <c r="O202" t="s">
        <v>2664</v>
      </c>
    </row>
    <row r="203" spans="1:15" x14ac:dyDescent="0.25">
      <c r="A203" t="s">
        <v>56</v>
      </c>
      <c r="B203" t="s">
        <v>47</v>
      </c>
      <c r="C203">
        <v>0.01</v>
      </c>
      <c r="D203">
        <v>0.1</v>
      </c>
      <c r="E203">
        <v>1E-3</v>
      </c>
      <c r="F203" t="s">
        <v>13</v>
      </c>
      <c r="G203" t="s">
        <v>11</v>
      </c>
      <c r="H203">
        <v>0.02</v>
      </c>
      <c r="I203">
        <v>4.4999999999999998E-2</v>
      </c>
      <c r="J203" t="s">
        <v>10</v>
      </c>
      <c r="K203">
        <v>575.37</v>
      </c>
      <c r="L203">
        <v>347.9</v>
      </c>
      <c r="M203">
        <v>575.33000000000004</v>
      </c>
      <c r="N203">
        <v>345.55</v>
      </c>
      <c r="O203" t="s">
        <v>1901</v>
      </c>
    </row>
    <row r="204" spans="1:15" x14ac:dyDescent="0.25">
      <c r="A204" t="s">
        <v>56</v>
      </c>
      <c r="B204" t="s">
        <v>47</v>
      </c>
      <c r="C204">
        <v>0.01</v>
      </c>
      <c r="D204">
        <v>0.1</v>
      </c>
      <c r="E204">
        <v>1E-3</v>
      </c>
      <c r="F204" t="s">
        <v>13</v>
      </c>
      <c r="G204" t="s">
        <v>11</v>
      </c>
      <c r="H204">
        <v>0.1</v>
      </c>
      <c r="I204">
        <v>5</v>
      </c>
      <c r="J204" t="s">
        <v>10</v>
      </c>
      <c r="K204">
        <v>577.74</v>
      </c>
      <c r="L204">
        <v>30.199000000000002</v>
      </c>
      <c r="M204">
        <v>577.71</v>
      </c>
      <c r="N204">
        <v>27.695</v>
      </c>
      <c r="O204" t="s">
        <v>1903</v>
      </c>
    </row>
    <row r="205" spans="1:15" x14ac:dyDescent="0.25">
      <c r="A205" t="s">
        <v>56</v>
      </c>
      <c r="B205" t="s">
        <v>47</v>
      </c>
      <c r="C205">
        <v>0.01</v>
      </c>
      <c r="D205">
        <v>0.1</v>
      </c>
      <c r="E205">
        <v>1E-3</v>
      </c>
      <c r="F205" t="s">
        <v>13</v>
      </c>
      <c r="G205" t="s">
        <v>11</v>
      </c>
      <c r="H205">
        <v>1E-3</v>
      </c>
      <c r="I205">
        <v>0.02</v>
      </c>
      <c r="J205" t="s">
        <v>10</v>
      </c>
      <c r="K205">
        <v>562.38</v>
      </c>
      <c r="L205">
        <v>1919.1</v>
      </c>
      <c r="M205">
        <v>562.34</v>
      </c>
      <c r="N205">
        <v>1917.3</v>
      </c>
      <c r="O205" t="s">
        <v>1902</v>
      </c>
    </row>
    <row r="206" spans="1:15" x14ac:dyDescent="0.25">
      <c r="A206" t="s">
        <v>56</v>
      </c>
      <c r="B206" t="s">
        <v>47</v>
      </c>
      <c r="C206">
        <v>0.01</v>
      </c>
      <c r="D206">
        <v>0.1</v>
      </c>
      <c r="E206">
        <v>1E-3</v>
      </c>
      <c r="F206" t="s">
        <v>13</v>
      </c>
      <c r="G206" t="s">
        <v>11</v>
      </c>
      <c r="H206">
        <v>5</v>
      </c>
      <c r="I206">
        <v>20</v>
      </c>
      <c r="J206" t="s">
        <v>10</v>
      </c>
      <c r="K206">
        <v>577.41</v>
      </c>
      <c r="L206">
        <v>80.741</v>
      </c>
      <c r="M206">
        <v>577.37</v>
      </c>
      <c r="N206">
        <v>78.263000000000005</v>
      </c>
      <c r="O206" t="s">
        <v>1897</v>
      </c>
    </row>
    <row r="207" spans="1:15" x14ac:dyDescent="0.25">
      <c r="A207" t="s">
        <v>56</v>
      </c>
      <c r="B207" t="s">
        <v>47</v>
      </c>
      <c r="C207">
        <v>0.01</v>
      </c>
      <c r="D207">
        <v>0.1</v>
      </c>
      <c r="E207">
        <v>1E-3</v>
      </c>
      <c r="F207" t="s">
        <v>13</v>
      </c>
      <c r="G207" t="s">
        <v>11</v>
      </c>
      <c r="H207">
        <v>20</v>
      </c>
      <c r="I207">
        <v>50</v>
      </c>
      <c r="J207" t="s">
        <v>10</v>
      </c>
      <c r="K207">
        <v>563.71</v>
      </c>
      <c r="L207">
        <v>2145.1999999999998</v>
      </c>
      <c r="M207">
        <v>563.49</v>
      </c>
      <c r="N207">
        <v>2139.1999999999998</v>
      </c>
      <c r="O207" t="s">
        <v>1899</v>
      </c>
    </row>
    <row r="208" spans="1:15" x14ac:dyDescent="0.25">
      <c r="A208" t="s">
        <v>56</v>
      </c>
      <c r="B208" t="s">
        <v>47</v>
      </c>
      <c r="C208">
        <v>0.01</v>
      </c>
      <c r="D208">
        <v>0.1</v>
      </c>
      <c r="E208">
        <v>1E-3</v>
      </c>
      <c r="F208" t="s">
        <v>13</v>
      </c>
      <c r="G208" t="s">
        <v>11</v>
      </c>
      <c r="H208">
        <v>50</v>
      </c>
      <c r="I208">
        <v>100</v>
      </c>
      <c r="J208" t="s">
        <v>10</v>
      </c>
      <c r="K208">
        <v>5772.5</v>
      </c>
      <c r="L208">
        <v>669.65</v>
      </c>
      <c r="M208">
        <v>5772.4</v>
      </c>
      <c r="N208">
        <v>620.29999999999995</v>
      </c>
      <c r="O208" t="s">
        <v>1900</v>
      </c>
    </row>
    <row r="209" spans="1:15" x14ac:dyDescent="0.25">
      <c r="A209" t="s">
        <v>56</v>
      </c>
      <c r="B209" t="s">
        <v>47</v>
      </c>
      <c r="C209">
        <v>0.01</v>
      </c>
      <c r="D209">
        <v>0.1</v>
      </c>
      <c r="E209">
        <v>1E-3</v>
      </c>
      <c r="F209" t="s">
        <v>13</v>
      </c>
      <c r="G209" t="s">
        <v>11</v>
      </c>
      <c r="H209">
        <v>4.4999999999999998E-2</v>
      </c>
      <c r="I209">
        <v>0.1</v>
      </c>
      <c r="J209" t="s">
        <v>10</v>
      </c>
      <c r="K209">
        <v>577.45000000000005</v>
      </c>
      <c r="L209">
        <v>76.063000000000002</v>
      </c>
      <c r="M209">
        <v>577.41</v>
      </c>
      <c r="N209">
        <v>73.581999999999994</v>
      </c>
      <c r="O209" t="s">
        <v>1898</v>
      </c>
    </row>
    <row r="210" spans="1:15" x14ac:dyDescent="0.25">
      <c r="A210" t="s">
        <v>56</v>
      </c>
      <c r="B210" t="s">
        <v>47</v>
      </c>
      <c r="C210">
        <v>0.1</v>
      </c>
      <c r="D210">
        <v>1</v>
      </c>
      <c r="E210">
        <v>9.9999999999999995E-7</v>
      </c>
      <c r="F210" t="s">
        <v>13</v>
      </c>
      <c r="G210" t="s">
        <v>12</v>
      </c>
      <c r="H210">
        <v>20</v>
      </c>
      <c r="I210">
        <v>50</v>
      </c>
      <c r="J210" t="s">
        <v>10</v>
      </c>
      <c r="K210">
        <v>0.47</v>
      </c>
      <c r="L210">
        <v>12</v>
      </c>
      <c r="M210">
        <v>0.44152000000000002</v>
      </c>
      <c r="N210">
        <v>11.792</v>
      </c>
      <c r="O210" t="s">
        <v>1909</v>
      </c>
    </row>
    <row r="211" spans="1:15" x14ac:dyDescent="0.25">
      <c r="A211" t="s">
        <v>56</v>
      </c>
      <c r="B211" t="s">
        <v>47</v>
      </c>
      <c r="C211">
        <v>0.1</v>
      </c>
      <c r="D211">
        <v>1</v>
      </c>
      <c r="E211">
        <v>9.9999999999999995E-7</v>
      </c>
      <c r="F211" t="s">
        <v>13</v>
      </c>
      <c r="G211" t="s">
        <v>12</v>
      </c>
      <c r="H211">
        <v>0.02</v>
      </c>
      <c r="I211">
        <v>4.4999999999999998E-2</v>
      </c>
      <c r="J211" t="s">
        <v>10</v>
      </c>
      <c r="K211">
        <v>0.28000000000000003</v>
      </c>
      <c r="L211">
        <v>1.8</v>
      </c>
      <c r="M211">
        <v>0.23096</v>
      </c>
      <c r="N211">
        <v>1.8475999999999999</v>
      </c>
      <c r="O211" t="s">
        <v>1907</v>
      </c>
    </row>
    <row r="212" spans="1:15" x14ac:dyDescent="0.25">
      <c r="A212" t="s">
        <v>56</v>
      </c>
      <c r="B212" t="s">
        <v>47</v>
      </c>
      <c r="C212">
        <v>0.1</v>
      </c>
      <c r="D212">
        <v>1</v>
      </c>
      <c r="E212">
        <v>9.9999999999999995E-7</v>
      </c>
      <c r="F212" t="s">
        <v>13</v>
      </c>
      <c r="G212" t="s">
        <v>12</v>
      </c>
      <c r="H212">
        <v>1E-3</v>
      </c>
      <c r="I212">
        <v>0.02</v>
      </c>
      <c r="J212" t="s">
        <v>10</v>
      </c>
      <c r="K212">
        <v>0.25</v>
      </c>
      <c r="L212">
        <v>4.5999999999999996</v>
      </c>
      <c r="M212">
        <v>0.23096</v>
      </c>
      <c r="N212">
        <v>4.6188000000000002</v>
      </c>
      <c r="O212" t="s">
        <v>1904</v>
      </c>
    </row>
    <row r="213" spans="1:15" x14ac:dyDescent="0.25">
      <c r="A213" t="s">
        <v>56</v>
      </c>
      <c r="B213" t="s">
        <v>47</v>
      </c>
      <c r="C213">
        <v>0.1</v>
      </c>
      <c r="D213">
        <v>1</v>
      </c>
      <c r="E213">
        <v>9.9999999999999995E-7</v>
      </c>
      <c r="F213" t="s">
        <v>13</v>
      </c>
      <c r="G213" t="s">
        <v>12</v>
      </c>
      <c r="H213">
        <v>5</v>
      </c>
      <c r="I213">
        <v>20</v>
      </c>
      <c r="J213" t="s">
        <v>10</v>
      </c>
      <c r="K213">
        <v>0.27</v>
      </c>
      <c r="L213">
        <v>3.5</v>
      </c>
      <c r="M213">
        <v>0.22313</v>
      </c>
      <c r="N213">
        <v>3.5466000000000002</v>
      </c>
      <c r="O213" t="s">
        <v>1906</v>
      </c>
    </row>
    <row r="214" spans="1:15" x14ac:dyDescent="0.25">
      <c r="A214" t="s">
        <v>56</v>
      </c>
      <c r="B214" t="s">
        <v>47</v>
      </c>
      <c r="C214">
        <v>0.1</v>
      </c>
      <c r="D214">
        <v>1</v>
      </c>
      <c r="E214">
        <v>9.9999999999999995E-7</v>
      </c>
      <c r="F214" t="s">
        <v>13</v>
      </c>
      <c r="G214" t="s">
        <v>12</v>
      </c>
      <c r="H214">
        <v>0.1</v>
      </c>
      <c r="I214">
        <v>5</v>
      </c>
      <c r="J214" t="s">
        <v>10</v>
      </c>
      <c r="K214">
        <v>0.24</v>
      </c>
      <c r="L214">
        <v>1.2</v>
      </c>
      <c r="M214">
        <v>0.22816</v>
      </c>
      <c r="N214">
        <v>1.1855</v>
      </c>
      <c r="O214" t="s">
        <v>1908</v>
      </c>
    </row>
    <row r="215" spans="1:15" x14ac:dyDescent="0.25">
      <c r="A215" t="s">
        <v>56</v>
      </c>
      <c r="B215" t="s">
        <v>47</v>
      </c>
      <c r="C215">
        <v>0.1</v>
      </c>
      <c r="D215">
        <v>1</v>
      </c>
      <c r="E215">
        <v>9.9999999999999995E-7</v>
      </c>
      <c r="F215" t="s">
        <v>13</v>
      </c>
      <c r="G215" t="s">
        <v>12</v>
      </c>
      <c r="H215">
        <v>4.4999999999999998E-2</v>
      </c>
      <c r="I215">
        <v>0.1</v>
      </c>
      <c r="J215" t="s">
        <v>10</v>
      </c>
      <c r="K215">
        <v>0.24</v>
      </c>
      <c r="L215">
        <v>0.92</v>
      </c>
      <c r="M215">
        <v>0.23091</v>
      </c>
      <c r="N215">
        <v>0.92432000000000003</v>
      </c>
      <c r="O215" t="s">
        <v>1905</v>
      </c>
    </row>
    <row r="216" spans="1:15" x14ac:dyDescent="0.25">
      <c r="A216" t="s">
        <v>56</v>
      </c>
      <c r="B216" t="s">
        <v>47</v>
      </c>
      <c r="C216">
        <v>0.1</v>
      </c>
      <c r="D216">
        <v>1</v>
      </c>
      <c r="E216">
        <v>1.0000000000000001E-5</v>
      </c>
      <c r="F216" t="s">
        <v>13</v>
      </c>
      <c r="G216" t="s">
        <v>12</v>
      </c>
      <c r="H216">
        <v>0.02</v>
      </c>
      <c r="I216">
        <v>4.4999999999999998E-2</v>
      </c>
      <c r="J216" t="s">
        <v>10</v>
      </c>
      <c r="K216">
        <v>0.28000000000000003</v>
      </c>
      <c r="L216">
        <v>1.8</v>
      </c>
      <c r="M216">
        <v>0.23102</v>
      </c>
      <c r="N216">
        <v>1.8475999999999999</v>
      </c>
      <c r="O216" t="s">
        <v>1911</v>
      </c>
    </row>
    <row r="217" spans="1:15" x14ac:dyDescent="0.25">
      <c r="A217" t="s">
        <v>56</v>
      </c>
      <c r="B217" t="s">
        <v>47</v>
      </c>
      <c r="C217">
        <v>0.1</v>
      </c>
      <c r="D217">
        <v>1</v>
      </c>
      <c r="E217">
        <v>1.0000000000000001E-5</v>
      </c>
      <c r="F217" t="s">
        <v>13</v>
      </c>
      <c r="G217" t="s">
        <v>12</v>
      </c>
      <c r="H217">
        <v>4.4999999999999998E-2</v>
      </c>
      <c r="I217">
        <v>0.1</v>
      </c>
      <c r="J217" t="s">
        <v>10</v>
      </c>
      <c r="K217">
        <v>0.24</v>
      </c>
      <c r="L217">
        <v>0.92</v>
      </c>
      <c r="M217">
        <v>0.23100999999999999</v>
      </c>
      <c r="N217">
        <v>0.92427000000000004</v>
      </c>
      <c r="O217" t="s">
        <v>1910</v>
      </c>
    </row>
    <row r="218" spans="1:15" x14ac:dyDescent="0.25">
      <c r="A218" t="s">
        <v>56</v>
      </c>
      <c r="B218" t="s">
        <v>47</v>
      </c>
      <c r="C218">
        <v>0.1</v>
      </c>
      <c r="D218">
        <v>1</v>
      </c>
      <c r="E218">
        <v>1.0000000000000001E-5</v>
      </c>
      <c r="F218" t="s">
        <v>13</v>
      </c>
      <c r="G218" t="s">
        <v>12</v>
      </c>
      <c r="H218">
        <v>0.1</v>
      </c>
      <c r="I218">
        <v>5</v>
      </c>
      <c r="J218" t="s">
        <v>10</v>
      </c>
      <c r="K218">
        <v>0.24</v>
      </c>
      <c r="L218">
        <v>1.2</v>
      </c>
      <c r="M218">
        <v>0.2283</v>
      </c>
      <c r="N218">
        <v>1.1854</v>
      </c>
      <c r="O218" t="s">
        <v>2666</v>
      </c>
    </row>
    <row r="219" spans="1:15" x14ac:dyDescent="0.25">
      <c r="A219" t="s">
        <v>56</v>
      </c>
      <c r="B219" t="s">
        <v>47</v>
      </c>
      <c r="C219">
        <v>0.1</v>
      </c>
      <c r="D219">
        <v>1</v>
      </c>
      <c r="E219">
        <v>1.0000000000000001E-5</v>
      </c>
      <c r="F219" t="s">
        <v>13</v>
      </c>
      <c r="G219" t="s">
        <v>12</v>
      </c>
      <c r="H219">
        <v>20</v>
      </c>
      <c r="I219">
        <v>50</v>
      </c>
      <c r="J219" t="s">
        <v>10</v>
      </c>
      <c r="K219">
        <v>0.47</v>
      </c>
      <c r="L219">
        <v>12</v>
      </c>
      <c r="M219">
        <v>0.44162000000000001</v>
      </c>
      <c r="N219">
        <v>11.792</v>
      </c>
      <c r="O219" t="s">
        <v>1914</v>
      </c>
    </row>
    <row r="220" spans="1:15" x14ac:dyDescent="0.25">
      <c r="A220" t="s">
        <v>56</v>
      </c>
      <c r="B220" t="s">
        <v>47</v>
      </c>
      <c r="C220">
        <v>0.1</v>
      </c>
      <c r="D220">
        <v>1</v>
      </c>
      <c r="E220">
        <v>1.0000000000000001E-5</v>
      </c>
      <c r="F220" t="s">
        <v>13</v>
      </c>
      <c r="G220" t="s">
        <v>12</v>
      </c>
      <c r="H220">
        <v>1E-3</v>
      </c>
      <c r="I220">
        <v>0.02</v>
      </c>
      <c r="J220" t="s">
        <v>10</v>
      </c>
      <c r="K220">
        <v>0.25</v>
      </c>
      <c r="L220">
        <v>4.5999999999999996</v>
      </c>
      <c r="M220">
        <v>0.23100000000000001</v>
      </c>
      <c r="N220">
        <v>4.6188000000000002</v>
      </c>
      <c r="O220" t="s">
        <v>1912</v>
      </c>
    </row>
    <row r="221" spans="1:15" x14ac:dyDescent="0.25">
      <c r="A221" t="s">
        <v>56</v>
      </c>
      <c r="B221" t="s">
        <v>47</v>
      </c>
      <c r="C221">
        <v>0.1</v>
      </c>
      <c r="D221">
        <v>1</v>
      </c>
      <c r="E221">
        <v>1.0000000000000001E-5</v>
      </c>
      <c r="F221" t="s">
        <v>13</v>
      </c>
      <c r="G221" t="s">
        <v>12</v>
      </c>
      <c r="H221">
        <v>5</v>
      </c>
      <c r="I221">
        <v>20</v>
      </c>
      <c r="J221" t="s">
        <v>10</v>
      </c>
      <c r="K221">
        <v>0.27</v>
      </c>
      <c r="L221">
        <v>3.5331000000000001</v>
      </c>
      <c r="M221">
        <v>0.22319</v>
      </c>
      <c r="N221">
        <v>3.5466000000000002</v>
      </c>
      <c r="O221" t="s">
        <v>1913</v>
      </c>
    </row>
    <row r="222" spans="1:15" x14ac:dyDescent="0.25">
      <c r="A222" t="s">
        <v>56</v>
      </c>
      <c r="B222" t="s">
        <v>47</v>
      </c>
      <c r="C222">
        <v>0.1</v>
      </c>
      <c r="D222">
        <v>1</v>
      </c>
      <c r="E222">
        <v>1E-4</v>
      </c>
      <c r="F222" t="s">
        <v>13</v>
      </c>
      <c r="G222" t="s">
        <v>12</v>
      </c>
      <c r="H222">
        <v>20</v>
      </c>
      <c r="I222">
        <v>50</v>
      </c>
      <c r="J222" t="s">
        <v>10</v>
      </c>
      <c r="K222">
        <v>0.47</v>
      </c>
      <c r="L222">
        <v>12</v>
      </c>
      <c r="M222">
        <v>0.44312000000000001</v>
      </c>
      <c r="N222">
        <v>11.791</v>
      </c>
      <c r="O222" t="s">
        <v>1918</v>
      </c>
    </row>
    <row r="223" spans="1:15" x14ac:dyDescent="0.25">
      <c r="A223" t="s">
        <v>56</v>
      </c>
      <c r="B223" t="s">
        <v>47</v>
      </c>
      <c r="C223">
        <v>0.1</v>
      </c>
      <c r="D223">
        <v>1</v>
      </c>
      <c r="E223">
        <v>1E-4</v>
      </c>
      <c r="F223" t="s">
        <v>13</v>
      </c>
      <c r="G223" t="s">
        <v>12</v>
      </c>
      <c r="H223">
        <v>4.4999999999999998E-2</v>
      </c>
      <c r="I223">
        <v>0.1</v>
      </c>
      <c r="J223" t="s">
        <v>10</v>
      </c>
      <c r="K223">
        <v>0.24</v>
      </c>
      <c r="L223">
        <v>0.92</v>
      </c>
      <c r="M223">
        <v>0.23663999999999999</v>
      </c>
      <c r="N223">
        <v>0.92018</v>
      </c>
      <c r="O223" t="s">
        <v>1916</v>
      </c>
    </row>
    <row r="224" spans="1:15" x14ac:dyDescent="0.25">
      <c r="A224" t="s">
        <v>56</v>
      </c>
      <c r="B224" t="s">
        <v>47</v>
      </c>
      <c r="C224">
        <v>0.1</v>
      </c>
      <c r="D224">
        <v>1</v>
      </c>
      <c r="E224">
        <v>1E-4</v>
      </c>
      <c r="F224" t="s">
        <v>13</v>
      </c>
      <c r="G224" t="s">
        <v>12</v>
      </c>
      <c r="H224">
        <v>0.02</v>
      </c>
      <c r="I224">
        <v>4.4999999999999998E-2</v>
      </c>
      <c r="J224" t="s">
        <v>10</v>
      </c>
      <c r="K224">
        <v>0.28000000000000003</v>
      </c>
      <c r="L224">
        <v>1.8</v>
      </c>
      <c r="M224">
        <v>0.23544999999999999</v>
      </c>
      <c r="N224">
        <v>1.8440000000000001</v>
      </c>
      <c r="O224" t="s">
        <v>1919</v>
      </c>
    </row>
    <row r="225" spans="1:15" x14ac:dyDescent="0.25">
      <c r="A225" t="s">
        <v>56</v>
      </c>
      <c r="B225" t="s">
        <v>47</v>
      </c>
      <c r="C225">
        <v>0.1</v>
      </c>
      <c r="D225">
        <v>1</v>
      </c>
      <c r="E225">
        <v>1E-4</v>
      </c>
      <c r="F225" t="s">
        <v>13</v>
      </c>
      <c r="G225" t="s">
        <v>12</v>
      </c>
      <c r="H225">
        <v>1E-3</v>
      </c>
      <c r="I225">
        <v>0.02</v>
      </c>
      <c r="J225" t="s">
        <v>10</v>
      </c>
      <c r="K225">
        <v>0.25</v>
      </c>
      <c r="L225">
        <v>4.6002999999999998</v>
      </c>
      <c r="M225">
        <v>0.23368</v>
      </c>
      <c r="N225">
        <v>4.6165000000000003</v>
      </c>
      <c r="O225" t="s">
        <v>2667</v>
      </c>
    </row>
    <row r="226" spans="1:15" x14ac:dyDescent="0.25">
      <c r="A226" t="s">
        <v>56</v>
      </c>
      <c r="B226" t="s">
        <v>47</v>
      </c>
      <c r="C226">
        <v>0.1</v>
      </c>
      <c r="D226">
        <v>1</v>
      </c>
      <c r="E226">
        <v>1E-4</v>
      </c>
      <c r="F226" t="s">
        <v>13</v>
      </c>
      <c r="G226" t="s">
        <v>12</v>
      </c>
      <c r="H226">
        <v>0.1</v>
      </c>
      <c r="I226">
        <v>5</v>
      </c>
      <c r="J226" t="s">
        <v>10</v>
      </c>
      <c r="K226">
        <v>0.24</v>
      </c>
      <c r="L226">
        <v>1.2</v>
      </c>
      <c r="M226">
        <v>0.23355999999999999</v>
      </c>
      <c r="N226">
        <v>1.1814</v>
      </c>
      <c r="O226" t="s">
        <v>1917</v>
      </c>
    </row>
    <row r="227" spans="1:15" x14ac:dyDescent="0.25">
      <c r="A227" t="s">
        <v>56</v>
      </c>
      <c r="B227" t="s">
        <v>47</v>
      </c>
      <c r="C227">
        <v>0.1</v>
      </c>
      <c r="D227">
        <v>1</v>
      </c>
      <c r="E227">
        <v>1E-4</v>
      </c>
      <c r="F227" t="s">
        <v>13</v>
      </c>
      <c r="G227" t="s">
        <v>12</v>
      </c>
      <c r="H227">
        <v>5</v>
      </c>
      <c r="I227">
        <v>20</v>
      </c>
      <c r="J227" t="s">
        <v>10</v>
      </c>
      <c r="K227">
        <v>0.27</v>
      </c>
      <c r="L227">
        <v>3.5337999999999998</v>
      </c>
      <c r="M227">
        <v>0.22642000000000001</v>
      </c>
      <c r="N227">
        <v>3.5438000000000001</v>
      </c>
      <c r="O227" t="s">
        <v>1915</v>
      </c>
    </row>
    <row r="228" spans="1:15" x14ac:dyDescent="0.25">
      <c r="A228" t="s">
        <v>56</v>
      </c>
      <c r="B228" t="s">
        <v>47</v>
      </c>
      <c r="C228">
        <v>0.1</v>
      </c>
      <c r="D228">
        <v>1</v>
      </c>
      <c r="E228">
        <v>1E-3</v>
      </c>
      <c r="F228" t="s">
        <v>13</v>
      </c>
      <c r="G228" t="s">
        <v>12</v>
      </c>
      <c r="H228">
        <v>1E-3</v>
      </c>
      <c r="I228">
        <v>0.02</v>
      </c>
      <c r="J228" t="s">
        <v>10</v>
      </c>
      <c r="K228">
        <v>0.46103</v>
      </c>
      <c r="L228">
        <v>4.4237000000000002</v>
      </c>
      <c r="M228">
        <v>0.45974999999999999</v>
      </c>
      <c r="N228">
        <v>4.4244000000000003</v>
      </c>
      <c r="O228" t="s">
        <v>2668</v>
      </c>
    </row>
    <row r="229" spans="1:15" x14ac:dyDescent="0.25">
      <c r="A229" t="s">
        <v>56</v>
      </c>
      <c r="B229" t="s">
        <v>47</v>
      </c>
      <c r="C229">
        <v>0.1</v>
      </c>
      <c r="D229">
        <v>1</v>
      </c>
      <c r="E229">
        <v>1E-3</v>
      </c>
      <c r="F229" t="s">
        <v>13</v>
      </c>
      <c r="G229" t="s">
        <v>12</v>
      </c>
      <c r="H229">
        <v>20</v>
      </c>
      <c r="I229">
        <v>50</v>
      </c>
      <c r="J229" t="s">
        <v>10</v>
      </c>
      <c r="K229">
        <v>0.53612000000000004</v>
      </c>
      <c r="L229">
        <v>11.933999999999999</v>
      </c>
      <c r="M229">
        <v>0.5524</v>
      </c>
      <c r="N229">
        <v>11.696999999999999</v>
      </c>
      <c r="O229" t="s">
        <v>1921</v>
      </c>
    </row>
    <row r="230" spans="1:15" x14ac:dyDescent="0.25">
      <c r="A230" t="s">
        <v>56</v>
      </c>
      <c r="B230" t="s">
        <v>47</v>
      </c>
      <c r="C230">
        <v>0.1</v>
      </c>
      <c r="D230">
        <v>1</v>
      </c>
      <c r="E230">
        <v>1E-3</v>
      </c>
      <c r="F230" t="s">
        <v>13</v>
      </c>
      <c r="G230" t="s">
        <v>12</v>
      </c>
      <c r="H230">
        <v>5</v>
      </c>
      <c r="I230">
        <v>20</v>
      </c>
      <c r="J230" t="s">
        <v>10</v>
      </c>
      <c r="K230">
        <v>0.48562</v>
      </c>
      <c r="L230">
        <v>3.3290000000000002</v>
      </c>
      <c r="M230">
        <v>0.48418</v>
      </c>
      <c r="N230">
        <v>3.3296999999999999</v>
      </c>
      <c r="O230" t="s">
        <v>2669</v>
      </c>
    </row>
    <row r="231" spans="1:15" x14ac:dyDescent="0.25">
      <c r="A231" t="s">
        <v>56</v>
      </c>
      <c r="B231" t="s">
        <v>47</v>
      </c>
      <c r="C231">
        <v>0.1</v>
      </c>
      <c r="D231">
        <v>1</v>
      </c>
      <c r="E231">
        <v>1E-3</v>
      </c>
      <c r="F231" t="s">
        <v>13</v>
      </c>
      <c r="G231" t="s">
        <v>12</v>
      </c>
      <c r="H231">
        <v>0.02</v>
      </c>
      <c r="I231">
        <v>4.4999999999999998E-2</v>
      </c>
      <c r="J231" t="s">
        <v>10</v>
      </c>
      <c r="K231">
        <v>0.55279</v>
      </c>
      <c r="L231">
        <v>1.6061000000000001</v>
      </c>
      <c r="M231">
        <v>0.55118</v>
      </c>
      <c r="N231">
        <v>1.6064000000000001</v>
      </c>
      <c r="O231" t="s">
        <v>1920</v>
      </c>
    </row>
    <row r="232" spans="1:15" x14ac:dyDescent="0.25">
      <c r="A232" t="s">
        <v>56</v>
      </c>
      <c r="B232" t="s">
        <v>47</v>
      </c>
      <c r="C232">
        <v>0.1</v>
      </c>
      <c r="D232">
        <v>1</v>
      </c>
      <c r="E232">
        <v>1E-3</v>
      </c>
      <c r="F232" t="s">
        <v>13</v>
      </c>
      <c r="G232" t="s">
        <v>12</v>
      </c>
      <c r="H232">
        <v>4.4999999999999998E-2</v>
      </c>
      <c r="I232">
        <v>0.1</v>
      </c>
      <c r="J232" t="s">
        <v>10</v>
      </c>
      <c r="K232">
        <v>0.59375999999999995</v>
      </c>
      <c r="L232">
        <v>0.70043999999999995</v>
      </c>
      <c r="M232">
        <v>0.59214999999999995</v>
      </c>
      <c r="N232">
        <v>0.69986000000000004</v>
      </c>
      <c r="O232" t="s">
        <v>1923</v>
      </c>
    </row>
    <row r="233" spans="1:15" x14ac:dyDescent="0.25">
      <c r="A233" t="s">
        <v>56</v>
      </c>
      <c r="B233" t="s">
        <v>47</v>
      </c>
      <c r="C233">
        <v>0.1</v>
      </c>
      <c r="D233">
        <v>1</v>
      </c>
      <c r="E233">
        <v>1E-3</v>
      </c>
      <c r="F233" t="s">
        <v>13</v>
      </c>
      <c r="G233" t="s">
        <v>12</v>
      </c>
      <c r="H233">
        <v>0.1</v>
      </c>
      <c r="I233">
        <v>5</v>
      </c>
      <c r="J233" t="s">
        <v>10</v>
      </c>
      <c r="K233">
        <v>0.58062000000000002</v>
      </c>
      <c r="L233">
        <v>0.94869999999999999</v>
      </c>
      <c r="M233">
        <v>0.57901000000000002</v>
      </c>
      <c r="N233">
        <v>0.94845999999999997</v>
      </c>
      <c r="O233" t="s">
        <v>1922</v>
      </c>
    </row>
    <row r="234" spans="1:15" x14ac:dyDescent="0.25">
      <c r="A234" t="s">
        <v>56</v>
      </c>
      <c r="B234" t="s">
        <v>47</v>
      </c>
      <c r="C234">
        <v>0.1</v>
      </c>
      <c r="D234">
        <v>1</v>
      </c>
      <c r="E234">
        <v>0.01</v>
      </c>
      <c r="F234" t="s">
        <v>13</v>
      </c>
      <c r="G234" t="s">
        <v>12</v>
      </c>
      <c r="H234">
        <v>0.02</v>
      </c>
      <c r="I234">
        <v>4.4999999999999998E-2</v>
      </c>
      <c r="J234" t="s">
        <v>10</v>
      </c>
      <c r="K234">
        <v>5.7507000000000001</v>
      </c>
      <c r="L234">
        <v>0.38796999999999998</v>
      </c>
      <c r="M234">
        <v>5.75</v>
      </c>
      <c r="N234">
        <v>0.38675999999999999</v>
      </c>
      <c r="O234" t="s">
        <v>1926</v>
      </c>
    </row>
    <row r="235" spans="1:15" x14ac:dyDescent="0.25">
      <c r="A235" t="s">
        <v>56</v>
      </c>
      <c r="B235" t="s">
        <v>47</v>
      </c>
      <c r="C235">
        <v>0.1</v>
      </c>
      <c r="D235">
        <v>1</v>
      </c>
      <c r="E235">
        <v>0.01</v>
      </c>
      <c r="F235" t="s">
        <v>13</v>
      </c>
      <c r="G235" t="s">
        <v>12</v>
      </c>
      <c r="H235">
        <v>4.4999999999999998E-2</v>
      </c>
      <c r="I235">
        <v>0.1</v>
      </c>
      <c r="J235" t="s">
        <v>10</v>
      </c>
      <c r="K235">
        <v>5.7717000000000001</v>
      </c>
      <c r="L235">
        <v>0.11872000000000001</v>
      </c>
      <c r="M235">
        <v>5.7709999999999999</v>
      </c>
      <c r="N235">
        <v>0.11743000000000001</v>
      </c>
      <c r="O235" t="s">
        <v>1925</v>
      </c>
    </row>
    <row r="236" spans="1:15" x14ac:dyDescent="0.25">
      <c r="A236" t="s">
        <v>56</v>
      </c>
      <c r="B236" t="s">
        <v>47</v>
      </c>
      <c r="C236">
        <v>0.1</v>
      </c>
      <c r="D236">
        <v>1</v>
      </c>
      <c r="E236">
        <v>0.01</v>
      </c>
      <c r="F236" t="s">
        <v>13</v>
      </c>
      <c r="G236" t="s">
        <v>12</v>
      </c>
      <c r="H236">
        <v>20</v>
      </c>
      <c r="I236">
        <v>50</v>
      </c>
      <c r="J236" t="s">
        <v>10</v>
      </c>
      <c r="K236">
        <v>5.1677999999999997</v>
      </c>
      <c r="L236">
        <v>8.3948999999999998</v>
      </c>
      <c r="M236">
        <v>5.1615000000000002</v>
      </c>
      <c r="N236">
        <v>8.3731000000000009</v>
      </c>
      <c r="O236" t="s">
        <v>1927</v>
      </c>
    </row>
    <row r="237" spans="1:15" x14ac:dyDescent="0.25">
      <c r="A237" t="s">
        <v>56</v>
      </c>
      <c r="B237" t="s">
        <v>47</v>
      </c>
      <c r="C237">
        <v>0.1</v>
      </c>
      <c r="D237">
        <v>1</v>
      </c>
      <c r="E237">
        <v>0.01</v>
      </c>
      <c r="F237" t="s">
        <v>13</v>
      </c>
      <c r="G237" t="s">
        <v>12</v>
      </c>
      <c r="H237">
        <v>0.1</v>
      </c>
      <c r="I237">
        <v>5</v>
      </c>
      <c r="J237" t="s">
        <v>10</v>
      </c>
      <c r="K237">
        <v>5.7670000000000003</v>
      </c>
      <c r="L237">
        <v>0.17953</v>
      </c>
      <c r="M237">
        <v>5.7663000000000002</v>
      </c>
      <c r="N237">
        <v>0.17826</v>
      </c>
      <c r="O237" t="s">
        <v>1924</v>
      </c>
    </row>
    <row r="238" spans="1:15" x14ac:dyDescent="0.25">
      <c r="A238" t="s">
        <v>56</v>
      </c>
      <c r="B238" t="s">
        <v>47</v>
      </c>
      <c r="C238">
        <v>0.1</v>
      </c>
      <c r="D238">
        <v>1</v>
      </c>
      <c r="E238">
        <v>0.01</v>
      </c>
      <c r="F238" t="s">
        <v>13</v>
      </c>
      <c r="G238" t="s">
        <v>12</v>
      </c>
      <c r="H238">
        <v>5</v>
      </c>
      <c r="I238">
        <v>20</v>
      </c>
      <c r="J238" t="s">
        <v>10</v>
      </c>
      <c r="K238">
        <v>5.6818</v>
      </c>
      <c r="L238">
        <v>1.2155</v>
      </c>
      <c r="M238">
        <v>5.6810999999999998</v>
      </c>
      <c r="N238">
        <v>1.2145999999999999</v>
      </c>
      <c r="O238" t="s">
        <v>2670</v>
      </c>
    </row>
    <row r="239" spans="1:15" x14ac:dyDescent="0.25">
      <c r="A239" t="s">
        <v>56</v>
      </c>
      <c r="B239" t="s">
        <v>47</v>
      </c>
      <c r="C239">
        <v>0.1</v>
      </c>
      <c r="D239">
        <v>1</v>
      </c>
      <c r="E239">
        <v>0.01</v>
      </c>
      <c r="F239" t="s">
        <v>13</v>
      </c>
      <c r="G239" t="s">
        <v>12</v>
      </c>
      <c r="H239">
        <v>1E-3</v>
      </c>
      <c r="I239">
        <v>0.02</v>
      </c>
      <c r="J239" t="s">
        <v>10</v>
      </c>
      <c r="K239">
        <v>5.6242000000000001</v>
      </c>
      <c r="L239">
        <v>1.9178999999999999</v>
      </c>
      <c r="M239">
        <v>5.6234999999999999</v>
      </c>
      <c r="N239">
        <v>1.9171</v>
      </c>
      <c r="O239" t="s">
        <v>2671</v>
      </c>
    </row>
    <row r="240" spans="1:15" x14ac:dyDescent="0.25">
      <c r="A240" t="s">
        <v>56</v>
      </c>
      <c r="B240" t="s">
        <v>47</v>
      </c>
      <c r="C240">
        <v>1</v>
      </c>
      <c r="D240">
        <v>10</v>
      </c>
      <c r="E240">
        <v>1.0000000000000001E-5</v>
      </c>
      <c r="F240" t="s">
        <v>13</v>
      </c>
      <c r="G240" t="s">
        <v>12</v>
      </c>
      <c r="H240">
        <v>1E-3</v>
      </c>
      <c r="I240">
        <v>0.05</v>
      </c>
      <c r="J240" t="s">
        <v>10</v>
      </c>
      <c r="K240">
        <v>0.55000000000000004</v>
      </c>
      <c r="L240">
        <v>0.12</v>
      </c>
      <c r="M240">
        <v>0.51998999999999995</v>
      </c>
      <c r="N240">
        <v>9.3087000000000003E-2</v>
      </c>
      <c r="O240" t="s">
        <v>2672</v>
      </c>
    </row>
    <row r="241" spans="1:15" x14ac:dyDescent="0.25">
      <c r="A241" t="s">
        <v>56</v>
      </c>
      <c r="B241" t="s">
        <v>47</v>
      </c>
      <c r="C241">
        <v>1</v>
      </c>
      <c r="D241">
        <v>10</v>
      </c>
      <c r="E241">
        <v>1.0000000000000001E-5</v>
      </c>
      <c r="F241" t="s">
        <v>13</v>
      </c>
      <c r="G241" t="s">
        <v>12</v>
      </c>
      <c r="H241">
        <v>1</v>
      </c>
      <c r="I241">
        <v>5</v>
      </c>
      <c r="J241" t="s">
        <v>10</v>
      </c>
      <c r="K241">
        <v>1.4</v>
      </c>
      <c r="L241">
        <v>0.66</v>
      </c>
      <c r="M241">
        <v>1.3260000000000001</v>
      </c>
      <c r="N241">
        <v>0.66217999999999999</v>
      </c>
      <c r="O241" t="s">
        <v>1928</v>
      </c>
    </row>
    <row r="242" spans="1:15" x14ac:dyDescent="0.25">
      <c r="A242" t="s">
        <v>56</v>
      </c>
      <c r="B242" t="s">
        <v>47</v>
      </c>
      <c r="C242">
        <v>1</v>
      </c>
      <c r="D242">
        <v>10</v>
      </c>
      <c r="E242">
        <v>1.0000000000000001E-5</v>
      </c>
      <c r="F242" t="s">
        <v>13</v>
      </c>
      <c r="G242" t="s">
        <v>12</v>
      </c>
      <c r="H242">
        <v>0.05</v>
      </c>
      <c r="I242">
        <v>1</v>
      </c>
      <c r="J242" t="s">
        <v>10</v>
      </c>
      <c r="K242">
        <v>0.46</v>
      </c>
      <c r="L242">
        <v>0.17</v>
      </c>
      <c r="M242">
        <v>0.49897000000000002</v>
      </c>
      <c r="N242">
        <v>0.12063</v>
      </c>
      <c r="O242" t="s">
        <v>1929</v>
      </c>
    </row>
    <row r="243" spans="1:15" x14ac:dyDescent="0.25">
      <c r="A243" t="s">
        <v>56</v>
      </c>
      <c r="B243" t="s">
        <v>47</v>
      </c>
      <c r="C243">
        <v>1</v>
      </c>
      <c r="D243">
        <v>10</v>
      </c>
      <c r="E243">
        <v>1E-4</v>
      </c>
      <c r="F243" t="s">
        <v>13</v>
      </c>
      <c r="G243" t="s">
        <v>12</v>
      </c>
      <c r="H243">
        <v>1E-3</v>
      </c>
      <c r="I243">
        <v>0.05</v>
      </c>
      <c r="J243" t="s">
        <v>10</v>
      </c>
      <c r="K243">
        <v>0.55000000000000004</v>
      </c>
      <c r="L243">
        <v>0.12</v>
      </c>
      <c r="M243">
        <v>0.52375000000000005</v>
      </c>
      <c r="N243">
        <v>9.2860999999999999E-2</v>
      </c>
      <c r="O243" t="s">
        <v>1932</v>
      </c>
    </row>
    <row r="244" spans="1:15" x14ac:dyDescent="0.25">
      <c r="A244" t="s">
        <v>56</v>
      </c>
      <c r="B244" t="s">
        <v>47</v>
      </c>
      <c r="C244">
        <v>1</v>
      </c>
      <c r="D244">
        <v>10</v>
      </c>
      <c r="E244">
        <v>1E-4</v>
      </c>
      <c r="F244" t="s">
        <v>13</v>
      </c>
      <c r="G244" t="s">
        <v>12</v>
      </c>
      <c r="H244">
        <v>0.05</v>
      </c>
      <c r="I244">
        <v>1</v>
      </c>
      <c r="J244" t="s">
        <v>10</v>
      </c>
      <c r="K244">
        <v>0.46</v>
      </c>
      <c r="L244">
        <v>0.16805999999999999</v>
      </c>
      <c r="M244">
        <v>0.50268999999999997</v>
      </c>
      <c r="N244">
        <v>0.12039</v>
      </c>
      <c r="O244" t="s">
        <v>1931</v>
      </c>
    </row>
    <row r="245" spans="1:15" x14ac:dyDescent="0.25">
      <c r="A245" t="s">
        <v>56</v>
      </c>
      <c r="B245" t="s">
        <v>47</v>
      </c>
      <c r="C245">
        <v>1</v>
      </c>
      <c r="D245">
        <v>10</v>
      </c>
      <c r="E245">
        <v>1E-4</v>
      </c>
      <c r="F245" t="s">
        <v>13</v>
      </c>
      <c r="G245" t="s">
        <v>12</v>
      </c>
      <c r="H245">
        <v>1</v>
      </c>
      <c r="I245">
        <v>5</v>
      </c>
      <c r="J245" t="s">
        <v>10</v>
      </c>
      <c r="K245">
        <v>1.4</v>
      </c>
      <c r="L245">
        <v>0.66168000000000005</v>
      </c>
      <c r="M245">
        <v>1.3279000000000001</v>
      </c>
      <c r="N245">
        <v>0.66195999999999999</v>
      </c>
      <c r="O245" t="s">
        <v>1930</v>
      </c>
    </row>
    <row r="246" spans="1:15" x14ac:dyDescent="0.25">
      <c r="A246" t="s">
        <v>56</v>
      </c>
      <c r="B246" t="s">
        <v>47</v>
      </c>
      <c r="C246">
        <v>1</v>
      </c>
      <c r="D246">
        <v>10</v>
      </c>
      <c r="E246">
        <v>1E-3</v>
      </c>
      <c r="F246" t="s">
        <v>13</v>
      </c>
      <c r="G246" t="s">
        <v>12</v>
      </c>
      <c r="H246">
        <v>0.05</v>
      </c>
      <c r="I246">
        <v>1</v>
      </c>
      <c r="J246" t="s">
        <v>10</v>
      </c>
      <c r="K246">
        <v>0.72094000000000003</v>
      </c>
      <c r="L246">
        <v>0.14191000000000001</v>
      </c>
      <c r="M246">
        <v>0.74419000000000002</v>
      </c>
      <c r="N246">
        <v>0.10576000000000001</v>
      </c>
      <c r="O246" t="s">
        <v>2673</v>
      </c>
    </row>
    <row r="247" spans="1:15" x14ac:dyDescent="0.25">
      <c r="A247" t="s">
        <v>56</v>
      </c>
      <c r="B247" t="s">
        <v>47</v>
      </c>
      <c r="C247">
        <v>1</v>
      </c>
      <c r="D247">
        <v>10</v>
      </c>
      <c r="E247">
        <v>1E-3</v>
      </c>
      <c r="F247" t="s">
        <v>13</v>
      </c>
      <c r="G247" t="s">
        <v>12</v>
      </c>
      <c r="H247">
        <v>1</v>
      </c>
      <c r="I247">
        <v>5</v>
      </c>
      <c r="J247" t="s">
        <v>10</v>
      </c>
      <c r="K247">
        <v>1.4676</v>
      </c>
      <c r="L247">
        <v>0.64571999999999996</v>
      </c>
      <c r="M247">
        <v>1.4594</v>
      </c>
      <c r="N247">
        <v>0.64664999999999995</v>
      </c>
      <c r="O247" t="s">
        <v>1933</v>
      </c>
    </row>
    <row r="248" spans="1:15" x14ac:dyDescent="0.25">
      <c r="A248" t="s">
        <v>56</v>
      </c>
      <c r="B248" t="s">
        <v>47</v>
      </c>
      <c r="C248">
        <v>1</v>
      </c>
      <c r="D248">
        <v>10</v>
      </c>
      <c r="E248">
        <v>1E-3</v>
      </c>
      <c r="F248" t="s">
        <v>13</v>
      </c>
      <c r="G248" t="s">
        <v>12</v>
      </c>
      <c r="H248">
        <v>1E-3</v>
      </c>
      <c r="I248">
        <v>0.05</v>
      </c>
      <c r="J248" t="s">
        <v>10</v>
      </c>
      <c r="K248">
        <v>0.75909000000000004</v>
      </c>
      <c r="L248">
        <v>9.9090999999999999E-2</v>
      </c>
      <c r="M248">
        <v>0.76541999999999999</v>
      </c>
      <c r="N248">
        <v>7.9774999999999999E-2</v>
      </c>
      <c r="O248" t="s">
        <v>2674</v>
      </c>
    </row>
    <row r="249" spans="1:15" x14ac:dyDescent="0.25">
      <c r="A249" t="s">
        <v>56</v>
      </c>
      <c r="B249" t="s">
        <v>47</v>
      </c>
      <c r="C249">
        <v>1</v>
      </c>
      <c r="D249">
        <v>10</v>
      </c>
      <c r="E249">
        <v>0.01</v>
      </c>
      <c r="F249" t="s">
        <v>13</v>
      </c>
      <c r="G249" t="s">
        <v>12</v>
      </c>
      <c r="H249">
        <v>1</v>
      </c>
      <c r="I249">
        <v>5</v>
      </c>
      <c r="J249" t="s">
        <v>10</v>
      </c>
      <c r="K249">
        <v>5.82</v>
      </c>
      <c r="L249">
        <v>0.34986</v>
      </c>
      <c r="M249">
        <v>5.8127000000000004</v>
      </c>
      <c r="N249">
        <v>0.35015000000000002</v>
      </c>
      <c r="O249" t="s">
        <v>1935</v>
      </c>
    </row>
    <row r="250" spans="1:15" x14ac:dyDescent="0.25">
      <c r="A250" t="s">
        <v>56</v>
      </c>
      <c r="B250" t="s">
        <v>47</v>
      </c>
      <c r="C250">
        <v>1</v>
      </c>
      <c r="D250">
        <v>10</v>
      </c>
      <c r="E250">
        <v>0.01</v>
      </c>
      <c r="F250" t="s">
        <v>13</v>
      </c>
      <c r="G250" t="s">
        <v>12</v>
      </c>
      <c r="H250">
        <v>1E-3</v>
      </c>
      <c r="I250">
        <v>0.05</v>
      </c>
      <c r="J250" t="s">
        <v>10</v>
      </c>
      <c r="K250">
        <v>5.7991999999999999</v>
      </c>
      <c r="L250">
        <v>1.6313000000000001E-2</v>
      </c>
      <c r="M250">
        <v>5.7915999999999999</v>
      </c>
      <c r="N250">
        <v>1.6333E-2</v>
      </c>
      <c r="O250" t="s">
        <v>1934</v>
      </c>
    </row>
    <row r="251" spans="1:15" x14ac:dyDescent="0.25">
      <c r="A251" t="s">
        <v>56</v>
      </c>
      <c r="B251" t="s">
        <v>47</v>
      </c>
      <c r="C251">
        <v>1</v>
      </c>
      <c r="D251">
        <v>10</v>
      </c>
      <c r="E251">
        <v>0.01</v>
      </c>
      <c r="F251" t="s">
        <v>13</v>
      </c>
      <c r="G251" t="s">
        <v>12</v>
      </c>
      <c r="H251">
        <v>0.05</v>
      </c>
      <c r="I251">
        <v>1</v>
      </c>
      <c r="J251" t="s">
        <v>10</v>
      </c>
      <c r="K251">
        <v>5.7925000000000004</v>
      </c>
      <c r="L251">
        <v>2.3675999999999999E-2</v>
      </c>
      <c r="M251">
        <v>5.7849000000000004</v>
      </c>
      <c r="N251">
        <v>2.3706000000000001E-2</v>
      </c>
      <c r="O251" t="s">
        <v>1936</v>
      </c>
    </row>
    <row r="252" spans="1:15" x14ac:dyDescent="0.25">
      <c r="A252" t="s">
        <v>56</v>
      </c>
      <c r="B252" t="s">
        <v>47</v>
      </c>
      <c r="C252">
        <v>1</v>
      </c>
      <c r="D252">
        <v>10</v>
      </c>
      <c r="E252">
        <v>0.1</v>
      </c>
      <c r="F252" t="s">
        <v>13</v>
      </c>
      <c r="G252" t="s">
        <v>12</v>
      </c>
      <c r="H252">
        <v>1</v>
      </c>
      <c r="I252">
        <v>5</v>
      </c>
      <c r="J252" t="s">
        <v>10</v>
      </c>
      <c r="K252">
        <v>57.725000000000001</v>
      </c>
      <c r="L252">
        <v>4.4886000000000002E-2</v>
      </c>
      <c r="M252">
        <v>57.722000000000001</v>
      </c>
      <c r="N252">
        <v>4.4888999999999998E-2</v>
      </c>
      <c r="O252" t="s">
        <v>1938</v>
      </c>
    </row>
    <row r="253" spans="1:15" x14ac:dyDescent="0.25">
      <c r="A253" t="s">
        <v>56</v>
      </c>
      <c r="B253" t="s">
        <v>47</v>
      </c>
      <c r="C253">
        <v>1</v>
      </c>
      <c r="D253">
        <v>10</v>
      </c>
      <c r="E253">
        <v>0.1</v>
      </c>
      <c r="F253" t="s">
        <v>13</v>
      </c>
      <c r="G253" t="s">
        <v>12</v>
      </c>
      <c r="H253">
        <v>0.05</v>
      </c>
      <c r="I253">
        <v>1</v>
      </c>
      <c r="J253" t="s">
        <v>10</v>
      </c>
      <c r="K253">
        <v>57.74</v>
      </c>
      <c r="L253">
        <v>2.428E-3</v>
      </c>
      <c r="M253">
        <v>57.737000000000002</v>
      </c>
      <c r="N253">
        <v>2.4282000000000001E-3</v>
      </c>
      <c r="O253" t="s">
        <v>1937</v>
      </c>
    </row>
    <row r="254" spans="1:15" x14ac:dyDescent="0.25">
      <c r="A254" t="s">
        <v>56</v>
      </c>
      <c r="B254" t="s">
        <v>47</v>
      </c>
      <c r="C254">
        <v>1</v>
      </c>
      <c r="D254">
        <v>10</v>
      </c>
      <c r="E254">
        <v>0.1</v>
      </c>
      <c r="F254" t="s">
        <v>13</v>
      </c>
      <c r="G254" t="s">
        <v>12</v>
      </c>
      <c r="H254">
        <v>1E-3</v>
      </c>
      <c r="I254">
        <v>0.05</v>
      </c>
      <c r="J254" t="s">
        <v>10</v>
      </c>
      <c r="K254">
        <v>57.741</v>
      </c>
      <c r="L254">
        <v>1.6634E-3</v>
      </c>
      <c r="M254">
        <v>57.738</v>
      </c>
      <c r="N254">
        <v>1.6635E-3</v>
      </c>
      <c r="O254" t="s">
        <v>2675</v>
      </c>
    </row>
    <row r="255" spans="1:15" x14ac:dyDescent="0.25">
      <c r="A255" t="s">
        <v>56</v>
      </c>
      <c r="B255" t="s">
        <v>47</v>
      </c>
      <c r="C255">
        <v>10</v>
      </c>
      <c r="D255">
        <v>20</v>
      </c>
      <c r="E255">
        <v>1.0000000000000001E-5</v>
      </c>
      <c r="F255" t="s">
        <v>13</v>
      </c>
      <c r="G255" t="s">
        <v>12</v>
      </c>
      <c r="H255">
        <v>1</v>
      </c>
      <c r="I255">
        <v>5</v>
      </c>
      <c r="J255" t="s">
        <v>10</v>
      </c>
      <c r="K255">
        <v>0</v>
      </c>
      <c r="L255">
        <v>0.95</v>
      </c>
      <c r="M255">
        <v>1.07</v>
      </c>
      <c r="N255">
        <v>0.66</v>
      </c>
      <c r="O255" t="s">
        <v>1941</v>
      </c>
    </row>
    <row r="256" spans="1:15" x14ac:dyDescent="0.25">
      <c r="A256" t="s">
        <v>56</v>
      </c>
      <c r="B256" t="s">
        <v>47</v>
      </c>
      <c r="C256">
        <v>10</v>
      </c>
      <c r="D256">
        <v>20</v>
      </c>
      <c r="E256">
        <v>1.0000000000000001E-5</v>
      </c>
      <c r="F256" t="s">
        <v>13</v>
      </c>
      <c r="G256" t="s">
        <v>12</v>
      </c>
      <c r="H256">
        <v>0.05</v>
      </c>
      <c r="I256">
        <v>1</v>
      </c>
      <c r="J256" t="s">
        <v>10</v>
      </c>
      <c r="K256">
        <v>0</v>
      </c>
      <c r="L256">
        <v>0.5</v>
      </c>
      <c r="M256">
        <v>2.1831999999999998</v>
      </c>
      <c r="N256">
        <v>0.11355999999999999</v>
      </c>
      <c r="O256" t="s">
        <v>1940</v>
      </c>
    </row>
    <row r="257" spans="1:15" x14ac:dyDescent="0.25">
      <c r="A257" t="s">
        <v>56</v>
      </c>
      <c r="B257" t="s">
        <v>47</v>
      </c>
      <c r="C257">
        <v>10</v>
      </c>
      <c r="D257">
        <v>20</v>
      </c>
      <c r="E257">
        <v>1.0000000000000001E-5</v>
      </c>
      <c r="F257" t="s">
        <v>13</v>
      </c>
      <c r="G257" t="s">
        <v>12</v>
      </c>
      <c r="H257">
        <v>1E-3</v>
      </c>
      <c r="I257">
        <v>0.05</v>
      </c>
      <c r="J257" t="s">
        <v>10</v>
      </c>
      <c r="K257">
        <v>0.92</v>
      </c>
      <c r="L257">
        <v>0.49</v>
      </c>
      <c r="M257">
        <v>4.6374000000000004</v>
      </c>
      <c r="N257">
        <v>8.1764000000000003E-2</v>
      </c>
      <c r="O257" t="s">
        <v>1939</v>
      </c>
    </row>
    <row r="258" spans="1:15" x14ac:dyDescent="0.25">
      <c r="A258" t="s">
        <v>56</v>
      </c>
      <c r="B258" t="s">
        <v>47</v>
      </c>
      <c r="C258">
        <v>10</v>
      </c>
      <c r="D258">
        <v>20</v>
      </c>
      <c r="E258">
        <v>1E-4</v>
      </c>
      <c r="F258" t="s">
        <v>13</v>
      </c>
      <c r="G258" t="s">
        <v>12</v>
      </c>
      <c r="H258">
        <v>0.05</v>
      </c>
      <c r="I258">
        <v>1</v>
      </c>
      <c r="J258" t="s">
        <v>10</v>
      </c>
      <c r="K258">
        <v>0</v>
      </c>
      <c r="L258">
        <v>0.5</v>
      </c>
      <c r="M258">
        <v>2.1840999999999999</v>
      </c>
      <c r="N258">
        <v>0.11354</v>
      </c>
      <c r="O258" t="s">
        <v>1942</v>
      </c>
    </row>
    <row r="259" spans="1:15" x14ac:dyDescent="0.25">
      <c r="A259" t="s">
        <v>56</v>
      </c>
      <c r="B259" t="s">
        <v>47</v>
      </c>
      <c r="C259">
        <v>10</v>
      </c>
      <c r="D259">
        <v>20</v>
      </c>
      <c r="E259">
        <v>1E-4</v>
      </c>
      <c r="F259" t="s">
        <v>13</v>
      </c>
      <c r="G259" t="s">
        <v>12</v>
      </c>
      <c r="H259">
        <v>1</v>
      </c>
      <c r="I259">
        <v>5</v>
      </c>
      <c r="J259" t="s">
        <v>10</v>
      </c>
      <c r="K259">
        <v>0</v>
      </c>
      <c r="L259">
        <v>0.95</v>
      </c>
      <c r="M259">
        <v>1.07</v>
      </c>
      <c r="N259">
        <v>0.66</v>
      </c>
      <c r="O259" t="s">
        <v>1943</v>
      </c>
    </row>
    <row r="260" spans="1:15" x14ac:dyDescent="0.25">
      <c r="A260" t="s">
        <v>56</v>
      </c>
      <c r="B260" t="s">
        <v>47</v>
      </c>
      <c r="C260">
        <v>10</v>
      </c>
      <c r="D260">
        <v>20</v>
      </c>
      <c r="E260">
        <v>1E-4</v>
      </c>
      <c r="F260" t="s">
        <v>13</v>
      </c>
      <c r="G260" t="s">
        <v>12</v>
      </c>
      <c r="H260">
        <v>1E-3</v>
      </c>
      <c r="I260">
        <v>0.05</v>
      </c>
      <c r="J260" t="s">
        <v>10</v>
      </c>
      <c r="K260">
        <v>0.92</v>
      </c>
      <c r="L260">
        <v>0.49</v>
      </c>
      <c r="M260">
        <v>4.6379000000000001</v>
      </c>
      <c r="N260">
        <v>8.1758999999999998E-2</v>
      </c>
      <c r="O260" t="s">
        <v>1944</v>
      </c>
    </row>
    <row r="261" spans="1:15" x14ac:dyDescent="0.25">
      <c r="A261" t="s">
        <v>56</v>
      </c>
      <c r="B261" t="s">
        <v>47</v>
      </c>
      <c r="C261">
        <v>10</v>
      </c>
      <c r="D261">
        <v>20</v>
      </c>
      <c r="E261">
        <v>1E-3</v>
      </c>
      <c r="F261" t="s">
        <v>13</v>
      </c>
      <c r="G261" t="s">
        <v>12</v>
      </c>
      <c r="H261">
        <v>1</v>
      </c>
      <c r="I261">
        <v>5</v>
      </c>
      <c r="J261" t="s">
        <v>10</v>
      </c>
      <c r="K261">
        <v>0</v>
      </c>
      <c r="L261">
        <v>0.95</v>
      </c>
      <c r="M261">
        <v>1.1000000000000001</v>
      </c>
      <c r="N261">
        <v>0.65900000000000003</v>
      </c>
      <c r="O261" t="s">
        <v>1947</v>
      </c>
    </row>
    <row r="262" spans="1:15" x14ac:dyDescent="0.25">
      <c r="A262" t="s">
        <v>56</v>
      </c>
      <c r="B262" t="s">
        <v>47</v>
      </c>
      <c r="C262">
        <v>10</v>
      </c>
      <c r="D262">
        <v>20</v>
      </c>
      <c r="E262">
        <v>1E-3</v>
      </c>
      <c r="F262" t="s">
        <v>13</v>
      </c>
      <c r="G262" t="s">
        <v>12</v>
      </c>
      <c r="H262">
        <v>0.05</v>
      </c>
      <c r="I262">
        <v>1</v>
      </c>
      <c r="J262" t="s">
        <v>10</v>
      </c>
      <c r="K262">
        <v>0</v>
      </c>
      <c r="L262">
        <v>0.5</v>
      </c>
      <c r="M262">
        <v>2.2467000000000001</v>
      </c>
      <c r="N262">
        <v>0.11228</v>
      </c>
      <c r="O262" t="s">
        <v>1945</v>
      </c>
    </row>
    <row r="263" spans="1:15" x14ac:dyDescent="0.25">
      <c r="A263" t="s">
        <v>56</v>
      </c>
      <c r="B263" t="s">
        <v>47</v>
      </c>
      <c r="C263">
        <v>10</v>
      </c>
      <c r="D263">
        <v>20</v>
      </c>
      <c r="E263">
        <v>1E-3</v>
      </c>
      <c r="F263" t="s">
        <v>13</v>
      </c>
      <c r="G263" t="s">
        <v>12</v>
      </c>
      <c r="H263">
        <v>1E-3</v>
      </c>
      <c r="I263">
        <v>0.05</v>
      </c>
      <c r="J263" t="s">
        <v>10</v>
      </c>
      <c r="K263">
        <v>0.92</v>
      </c>
      <c r="L263">
        <v>0.49</v>
      </c>
      <c r="M263">
        <v>4.6723999999999997</v>
      </c>
      <c r="N263">
        <v>8.1363000000000005E-2</v>
      </c>
      <c r="O263" t="s">
        <v>1946</v>
      </c>
    </row>
    <row r="264" spans="1:15" x14ac:dyDescent="0.25">
      <c r="A264" t="s">
        <v>56</v>
      </c>
      <c r="B264" t="s">
        <v>47</v>
      </c>
      <c r="C264">
        <v>10</v>
      </c>
      <c r="D264">
        <v>20</v>
      </c>
      <c r="E264">
        <v>0.01</v>
      </c>
      <c r="F264" t="s">
        <v>13</v>
      </c>
      <c r="G264" t="s">
        <v>12</v>
      </c>
      <c r="H264">
        <v>1</v>
      </c>
      <c r="I264">
        <v>5</v>
      </c>
      <c r="J264" t="s">
        <v>10</v>
      </c>
      <c r="K264">
        <v>0.21</v>
      </c>
      <c r="L264">
        <v>0.94</v>
      </c>
      <c r="M264">
        <v>3.81</v>
      </c>
      <c r="N264">
        <v>0.57899999999999996</v>
      </c>
      <c r="O264" t="s">
        <v>1948</v>
      </c>
    </row>
    <row r="265" spans="1:15" x14ac:dyDescent="0.25">
      <c r="A265" t="s">
        <v>56</v>
      </c>
      <c r="B265" t="s">
        <v>47</v>
      </c>
      <c r="C265">
        <v>10</v>
      </c>
      <c r="D265">
        <v>20</v>
      </c>
      <c r="E265">
        <v>0.01</v>
      </c>
      <c r="F265" t="s">
        <v>13</v>
      </c>
      <c r="G265" t="s">
        <v>12</v>
      </c>
      <c r="H265">
        <v>1E-3</v>
      </c>
      <c r="I265">
        <v>0.05</v>
      </c>
      <c r="J265" t="s">
        <v>10</v>
      </c>
      <c r="K265">
        <v>5.1798999999999999</v>
      </c>
      <c r="L265">
        <v>0.27700999999999998</v>
      </c>
      <c r="M265">
        <v>7.3621999999999996</v>
      </c>
      <c r="N265">
        <v>5.8217999999999999E-2</v>
      </c>
      <c r="O265" t="s">
        <v>1949</v>
      </c>
    </row>
    <row r="266" spans="1:15" x14ac:dyDescent="0.25">
      <c r="A266" t="s">
        <v>56</v>
      </c>
      <c r="B266" t="s">
        <v>47</v>
      </c>
      <c r="C266">
        <v>10</v>
      </c>
      <c r="D266">
        <v>20</v>
      </c>
      <c r="E266">
        <v>0.01</v>
      </c>
      <c r="F266" t="s">
        <v>13</v>
      </c>
      <c r="G266" t="s">
        <v>12</v>
      </c>
      <c r="H266">
        <v>0.05</v>
      </c>
      <c r="I266">
        <v>1</v>
      </c>
      <c r="J266" t="s">
        <v>10</v>
      </c>
      <c r="K266">
        <v>3.3353999999999999</v>
      </c>
      <c r="L266">
        <v>0.33323000000000003</v>
      </c>
      <c r="M266">
        <v>6.0285000000000002</v>
      </c>
      <c r="N266">
        <v>6.3256000000000007E-2</v>
      </c>
      <c r="O266" t="s">
        <v>2676</v>
      </c>
    </row>
    <row r="267" spans="1:15" x14ac:dyDescent="0.25">
      <c r="A267" t="s">
        <v>56</v>
      </c>
      <c r="B267" t="s">
        <v>47</v>
      </c>
      <c r="C267">
        <v>10</v>
      </c>
      <c r="D267">
        <v>20</v>
      </c>
      <c r="E267">
        <v>0.1</v>
      </c>
      <c r="F267" t="s">
        <v>13</v>
      </c>
      <c r="G267" t="s">
        <v>12</v>
      </c>
      <c r="H267">
        <v>0.05</v>
      </c>
      <c r="I267">
        <v>1</v>
      </c>
      <c r="J267" t="s">
        <v>10</v>
      </c>
      <c r="K267">
        <v>57.758000000000003</v>
      </c>
      <c r="L267">
        <v>7.6264000000000002E-3</v>
      </c>
      <c r="M267">
        <v>57.8</v>
      </c>
      <c r="N267">
        <v>7.6299999999999996E-3</v>
      </c>
      <c r="O267" t="s">
        <v>1952</v>
      </c>
    </row>
    <row r="268" spans="1:15" x14ac:dyDescent="0.25">
      <c r="A268" t="s">
        <v>56</v>
      </c>
      <c r="B268" t="s">
        <v>47</v>
      </c>
      <c r="C268">
        <v>10</v>
      </c>
      <c r="D268">
        <v>20</v>
      </c>
      <c r="E268">
        <v>0.1</v>
      </c>
      <c r="F268" t="s">
        <v>13</v>
      </c>
      <c r="G268" t="s">
        <v>12</v>
      </c>
      <c r="H268">
        <v>1</v>
      </c>
      <c r="I268">
        <v>5</v>
      </c>
      <c r="J268" t="s">
        <v>10</v>
      </c>
      <c r="K268">
        <v>57.017000000000003</v>
      </c>
      <c r="L268">
        <v>0.123</v>
      </c>
      <c r="M268">
        <v>57.014000000000003</v>
      </c>
      <c r="N268">
        <v>0.123</v>
      </c>
      <c r="O268" t="s">
        <v>1951</v>
      </c>
    </row>
    <row r="269" spans="1:15" x14ac:dyDescent="0.25">
      <c r="A269" t="s">
        <v>56</v>
      </c>
      <c r="B269" t="s">
        <v>47</v>
      </c>
      <c r="C269">
        <v>10</v>
      </c>
      <c r="D269">
        <v>20</v>
      </c>
      <c r="E269">
        <v>0.1</v>
      </c>
      <c r="F269" t="s">
        <v>13</v>
      </c>
      <c r="G269" t="s">
        <v>12</v>
      </c>
      <c r="H269">
        <v>1E-3</v>
      </c>
      <c r="I269">
        <v>0.05</v>
      </c>
      <c r="J269" t="s">
        <v>10</v>
      </c>
      <c r="K269">
        <v>57.914000000000001</v>
      </c>
      <c r="L269">
        <v>8.2611000000000004E-3</v>
      </c>
      <c r="M269">
        <v>57.911000000000001</v>
      </c>
      <c r="N269">
        <v>8.2615999999999992E-3</v>
      </c>
      <c r="O269" t="s">
        <v>1950</v>
      </c>
    </row>
    <row r="270" spans="1:15" x14ac:dyDescent="0.25">
      <c r="A270" t="s">
        <v>56</v>
      </c>
      <c r="B270" t="s">
        <v>8</v>
      </c>
      <c r="C270">
        <v>0</v>
      </c>
      <c r="D270">
        <v>0.01</v>
      </c>
      <c r="E270">
        <v>1E-8</v>
      </c>
      <c r="F270" t="s">
        <v>6</v>
      </c>
      <c r="G270" t="s">
        <v>5</v>
      </c>
      <c r="H270">
        <v>4000</v>
      </c>
      <c r="I270">
        <v>8000</v>
      </c>
      <c r="J270" t="s">
        <v>10</v>
      </c>
      <c r="K270">
        <v>31</v>
      </c>
      <c r="L270">
        <v>230000</v>
      </c>
      <c r="M270">
        <v>30.119</v>
      </c>
      <c r="N270">
        <v>228890</v>
      </c>
      <c r="O270" t="s">
        <v>1497</v>
      </c>
    </row>
    <row r="271" spans="1:15" x14ac:dyDescent="0.25">
      <c r="A271" t="s">
        <v>56</v>
      </c>
      <c r="B271" t="s">
        <v>8</v>
      </c>
      <c r="C271">
        <v>0</v>
      </c>
      <c r="D271">
        <v>0.01</v>
      </c>
      <c r="E271">
        <v>1E-8</v>
      </c>
      <c r="F271" t="s">
        <v>6</v>
      </c>
      <c r="G271" t="s">
        <v>5</v>
      </c>
      <c r="H271">
        <v>1E-3</v>
      </c>
      <c r="I271">
        <v>0.04</v>
      </c>
      <c r="J271" t="s">
        <v>10</v>
      </c>
      <c r="K271">
        <v>4.5</v>
      </c>
      <c r="L271">
        <v>310</v>
      </c>
      <c r="M271">
        <v>4.3849</v>
      </c>
      <c r="N271">
        <v>312.12</v>
      </c>
      <c r="O271" t="s">
        <v>1498</v>
      </c>
    </row>
    <row r="272" spans="1:15" x14ac:dyDescent="0.25">
      <c r="A272" t="s">
        <v>56</v>
      </c>
      <c r="B272" t="s">
        <v>8</v>
      </c>
      <c r="C272">
        <v>0</v>
      </c>
      <c r="D272">
        <v>0.01</v>
      </c>
      <c r="E272">
        <v>1E-8</v>
      </c>
      <c r="F272" t="s">
        <v>6</v>
      </c>
      <c r="G272" t="s">
        <v>5</v>
      </c>
      <c r="H272">
        <v>1</v>
      </c>
      <c r="I272">
        <v>20</v>
      </c>
      <c r="J272" t="s">
        <v>10</v>
      </c>
      <c r="K272">
        <v>3.1</v>
      </c>
      <c r="L272">
        <v>254.16</v>
      </c>
      <c r="M272">
        <v>3.0562999999999998</v>
      </c>
      <c r="N272">
        <v>254.09</v>
      </c>
      <c r="O272" t="s">
        <v>2542</v>
      </c>
    </row>
    <row r="273" spans="1:15" x14ac:dyDescent="0.25">
      <c r="A273" t="s">
        <v>56</v>
      </c>
      <c r="B273" t="s">
        <v>8</v>
      </c>
      <c r="C273">
        <v>0</v>
      </c>
      <c r="D273">
        <v>0.01</v>
      </c>
      <c r="E273">
        <v>1E-8</v>
      </c>
      <c r="F273" t="s">
        <v>6</v>
      </c>
      <c r="G273" t="s">
        <v>5</v>
      </c>
      <c r="H273">
        <v>300</v>
      </c>
      <c r="I273">
        <v>1000</v>
      </c>
      <c r="J273" t="s">
        <v>10</v>
      </c>
      <c r="K273">
        <v>18</v>
      </c>
      <c r="L273">
        <v>45000</v>
      </c>
      <c r="M273">
        <v>12.904</v>
      </c>
      <c r="N273">
        <v>45496</v>
      </c>
      <c r="O273" t="s">
        <v>1496</v>
      </c>
    </row>
    <row r="274" spans="1:15" x14ac:dyDescent="0.25">
      <c r="A274" t="s">
        <v>56</v>
      </c>
      <c r="B274" t="s">
        <v>8</v>
      </c>
      <c r="C274">
        <v>0</v>
      </c>
      <c r="D274">
        <v>0.01</v>
      </c>
      <c r="E274">
        <v>1E-8</v>
      </c>
      <c r="F274" t="s">
        <v>6</v>
      </c>
      <c r="G274" t="s">
        <v>5</v>
      </c>
      <c r="H274">
        <v>100</v>
      </c>
      <c r="I274">
        <v>300</v>
      </c>
      <c r="J274" t="s">
        <v>10</v>
      </c>
      <c r="K274">
        <v>4.2</v>
      </c>
      <c r="L274">
        <v>46000</v>
      </c>
      <c r="M274">
        <v>2.8932000000000002</v>
      </c>
      <c r="N274">
        <v>46131</v>
      </c>
      <c r="O274" t="s">
        <v>2541</v>
      </c>
    </row>
    <row r="275" spans="1:15" x14ac:dyDescent="0.25">
      <c r="A275" t="s">
        <v>56</v>
      </c>
      <c r="B275" t="s">
        <v>8</v>
      </c>
      <c r="C275">
        <v>0</v>
      </c>
      <c r="D275">
        <v>0.01</v>
      </c>
      <c r="E275">
        <v>1E-8</v>
      </c>
      <c r="F275" t="s">
        <v>6</v>
      </c>
      <c r="G275" t="s">
        <v>5</v>
      </c>
      <c r="H275">
        <v>20</v>
      </c>
      <c r="I275">
        <v>50</v>
      </c>
      <c r="J275" t="s">
        <v>10</v>
      </c>
      <c r="K275">
        <v>5.6</v>
      </c>
      <c r="L275">
        <v>840</v>
      </c>
      <c r="M275">
        <v>5.5358000000000001</v>
      </c>
      <c r="N275">
        <v>839.05</v>
      </c>
      <c r="O275" t="s">
        <v>1501</v>
      </c>
    </row>
    <row r="276" spans="1:15" x14ac:dyDescent="0.25">
      <c r="A276" t="s">
        <v>56</v>
      </c>
      <c r="B276" t="s">
        <v>8</v>
      </c>
      <c r="C276">
        <v>0</v>
      </c>
      <c r="D276">
        <v>0.01</v>
      </c>
      <c r="E276">
        <v>1E-8</v>
      </c>
      <c r="F276" t="s">
        <v>6</v>
      </c>
      <c r="G276" t="s">
        <v>5</v>
      </c>
      <c r="H276">
        <v>1000</v>
      </c>
      <c r="I276">
        <v>4000</v>
      </c>
      <c r="J276" t="s">
        <v>10</v>
      </c>
      <c r="K276">
        <v>23</v>
      </c>
      <c r="L276">
        <v>80000</v>
      </c>
      <c r="M276">
        <v>22.678999999999998</v>
      </c>
      <c r="N276">
        <v>79411</v>
      </c>
      <c r="O276" t="s">
        <v>1495</v>
      </c>
    </row>
    <row r="277" spans="1:15" x14ac:dyDescent="0.25">
      <c r="A277" t="s">
        <v>56</v>
      </c>
      <c r="B277" t="s">
        <v>8</v>
      </c>
      <c r="C277">
        <v>0</v>
      </c>
      <c r="D277">
        <v>0.01</v>
      </c>
      <c r="E277">
        <v>1E-8</v>
      </c>
      <c r="F277" t="s">
        <v>6</v>
      </c>
      <c r="G277" t="s">
        <v>5</v>
      </c>
      <c r="H277">
        <v>0.04</v>
      </c>
      <c r="I277">
        <v>1</v>
      </c>
      <c r="J277" t="s">
        <v>10</v>
      </c>
      <c r="K277">
        <v>3</v>
      </c>
      <c r="L277">
        <v>160</v>
      </c>
      <c r="M277">
        <v>2.9725000000000001</v>
      </c>
      <c r="N277">
        <v>162.69</v>
      </c>
      <c r="O277" t="s">
        <v>1500</v>
      </c>
    </row>
    <row r="278" spans="1:15" x14ac:dyDescent="0.25">
      <c r="A278" t="s">
        <v>56</v>
      </c>
      <c r="B278" t="s">
        <v>8</v>
      </c>
      <c r="C278">
        <v>0</v>
      </c>
      <c r="D278">
        <v>0.01</v>
      </c>
      <c r="E278">
        <v>1E-8</v>
      </c>
      <c r="F278" t="s">
        <v>6</v>
      </c>
      <c r="G278" t="s">
        <v>5</v>
      </c>
      <c r="H278">
        <v>50</v>
      </c>
      <c r="I278">
        <v>100</v>
      </c>
      <c r="J278" t="s">
        <v>10</v>
      </c>
      <c r="K278">
        <v>8.8000000000000007</v>
      </c>
      <c r="L278">
        <v>5100</v>
      </c>
      <c r="M278">
        <v>8.3102999999999998</v>
      </c>
      <c r="N278">
        <v>5147.5</v>
      </c>
      <c r="O278" t="s">
        <v>1499</v>
      </c>
    </row>
    <row r="279" spans="1:15" x14ac:dyDescent="0.25">
      <c r="A279" t="s">
        <v>56</v>
      </c>
      <c r="B279" t="s">
        <v>8</v>
      </c>
      <c r="C279">
        <v>0</v>
      </c>
      <c r="D279">
        <v>0.01</v>
      </c>
      <c r="E279">
        <v>9.9999999999999995E-8</v>
      </c>
      <c r="F279" t="s">
        <v>6</v>
      </c>
      <c r="G279" t="s">
        <v>5</v>
      </c>
      <c r="H279">
        <v>100</v>
      </c>
      <c r="I279">
        <v>300</v>
      </c>
      <c r="J279" t="s">
        <v>10</v>
      </c>
      <c r="K279">
        <v>4.2</v>
      </c>
      <c r="L279">
        <v>46000</v>
      </c>
      <c r="M279">
        <v>2.8935</v>
      </c>
      <c r="N279">
        <v>46131</v>
      </c>
      <c r="O279" t="s">
        <v>1502</v>
      </c>
    </row>
    <row r="280" spans="1:15" x14ac:dyDescent="0.25">
      <c r="A280" t="s">
        <v>56</v>
      </c>
      <c r="B280" t="s">
        <v>8</v>
      </c>
      <c r="C280">
        <v>0</v>
      </c>
      <c r="D280">
        <v>0.01</v>
      </c>
      <c r="E280">
        <v>9.9999999999999995E-8</v>
      </c>
      <c r="F280" t="s">
        <v>6</v>
      </c>
      <c r="G280" t="s">
        <v>5</v>
      </c>
      <c r="H280">
        <v>300</v>
      </c>
      <c r="I280">
        <v>1000</v>
      </c>
      <c r="J280" t="s">
        <v>10</v>
      </c>
      <c r="K280">
        <v>18</v>
      </c>
      <c r="L280">
        <v>45496</v>
      </c>
      <c r="M280">
        <v>12.904</v>
      </c>
      <c r="N280">
        <v>45496</v>
      </c>
      <c r="O280" t="s">
        <v>1505</v>
      </c>
    </row>
    <row r="281" spans="1:15" x14ac:dyDescent="0.25">
      <c r="A281" t="s">
        <v>56</v>
      </c>
      <c r="B281" t="s">
        <v>8</v>
      </c>
      <c r="C281">
        <v>0</v>
      </c>
      <c r="D281">
        <v>0.01</v>
      </c>
      <c r="E281">
        <v>9.9999999999999995E-8</v>
      </c>
      <c r="F281" t="s">
        <v>6</v>
      </c>
      <c r="G281" t="s">
        <v>5</v>
      </c>
      <c r="H281">
        <v>20</v>
      </c>
      <c r="I281">
        <v>50</v>
      </c>
      <c r="J281" t="s">
        <v>10</v>
      </c>
      <c r="K281">
        <v>5.6</v>
      </c>
      <c r="L281">
        <v>839.02</v>
      </c>
      <c r="M281">
        <v>5.5362</v>
      </c>
      <c r="N281">
        <v>839.03</v>
      </c>
      <c r="O281" t="s">
        <v>1508</v>
      </c>
    </row>
    <row r="282" spans="1:15" x14ac:dyDescent="0.25">
      <c r="A282" t="s">
        <v>56</v>
      </c>
      <c r="B282" t="s">
        <v>8</v>
      </c>
      <c r="C282">
        <v>0</v>
      </c>
      <c r="D282">
        <v>0.01</v>
      </c>
      <c r="E282">
        <v>9.9999999999999995E-8</v>
      </c>
      <c r="F282" t="s">
        <v>6</v>
      </c>
      <c r="G282" t="s">
        <v>5</v>
      </c>
      <c r="H282">
        <v>0.04</v>
      </c>
      <c r="I282">
        <v>1</v>
      </c>
      <c r="J282" t="s">
        <v>10</v>
      </c>
      <c r="K282">
        <v>3</v>
      </c>
      <c r="L282">
        <v>162.76</v>
      </c>
      <c r="M282">
        <v>2.9731000000000001</v>
      </c>
      <c r="N282">
        <v>162.66999999999999</v>
      </c>
      <c r="O282" t="s">
        <v>1509</v>
      </c>
    </row>
    <row r="283" spans="1:15" x14ac:dyDescent="0.25">
      <c r="A283" t="s">
        <v>56</v>
      </c>
      <c r="B283" t="s">
        <v>8</v>
      </c>
      <c r="C283">
        <v>0</v>
      </c>
      <c r="D283">
        <v>0.01</v>
      </c>
      <c r="E283">
        <v>9.9999999999999995E-8</v>
      </c>
      <c r="F283" t="s">
        <v>6</v>
      </c>
      <c r="G283" t="s">
        <v>5</v>
      </c>
      <c r="H283">
        <v>1000</v>
      </c>
      <c r="I283">
        <v>4000</v>
      </c>
      <c r="J283" t="s">
        <v>10</v>
      </c>
      <c r="K283">
        <v>23</v>
      </c>
      <c r="L283">
        <v>79583</v>
      </c>
      <c r="M283">
        <v>22.678999999999998</v>
      </c>
      <c r="N283">
        <v>79411</v>
      </c>
      <c r="O283" t="s">
        <v>1510</v>
      </c>
    </row>
    <row r="284" spans="1:15" x14ac:dyDescent="0.25">
      <c r="A284" t="s">
        <v>56</v>
      </c>
      <c r="B284" t="s">
        <v>8</v>
      </c>
      <c r="C284">
        <v>0</v>
      </c>
      <c r="D284">
        <v>0.01</v>
      </c>
      <c r="E284">
        <v>9.9999999999999995E-8</v>
      </c>
      <c r="F284" t="s">
        <v>6</v>
      </c>
      <c r="G284" t="s">
        <v>5</v>
      </c>
      <c r="H284">
        <v>1E-3</v>
      </c>
      <c r="I284">
        <v>0.04</v>
      </c>
      <c r="J284" t="s">
        <v>10</v>
      </c>
      <c r="K284">
        <v>4.5</v>
      </c>
      <c r="L284">
        <v>312.16000000000003</v>
      </c>
      <c r="M284">
        <v>4.3853</v>
      </c>
      <c r="N284">
        <v>312.11</v>
      </c>
      <c r="O284" t="s">
        <v>1504</v>
      </c>
    </row>
    <row r="285" spans="1:15" x14ac:dyDescent="0.25">
      <c r="A285" t="s">
        <v>56</v>
      </c>
      <c r="B285" t="s">
        <v>8</v>
      </c>
      <c r="C285">
        <v>0</v>
      </c>
      <c r="D285">
        <v>0.01</v>
      </c>
      <c r="E285">
        <v>9.9999999999999995E-8</v>
      </c>
      <c r="F285" t="s">
        <v>6</v>
      </c>
      <c r="G285" t="s">
        <v>5</v>
      </c>
      <c r="H285">
        <v>4000</v>
      </c>
      <c r="I285">
        <v>8000</v>
      </c>
      <c r="J285" t="s">
        <v>10</v>
      </c>
      <c r="K285">
        <v>31</v>
      </c>
      <c r="L285">
        <v>228990</v>
      </c>
      <c r="M285">
        <v>30.12</v>
      </c>
      <c r="N285">
        <v>228890</v>
      </c>
      <c r="O285" t="s">
        <v>1503</v>
      </c>
    </row>
    <row r="286" spans="1:15" x14ac:dyDescent="0.25">
      <c r="A286" t="s">
        <v>56</v>
      </c>
      <c r="B286" t="s">
        <v>8</v>
      </c>
      <c r="C286">
        <v>0</v>
      </c>
      <c r="D286">
        <v>0.01</v>
      </c>
      <c r="E286">
        <v>9.9999999999999995E-8</v>
      </c>
      <c r="F286" t="s">
        <v>6</v>
      </c>
      <c r="G286" t="s">
        <v>5</v>
      </c>
      <c r="H286">
        <v>50</v>
      </c>
      <c r="I286">
        <v>100</v>
      </c>
      <c r="J286" t="s">
        <v>10</v>
      </c>
      <c r="K286">
        <v>8.8000000000000007</v>
      </c>
      <c r="L286">
        <v>5147.5</v>
      </c>
      <c r="M286">
        <v>8.3102999999999998</v>
      </c>
      <c r="N286">
        <v>5147.5</v>
      </c>
      <c r="O286" t="s">
        <v>1507</v>
      </c>
    </row>
    <row r="287" spans="1:15" x14ac:dyDescent="0.25">
      <c r="A287" t="s">
        <v>56</v>
      </c>
      <c r="B287" t="s">
        <v>8</v>
      </c>
      <c r="C287">
        <v>0</v>
      </c>
      <c r="D287">
        <v>0.01</v>
      </c>
      <c r="E287">
        <v>9.9999999999999995E-8</v>
      </c>
      <c r="F287" t="s">
        <v>6</v>
      </c>
      <c r="G287" t="s">
        <v>5</v>
      </c>
      <c r="H287">
        <v>1</v>
      </c>
      <c r="I287">
        <v>20</v>
      </c>
      <c r="J287" t="s">
        <v>10</v>
      </c>
      <c r="K287">
        <v>3.1</v>
      </c>
      <c r="L287">
        <v>250</v>
      </c>
      <c r="M287">
        <v>3.0556000000000001</v>
      </c>
      <c r="N287">
        <v>254.12</v>
      </c>
      <c r="O287" t="s">
        <v>1506</v>
      </c>
    </row>
    <row r="288" spans="1:15" x14ac:dyDescent="0.25">
      <c r="A288" t="s">
        <v>56</v>
      </c>
      <c r="B288" t="s">
        <v>8</v>
      </c>
      <c r="C288">
        <v>0</v>
      </c>
      <c r="D288">
        <v>0.01</v>
      </c>
      <c r="E288">
        <v>9.9999999999999995E-7</v>
      </c>
      <c r="F288" t="s">
        <v>6</v>
      </c>
      <c r="G288" t="s">
        <v>5</v>
      </c>
      <c r="H288">
        <v>1</v>
      </c>
      <c r="I288">
        <v>20</v>
      </c>
      <c r="J288" t="s">
        <v>10</v>
      </c>
      <c r="K288">
        <v>3.1118999999999999</v>
      </c>
      <c r="L288">
        <v>251.96</v>
      </c>
      <c r="M288">
        <v>3.1095999999999999</v>
      </c>
      <c r="N288">
        <v>251.7</v>
      </c>
      <c r="O288" t="s">
        <v>1512</v>
      </c>
    </row>
    <row r="289" spans="1:15" x14ac:dyDescent="0.25">
      <c r="A289" t="s">
        <v>56</v>
      </c>
      <c r="B289" t="s">
        <v>8</v>
      </c>
      <c r="C289">
        <v>0</v>
      </c>
      <c r="D289">
        <v>0.01</v>
      </c>
      <c r="E289">
        <v>9.9999999999999995E-7</v>
      </c>
      <c r="F289" t="s">
        <v>6</v>
      </c>
      <c r="G289" t="s">
        <v>5</v>
      </c>
      <c r="H289">
        <v>1E-3</v>
      </c>
      <c r="I289">
        <v>0.04</v>
      </c>
      <c r="J289" t="s">
        <v>10</v>
      </c>
      <c r="K289">
        <v>4.5</v>
      </c>
      <c r="L289">
        <v>310.77</v>
      </c>
      <c r="M289">
        <v>4.4226000000000001</v>
      </c>
      <c r="N289">
        <v>310.57</v>
      </c>
      <c r="O289" t="s">
        <v>1514</v>
      </c>
    </row>
    <row r="290" spans="1:15" x14ac:dyDescent="0.25">
      <c r="A290" t="s">
        <v>56</v>
      </c>
      <c r="B290" t="s">
        <v>8</v>
      </c>
      <c r="C290">
        <v>0</v>
      </c>
      <c r="D290">
        <v>0.01</v>
      </c>
      <c r="E290">
        <v>9.9999999999999995E-7</v>
      </c>
      <c r="F290" t="s">
        <v>6</v>
      </c>
      <c r="G290" t="s">
        <v>5</v>
      </c>
      <c r="H290">
        <v>100</v>
      </c>
      <c r="I290">
        <v>300</v>
      </c>
      <c r="J290" t="s">
        <v>10</v>
      </c>
      <c r="K290">
        <v>4.2004999999999999</v>
      </c>
      <c r="L290">
        <v>46000</v>
      </c>
      <c r="M290">
        <v>2.919</v>
      </c>
      <c r="N290">
        <v>46128</v>
      </c>
      <c r="O290" t="s">
        <v>1513</v>
      </c>
    </row>
    <row r="291" spans="1:15" x14ac:dyDescent="0.25">
      <c r="A291" t="s">
        <v>56</v>
      </c>
      <c r="B291" t="s">
        <v>8</v>
      </c>
      <c r="C291">
        <v>0</v>
      </c>
      <c r="D291">
        <v>0.01</v>
      </c>
      <c r="E291">
        <v>9.9999999999999995E-7</v>
      </c>
      <c r="F291" t="s">
        <v>6</v>
      </c>
      <c r="G291" t="s">
        <v>5</v>
      </c>
      <c r="H291">
        <v>20</v>
      </c>
      <c r="I291">
        <v>50</v>
      </c>
      <c r="J291" t="s">
        <v>10</v>
      </c>
      <c r="K291">
        <v>5.6</v>
      </c>
      <c r="L291">
        <v>837.24</v>
      </c>
      <c r="M291">
        <v>5.5655999999999999</v>
      </c>
      <c r="N291">
        <v>837.27</v>
      </c>
      <c r="O291" t="s">
        <v>1515</v>
      </c>
    </row>
    <row r="292" spans="1:15" x14ac:dyDescent="0.25">
      <c r="A292" t="s">
        <v>56</v>
      </c>
      <c r="B292" t="s">
        <v>8</v>
      </c>
      <c r="C292">
        <v>0</v>
      </c>
      <c r="D292">
        <v>0.01</v>
      </c>
      <c r="E292">
        <v>9.9999999999999995E-7</v>
      </c>
      <c r="F292" t="s">
        <v>6</v>
      </c>
      <c r="G292" t="s">
        <v>5</v>
      </c>
      <c r="H292">
        <v>300</v>
      </c>
      <c r="I292">
        <v>1000</v>
      </c>
      <c r="J292" t="s">
        <v>10</v>
      </c>
      <c r="K292">
        <v>18</v>
      </c>
      <c r="L292">
        <v>45495</v>
      </c>
      <c r="M292">
        <v>12.914999999999999</v>
      </c>
      <c r="N292">
        <v>45495</v>
      </c>
      <c r="O292" t="s">
        <v>1511</v>
      </c>
    </row>
    <row r="293" spans="1:15" x14ac:dyDescent="0.25">
      <c r="A293" t="s">
        <v>56</v>
      </c>
      <c r="B293" t="s">
        <v>8</v>
      </c>
      <c r="C293">
        <v>0</v>
      </c>
      <c r="D293">
        <v>0.01</v>
      </c>
      <c r="E293">
        <v>9.9999999999999995E-7</v>
      </c>
      <c r="F293" t="s">
        <v>6</v>
      </c>
      <c r="G293" t="s">
        <v>5</v>
      </c>
      <c r="H293">
        <v>50</v>
      </c>
      <c r="I293">
        <v>100</v>
      </c>
      <c r="J293" t="s">
        <v>10</v>
      </c>
      <c r="K293">
        <v>8.8000000000000007</v>
      </c>
      <c r="L293">
        <v>5145.7</v>
      </c>
      <c r="M293">
        <v>8.3291000000000004</v>
      </c>
      <c r="N293">
        <v>5145.8999999999996</v>
      </c>
      <c r="O293" t="s">
        <v>2543</v>
      </c>
    </row>
    <row r="294" spans="1:15" x14ac:dyDescent="0.25">
      <c r="A294" t="s">
        <v>56</v>
      </c>
      <c r="B294" t="s">
        <v>8</v>
      </c>
      <c r="C294">
        <v>0</v>
      </c>
      <c r="D294">
        <v>0.01</v>
      </c>
      <c r="E294">
        <v>9.9999999999999995E-7</v>
      </c>
      <c r="F294" t="s">
        <v>6</v>
      </c>
      <c r="G294" t="s">
        <v>5</v>
      </c>
      <c r="H294">
        <v>4000</v>
      </c>
      <c r="I294">
        <v>8000</v>
      </c>
      <c r="J294" t="s">
        <v>10</v>
      </c>
      <c r="K294">
        <v>31</v>
      </c>
      <c r="L294">
        <v>228990</v>
      </c>
      <c r="M294">
        <v>30.12</v>
      </c>
      <c r="N294">
        <v>228890</v>
      </c>
      <c r="O294" t="s">
        <v>2544</v>
      </c>
    </row>
    <row r="295" spans="1:15" x14ac:dyDescent="0.25">
      <c r="A295" t="s">
        <v>56</v>
      </c>
      <c r="B295" t="s">
        <v>8</v>
      </c>
      <c r="C295">
        <v>0</v>
      </c>
      <c r="D295">
        <v>0.01</v>
      </c>
      <c r="E295">
        <v>9.9999999999999995E-7</v>
      </c>
      <c r="F295" t="s">
        <v>6</v>
      </c>
      <c r="G295" t="s">
        <v>5</v>
      </c>
      <c r="H295">
        <v>1000</v>
      </c>
      <c r="I295">
        <v>4000</v>
      </c>
      <c r="J295" t="s">
        <v>10</v>
      </c>
      <c r="K295">
        <v>23</v>
      </c>
      <c r="L295">
        <v>79581</v>
      </c>
      <c r="M295">
        <v>22.687999999999999</v>
      </c>
      <c r="N295">
        <v>79410</v>
      </c>
      <c r="O295" t="s">
        <v>1516</v>
      </c>
    </row>
    <row r="296" spans="1:15" x14ac:dyDescent="0.25">
      <c r="A296" t="s">
        <v>56</v>
      </c>
      <c r="B296" t="s">
        <v>8</v>
      </c>
      <c r="C296">
        <v>0</v>
      </c>
      <c r="D296">
        <v>0.01</v>
      </c>
      <c r="E296">
        <v>9.9999999999999995E-7</v>
      </c>
      <c r="F296" t="s">
        <v>6</v>
      </c>
      <c r="G296" t="s">
        <v>5</v>
      </c>
      <c r="H296">
        <v>0.04</v>
      </c>
      <c r="I296">
        <v>1</v>
      </c>
      <c r="J296" t="s">
        <v>10</v>
      </c>
      <c r="K296">
        <v>3.0304000000000002</v>
      </c>
      <c r="L296">
        <v>161.11000000000001</v>
      </c>
      <c r="M296">
        <v>3.028</v>
      </c>
      <c r="N296">
        <v>160.75</v>
      </c>
      <c r="O296" t="s">
        <v>2545</v>
      </c>
    </row>
    <row r="297" spans="1:15" x14ac:dyDescent="0.25">
      <c r="A297" t="s">
        <v>56</v>
      </c>
      <c r="B297" t="s">
        <v>8</v>
      </c>
      <c r="C297">
        <v>0</v>
      </c>
      <c r="D297">
        <v>0.01</v>
      </c>
      <c r="E297">
        <v>1.0000000000000001E-5</v>
      </c>
      <c r="F297" t="s">
        <v>6</v>
      </c>
      <c r="G297" t="s">
        <v>5</v>
      </c>
      <c r="H297">
        <v>0.04</v>
      </c>
      <c r="I297">
        <v>1</v>
      </c>
      <c r="J297" t="s">
        <v>10</v>
      </c>
      <c r="K297">
        <v>6.4968000000000004</v>
      </c>
      <c r="L297">
        <v>89.968999999999994</v>
      </c>
      <c r="M297">
        <v>6.4923999999999999</v>
      </c>
      <c r="N297">
        <v>88.921999999999997</v>
      </c>
      <c r="O297" t="s">
        <v>1520</v>
      </c>
    </row>
    <row r="298" spans="1:15" x14ac:dyDescent="0.25">
      <c r="A298" t="s">
        <v>56</v>
      </c>
      <c r="B298" t="s">
        <v>8</v>
      </c>
      <c r="C298">
        <v>0</v>
      </c>
      <c r="D298">
        <v>0.01</v>
      </c>
      <c r="E298">
        <v>1.0000000000000001E-5</v>
      </c>
      <c r="F298" t="s">
        <v>6</v>
      </c>
      <c r="G298" t="s">
        <v>5</v>
      </c>
      <c r="H298">
        <v>1</v>
      </c>
      <c r="I298">
        <v>20</v>
      </c>
      <c r="J298" t="s">
        <v>10</v>
      </c>
      <c r="K298">
        <v>6.5335000000000001</v>
      </c>
      <c r="L298">
        <v>152.12</v>
      </c>
      <c r="M298">
        <v>6.5290999999999997</v>
      </c>
      <c r="N298">
        <v>151.19</v>
      </c>
      <c r="O298" t="s">
        <v>2547</v>
      </c>
    </row>
    <row r="299" spans="1:15" x14ac:dyDescent="0.25">
      <c r="A299" t="s">
        <v>56</v>
      </c>
      <c r="B299" t="s">
        <v>8</v>
      </c>
      <c r="C299">
        <v>0</v>
      </c>
      <c r="D299">
        <v>0.01</v>
      </c>
      <c r="E299">
        <v>1.0000000000000001E-5</v>
      </c>
      <c r="F299" t="s">
        <v>6</v>
      </c>
      <c r="G299" t="s">
        <v>5</v>
      </c>
      <c r="H299">
        <v>1E-3</v>
      </c>
      <c r="I299">
        <v>0.04</v>
      </c>
      <c r="J299" t="s">
        <v>10</v>
      </c>
      <c r="K299">
        <v>7.2506000000000004</v>
      </c>
      <c r="L299">
        <v>223.08</v>
      </c>
      <c r="M299">
        <v>7.2465999999999999</v>
      </c>
      <c r="N299">
        <v>222.31</v>
      </c>
      <c r="O299" t="s">
        <v>2548</v>
      </c>
    </row>
    <row r="300" spans="1:15" x14ac:dyDescent="0.25">
      <c r="A300" t="s">
        <v>56</v>
      </c>
      <c r="B300" t="s">
        <v>8</v>
      </c>
      <c r="C300">
        <v>0</v>
      </c>
      <c r="D300">
        <v>0.01</v>
      </c>
      <c r="E300">
        <v>1.0000000000000001E-5</v>
      </c>
      <c r="F300" t="s">
        <v>6</v>
      </c>
      <c r="G300" t="s">
        <v>5</v>
      </c>
      <c r="H300">
        <v>4000</v>
      </c>
      <c r="I300">
        <v>8000</v>
      </c>
      <c r="J300" t="s">
        <v>10</v>
      </c>
      <c r="K300">
        <v>31</v>
      </c>
      <c r="L300">
        <v>228940</v>
      </c>
      <c r="M300">
        <v>30.434000000000001</v>
      </c>
      <c r="N300">
        <v>228860</v>
      </c>
      <c r="O300" t="s">
        <v>1521</v>
      </c>
    </row>
    <row r="301" spans="1:15" x14ac:dyDescent="0.25">
      <c r="A301" t="s">
        <v>56</v>
      </c>
      <c r="B301" t="s">
        <v>8</v>
      </c>
      <c r="C301">
        <v>0</v>
      </c>
      <c r="D301">
        <v>0.01</v>
      </c>
      <c r="E301">
        <v>1.0000000000000001E-5</v>
      </c>
      <c r="F301" t="s">
        <v>6</v>
      </c>
      <c r="G301" t="s">
        <v>5</v>
      </c>
      <c r="H301">
        <v>20</v>
      </c>
      <c r="I301">
        <v>50</v>
      </c>
      <c r="J301" t="s">
        <v>10</v>
      </c>
      <c r="K301">
        <v>7.9955999999999996</v>
      </c>
      <c r="L301">
        <v>709.13</v>
      </c>
      <c r="M301">
        <v>7.9861000000000004</v>
      </c>
      <c r="N301">
        <v>708.96</v>
      </c>
      <c r="O301" t="s">
        <v>1519</v>
      </c>
    </row>
    <row r="302" spans="1:15" x14ac:dyDescent="0.25">
      <c r="A302" t="s">
        <v>56</v>
      </c>
      <c r="B302" t="s">
        <v>8</v>
      </c>
      <c r="C302">
        <v>0</v>
      </c>
      <c r="D302">
        <v>0.01</v>
      </c>
      <c r="E302">
        <v>1.0000000000000001E-5</v>
      </c>
      <c r="F302" t="s">
        <v>6</v>
      </c>
      <c r="G302" t="s">
        <v>5</v>
      </c>
      <c r="H302">
        <v>300</v>
      </c>
      <c r="I302">
        <v>1000</v>
      </c>
      <c r="J302" t="s">
        <v>10</v>
      </c>
      <c r="K302">
        <v>18</v>
      </c>
      <c r="L302">
        <v>45403</v>
      </c>
      <c r="M302">
        <v>13.84</v>
      </c>
      <c r="N302">
        <v>45406</v>
      </c>
      <c r="O302" t="s">
        <v>1522</v>
      </c>
    </row>
    <row r="303" spans="1:15" x14ac:dyDescent="0.25">
      <c r="A303" t="s">
        <v>56</v>
      </c>
      <c r="B303" t="s">
        <v>8</v>
      </c>
      <c r="C303">
        <v>0</v>
      </c>
      <c r="D303">
        <v>0.01</v>
      </c>
      <c r="E303">
        <v>1.0000000000000001E-5</v>
      </c>
      <c r="F303" t="s">
        <v>6</v>
      </c>
      <c r="G303" t="s">
        <v>5</v>
      </c>
      <c r="H303">
        <v>50</v>
      </c>
      <c r="I303">
        <v>100</v>
      </c>
      <c r="J303" t="s">
        <v>10</v>
      </c>
      <c r="K303">
        <v>10.061999999999999</v>
      </c>
      <c r="L303">
        <v>5001.3</v>
      </c>
      <c r="M303">
        <v>10.045999999999999</v>
      </c>
      <c r="N303">
        <v>5001.8</v>
      </c>
      <c r="O303" t="s">
        <v>1517</v>
      </c>
    </row>
    <row r="304" spans="1:15" x14ac:dyDescent="0.25">
      <c r="A304" t="s">
        <v>56</v>
      </c>
      <c r="B304" t="s">
        <v>8</v>
      </c>
      <c r="C304">
        <v>0</v>
      </c>
      <c r="D304">
        <v>0.01</v>
      </c>
      <c r="E304">
        <v>1.0000000000000001E-5</v>
      </c>
      <c r="F304" t="s">
        <v>6</v>
      </c>
      <c r="G304" t="s">
        <v>5</v>
      </c>
      <c r="H304">
        <v>100</v>
      </c>
      <c r="I304">
        <v>300</v>
      </c>
      <c r="J304" t="s">
        <v>10</v>
      </c>
      <c r="K304">
        <v>4.9503000000000004</v>
      </c>
      <c r="L304">
        <v>45929</v>
      </c>
      <c r="M304">
        <v>4.8762999999999996</v>
      </c>
      <c r="N304">
        <v>45936</v>
      </c>
      <c r="O304" t="s">
        <v>1518</v>
      </c>
    </row>
    <row r="305" spans="1:15" x14ac:dyDescent="0.25">
      <c r="A305" t="s">
        <v>56</v>
      </c>
      <c r="B305" t="s">
        <v>8</v>
      </c>
      <c r="C305">
        <v>0</v>
      </c>
      <c r="D305">
        <v>0.01</v>
      </c>
      <c r="E305">
        <v>1.0000000000000001E-5</v>
      </c>
      <c r="F305" t="s">
        <v>6</v>
      </c>
      <c r="G305" t="s">
        <v>5</v>
      </c>
      <c r="H305">
        <v>1000</v>
      </c>
      <c r="I305">
        <v>4000</v>
      </c>
      <c r="J305" t="s">
        <v>10</v>
      </c>
      <c r="K305">
        <v>23.292999999999999</v>
      </c>
      <c r="L305">
        <v>79521</v>
      </c>
      <c r="M305">
        <v>23.228000000000002</v>
      </c>
      <c r="N305">
        <v>79358</v>
      </c>
      <c r="O305" t="s">
        <v>2546</v>
      </c>
    </row>
    <row r="306" spans="1:15" x14ac:dyDescent="0.25">
      <c r="A306" t="s">
        <v>56</v>
      </c>
      <c r="B306" t="s">
        <v>8</v>
      </c>
      <c r="C306">
        <v>0</v>
      </c>
      <c r="D306">
        <v>0.01</v>
      </c>
      <c r="E306">
        <v>1E-4</v>
      </c>
      <c r="F306" t="s">
        <v>6</v>
      </c>
      <c r="G306" t="s">
        <v>5</v>
      </c>
      <c r="H306">
        <v>0.04</v>
      </c>
      <c r="I306">
        <v>1</v>
      </c>
      <c r="J306" t="s">
        <v>10</v>
      </c>
      <c r="K306">
        <v>57.814</v>
      </c>
      <c r="L306">
        <v>11.228999999999999</v>
      </c>
      <c r="M306">
        <v>57.811999999999998</v>
      </c>
      <c r="N306">
        <v>10.667</v>
      </c>
      <c r="O306" t="s">
        <v>1524</v>
      </c>
    </row>
    <row r="307" spans="1:15" x14ac:dyDescent="0.25">
      <c r="A307" t="s">
        <v>56</v>
      </c>
      <c r="B307" t="s">
        <v>8</v>
      </c>
      <c r="C307">
        <v>0</v>
      </c>
      <c r="D307">
        <v>0.01</v>
      </c>
      <c r="E307">
        <v>1E-4</v>
      </c>
      <c r="F307" t="s">
        <v>6</v>
      </c>
      <c r="G307" t="s">
        <v>5</v>
      </c>
      <c r="H307">
        <v>1000</v>
      </c>
      <c r="I307">
        <v>4000</v>
      </c>
      <c r="J307" t="s">
        <v>10</v>
      </c>
      <c r="K307">
        <v>57.908999999999999</v>
      </c>
      <c r="L307">
        <v>76095</v>
      </c>
      <c r="M307">
        <v>57.746000000000002</v>
      </c>
      <c r="N307">
        <v>76108</v>
      </c>
      <c r="O307" t="s">
        <v>1526</v>
      </c>
    </row>
    <row r="308" spans="1:15" x14ac:dyDescent="0.25">
      <c r="A308" t="s">
        <v>56</v>
      </c>
      <c r="B308" t="s">
        <v>8</v>
      </c>
      <c r="C308">
        <v>0</v>
      </c>
      <c r="D308">
        <v>0.01</v>
      </c>
      <c r="E308">
        <v>1E-4</v>
      </c>
      <c r="F308" t="s">
        <v>6</v>
      </c>
      <c r="G308" t="s">
        <v>5</v>
      </c>
      <c r="H308">
        <v>50</v>
      </c>
      <c r="I308">
        <v>100</v>
      </c>
      <c r="J308" t="s">
        <v>10</v>
      </c>
      <c r="K308">
        <v>58.167999999999999</v>
      </c>
      <c r="L308">
        <v>2497.6999999999998</v>
      </c>
      <c r="M308">
        <v>58.156999999999996</v>
      </c>
      <c r="N308">
        <v>2495.6</v>
      </c>
      <c r="O308" t="s">
        <v>1523</v>
      </c>
    </row>
    <row r="309" spans="1:15" x14ac:dyDescent="0.25">
      <c r="A309" t="s">
        <v>56</v>
      </c>
      <c r="B309" t="s">
        <v>8</v>
      </c>
      <c r="C309">
        <v>0</v>
      </c>
      <c r="D309">
        <v>0.01</v>
      </c>
      <c r="E309">
        <v>1E-4</v>
      </c>
      <c r="F309" t="s">
        <v>6</v>
      </c>
      <c r="G309" t="s">
        <v>5</v>
      </c>
      <c r="H309">
        <v>300</v>
      </c>
      <c r="I309">
        <v>1000</v>
      </c>
      <c r="J309" t="s">
        <v>10</v>
      </c>
      <c r="K309">
        <v>56.207000000000001</v>
      </c>
      <c r="L309">
        <v>41523</v>
      </c>
      <c r="M309">
        <v>56.162999999999997</v>
      </c>
      <c r="N309">
        <v>41525</v>
      </c>
      <c r="O309" t="s">
        <v>1527</v>
      </c>
    </row>
    <row r="310" spans="1:15" x14ac:dyDescent="0.25">
      <c r="A310" t="s">
        <v>56</v>
      </c>
      <c r="B310" t="s">
        <v>8</v>
      </c>
      <c r="C310">
        <v>0</v>
      </c>
      <c r="D310">
        <v>0.01</v>
      </c>
      <c r="E310">
        <v>1E-4</v>
      </c>
      <c r="F310" t="s">
        <v>6</v>
      </c>
      <c r="G310" t="s">
        <v>5</v>
      </c>
      <c r="H310">
        <v>4000</v>
      </c>
      <c r="I310">
        <v>8000</v>
      </c>
      <c r="J310" t="s">
        <v>10</v>
      </c>
      <c r="K310">
        <v>56.084000000000003</v>
      </c>
      <c r="L310">
        <v>226390</v>
      </c>
      <c r="M310">
        <v>55.738</v>
      </c>
      <c r="N310">
        <v>226400</v>
      </c>
      <c r="O310" t="s">
        <v>2551</v>
      </c>
    </row>
    <row r="311" spans="1:15" x14ac:dyDescent="0.25">
      <c r="A311" t="s">
        <v>56</v>
      </c>
      <c r="B311" t="s">
        <v>8</v>
      </c>
      <c r="C311">
        <v>0</v>
      </c>
      <c r="D311">
        <v>0.01</v>
      </c>
      <c r="E311">
        <v>1E-4</v>
      </c>
      <c r="F311" t="s">
        <v>6</v>
      </c>
      <c r="G311" t="s">
        <v>5</v>
      </c>
      <c r="H311">
        <v>1</v>
      </c>
      <c r="I311">
        <v>20</v>
      </c>
      <c r="J311" t="s">
        <v>10</v>
      </c>
      <c r="K311">
        <v>57.817999999999998</v>
      </c>
      <c r="L311">
        <v>19.600000000000001</v>
      </c>
      <c r="M311">
        <v>57.816000000000003</v>
      </c>
      <c r="N311">
        <v>19.039000000000001</v>
      </c>
      <c r="O311" t="s">
        <v>1528</v>
      </c>
    </row>
    <row r="312" spans="1:15" x14ac:dyDescent="0.25">
      <c r="A312" t="s">
        <v>56</v>
      </c>
      <c r="B312" t="s">
        <v>8</v>
      </c>
      <c r="C312">
        <v>0</v>
      </c>
      <c r="D312">
        <v>0.01</v>
      </c>
      <c r="E312">
        <v>1E-4</v>
      </c>
      <c r="F312" t="s">
        <v>6</v>
      </c>
      <c r="G312" t="s">
        <v>5</v>
      </c>
      <c r="H312">
        <v>1E-3</v>
      </c>
      <c r="I312">
        <v>0.04</v>
      </c>
      <c r="J312" t="s">
        <v>10</v>
      </c>
      <c r="K312">
        <v>57.902999999999999</v>
      </c>
      <c r="L312">
        <v>32.603000000000002</v>
      </c>
      <c r="M312">
        <v>57.901000000000003</v>
      </c>
      <c r="N312">
        <v>32.045000000000002</v>
      </c>
      <c r="O312" t="s">
        <v>2550</v>
      </c>
    </row>
    <row r="313" spans="1:15" x14ac:dyDescent="0.25">
      <c r="A313" t="s">
        <v>56</v>
      </c>
      <c r="B313" t="s">
        <v>8</v>
      </c>
      <c r="C313">
        <v>0</v>
      </c>
      <c r="D313">
        <v>0.01</v>
      </c>
      <c r="E313">
        <v>1E-4</v>
      </c>
      <c r="F313" t="s">
        <v>6</v>
      </c>
      <c r="G313" t="s">
        <v>5</v>
      </c>
      <c r="H313">
        <v>100</v>
      </c>
      <c r="I313">
        <v>300</v>
      </c>
      <c r="J313" t="s">
        <v>10</v>
      </c>
      <c r="K313">
        <v>54.13</v>
      </c>
      <c r="L313">
        <v>41367</v>
      </c>
      <c r="M313">
        <v>54.085999999999999</v>
      </c>
      <c r="N313">
        <v>41369</v>
      </c>
      <c r="O313" t="s">
        <v>2549</v>
      </c>
    </row>
    <row r="314" spans="1:15" x14ac:dyDescent="0.25">
      <c r="A314" t="s">
        <v>56</v>
      </c>
      <c r="B314" t="s">
        <v>8</v>
      </c>
      <c r="C314">
        <v>0</v>
      </c>
      <c r="D314">
        <v>0.01</v>
      </c>
      <c r="E314">
        <v>1E-4</v>
      </c>
      <c r="F314" t="s">
        <v>6</v>
      </c>
      <c r="G314" t="s">
        <v>5</v>
      </c>
      <c r="H314">
        <v>20</v>
      </c>
      <c r="I314">
        <v>50</v>
      </c>
      <c r="J314" t="s">
        <v>10</v>
      </c>
      <c r="K314">
        <v>58</v>
      </c>
      <c r="L314">
        <v>140.31</v>
      </c>
      <c r="M314">
        <v>57.994</v>
      </c>
      <c r="N314">
        <v>139.69999999999999</v>
      </c>
      <c r="O314" t="s">
        <v>1525</v>
      </c>
    </row>
    <row r="315" spans="1:15" x14ac:dyDescent="0.25">
      <c r="A315" t="s">
        <v>56</v>
      </c>
      <c r="B315" t="s">
        <v>8</v>
      </c>
      <c r="C315">
        <v>0</v>
      </c>
      <c r="D315">
        <v>0.01</v>
      </c>
      <c r="E315">
        <v>1E-3</v>
      </c>
      <c r="F315" t="s">
        <v>6</v>
      </c>
      <c r="G315" t="s">
        <v>5</v>
      </c>
      <c r="H315">
        <v>1E-3</v>
      </c>
      <c r="I315">
        <v>0.04</v>
      </c>
      <c r="J315" t="s">
        <v>10</v>
      </c>
      <c r="K315">
        <v>577.37</v>
      </c>
      <c r="L315">
        <v>3.4481000000000002</v>
      </c>
      <c r="M315">
        <v>577.37</v>
      </c>
      <c r="N315">
        <v>3.2223999999999999</v>
      </c>
      <c r="O315" t="s">
        <v>2552</v>
      </c>
    </row>
    <row r="316" spans="1:15" x14ac:dyDescent="0.25">
      <c r="A316" t="s">
        <v>56</v>
      </c>
      <c r="B316" t="s">
        <v>8</v>
      </c>
      <c r="C316">
        <v>0</v>
      </c>
      <c r="D316">
        <v>0.01</v>
      </c>
      <c r="E316">
        <v>1E-3</v>
      </c>
      <c r="F316" t="s">
        <v>6</v>
      </c>
      <c r="G316" t="s">
        <v>5</v>
      </c>
      <c r="H316">
        <v>20</v>
      </c>
      <c r="I316">
        <v>50</v>
      </c>
      <c r="J316" t="s">
        <v>10</v>
      </c>
      <c r="K316">
        <v>577.38</v>
      </c>
      <c r="L316">
        <v>14.459</v>
      </c>
      <c r="M316">
        <v>577.37</v>
      </c>
      <c r="N316">
        <v>14.2</v>
      </c>
      <c r="O316" t="s">
        <v>1534</v>
      </c>
    </row>
    <row r="317" spans="1:15" x14ac:dyDescent="0.25">
      <c r="A317" t="s">
        <v>56</v>
      </c>
      <c r="B317" t="s">
        <v>8</v>
      </c>
      <c r="C317">
        <v>0</v>
      </c>
      <c r="D317">
        <v>0.01</v>
      </c>
      <c r="E317">
        <v>1E-3</v>
      </c>
      <c r="F317" t="s">
        <v>6</v>
      </c>
      <c r="G317" t="s">
        <v>5</v>
      </c>
      <c r="H317">
        <v>0.04</v>
      </c>
      <c r="I317">
        <v>1</v>
      </c>
      <c r="J317" t="s">
        <v>10</v>
      </c>
      <c r="K317">
        <v>577.36</v>
      </c>
      <c r="L317">
        <v>1.2948</v>
      </c>
      <c r="M317">
        <v>577.36</v>
      </c>
      <c r="N317">
        <v>1.0690999999999999</v>
      </c>
      <c r="O317" t="s">
        <v>1529</v>
      </c>
    </row>
    <row r="318" spans="1:15" x14ac:dyDescent="0.25">
      <c r="A318" t="s">
        <v>56</v>
      </c>
      <c r="B318" t="s">
        <v>8</v>
      </c>
      <c r="C318">
        <v>0</v>
      </c>
      <c r="D318">
        <v>0.01</v>
      </c>
      <c r="E318">
        <v>1E-3</v>
      </c>
      <c r="F318" t="s">
        <v>6</v>
      </c>
      <c r="G318" t="s">
        <v>5</v>
      </c>
      <c r="H318">
        <v>300</v>
      </c>
      <c r="I318">
        <v>1000</v>
      </c>
      <c r="J318" t="s">
        <v>10</v>
      </c>
      <c r="K318">
        <v>575.97</v>
      </c>
      <c r="L318">
        <v>16722</v>
      </c>
      <c r="M318">
        <v>573.47</v>
      </c>
      <c r="N318">
        <v>16718</v>
      </c>
      <c r="O318" t="s">
        <v>1536</v>
      </c>
    </row>
    <row r="319" spans="1:15" x14ac:dyDescent="0.25">
      <c r="A319" t="s">
        <v>56</v>
      </c>
      <c r="B319" t="s">
        <v>8</v>
      </c>
      <c r="C319">
        <v>0</v>
      </c>
      <c r="D319">
        <v>0.01</v>
      </c>
      <c r="E319">
        <v>1E-3</v>
      </c>
      <c r="F319" t="s">
        <v>6</v>
      </c>
      <c r="G319" t="s">
        <v>5</v>
      </c>
      <c r="H319">
        <v>4000</v>
      </c>
      <c r="I319">
        <v>8000</v>
      </c>
      <c r="J319" t="s">
        <v>10</v>
      </c>
      <c r="K319">
        <v>561.69000000000005</v>
      </c>
      <c r="L319">
        <v>182820</v>
      </c>
      <c r="M319">
        <v>557.14</v>
      </c>
      <c r="N319">
        <v>182830</v>
      </c>
      <c r="O319" t="s">
        <v>1530</v>
      </c>
    </row>
    <row r="320" spans="1:15" x14ac:dyDescent="0.25">
      <c r="A320" t="s">
        <v>56</v>
      </c>
      <c r="B320" t="s">
        <v>8</v>
      </c>
      <c r="C320">
        <v>0</v>
      </c>
      <c r="D320">
        <v>0.01</v>
      </c>
      <c r="E320">
        <v>1E-3</v>
      </c>
      <c r="F320" t="s">
        <v>6</v>
      </c>
      <c r="G320" t="s">
        <v>5</v>
      </c>
      <c r="H320">
        <v>1000</v>
      </c>
      <c r="I320">
        <v>4000</v>
      </c>
      <c r="J320" t="s">
        <v>10</v>
      </c>
      <c r="K320">
        <v>573.98</v>
      </c>
      <c r="L320">
        <v>42637</v>
      </c>
      <c r="M320">
        <v>570.55999999999995</v>
      </c>
      <c r="N320">
        <v>42634</v>
      </c>
      <c r="O320" t="s">
        <v>1531</v>
      </c>
    </row>
    <row r="321" spans="1:15" x14ac:dyDescent="0.25">
      <c r="A321" t="s">
        <v>56</v>
      </c>
      <c r="B321" t="s">
        <v>8</v>
      </c>
      <c r="C321">
        <v>0</v>
      </c>
      <c r="D321">
        <v>0.01</v>
      </c>
      <c r="E321">
        <v>1E-3</v>
      </c>
      <c r="F321" t="s">
        <v>6</v>
      </c>
      <c r="G321" t="s">
        <v>5</v>
      </c>
      <c r="H321">
        <v>1</v>
      </c>
      <c r="I321">
        <v>20</v>
      </c>
      <c r="J321" t="s">
        <v>10</v>
      </c>
      <c r="K321">
        <v>577.36</v>
      </c>
      <c r="L321">
        <v>2.1354000000000002</v>
      </c>
      <c r="M321">
        <v>577.36</v>
      </c>
      <c r="N321">
        <v>1.9097</v>
      </c>
      <c r="O321" t="s">
        <v>1533</v>
      </c>
    </row>
    <row r="322" spans="1:15" x14ac:dyDescent="0.25">
      <c r="A322" t="s">
        <v>56</v>
      </c>
      <c r="B322" t="s">
        <v>8</v>
      </c>
      <c r="C322">
        <v>0</v>
      </c>
      <c r="D322">
        <v>0.01</v>
      </c>
      <c r="E322">
        <v>1E-3</v>
      </c>
      <c r="F322" t="s">
        <v>6</v>
      </c>
      <c r="G322" t="s">
        <v>5</v>
      </c>
      <c r="H322">
        <v>100</v>
      </c>
      <c r="I322">
        <v>300</v>
      </c>
      <c r="J322" t="s">
        <v>10</v>
      </c>
      <c r="K322">
        <v>575.77</v>
      </c>
      <c r="L322">
        <v>16511</v>
      </c>
      <c r="M322">
        <v>573.27</v>
      </c>
      <c r="N322">
        <v>16507</v>
      </c>
      <c r="O322" t="s">
        <v>1532</v>
      </c>
    </row>
    <row r="323" spans="1:15" x14ac:dyDescent="0.25">
      <c r="A323" t="s">
        <v>56</v>
      </c>
      <c r="B323" t="s">
        <v>8</v>
      </c>
      <c r="C323">
        <v>0</v>
      </c>
      <c r="D323">
        <v>0.01</v>
      </c>
      <c r="E323">
        <v>1E-3</v>
      </c>
      <c r="F323" t="s">
        <v>6</v>
      </c>
      <c r="G323" t="s">
        <v>5</v>
      </c>
      <c r="H323">
        <v>50</v>
      </c>
      <c r="I323">
        <v>100</v>
      </c>
      <c r="J323" t="s">
        <v>10</v>
      </c>
      <c r="K323">
        <v>577.4</v>
      </c>
      <c r="L323">
        <v>306.39</v>
      </c>
      <c r="M323">
        <v>577.16999999999996</v>
      </c>
      <c r="N323">
        <v>305.02</v>
      </c>
      <c r="O323" t="s">
        <v>1535</v>
      </c>
    </row>
    <row r="324" spans="1:15" x14ac:dyDescent="0.25">
      <c r="A324" t="s">
        <v>56</v>
      </c>
      <c r="B324" t="s">
        <v>8</v>
      </c>
      <c r="C324">
        <v>0</v>
      </c>
      <c r="D324">
        <v>0.01</v>
      </c>
      <c r="E324">
        <v>0.01</v>
      </c>
      <c r="F324" t="s">
        <v>6</v>
      </c>
      <c r="G324" t="s">
        <v>5</v>
      </c>
      <c r="H324">
        <v>1000</v>
      </c>
      <c r="I324">
        <v>4000</v>
      </c>
      <c r="J324" t="s">
        <v>10</v>
      </c>
      <c r="K324">
        <v>5773.1</v>
      </c>
      <c r="L324">
        <v>5803.4</v>
      </c>
      <c r="M324">
        <v>5766</v>
      </c>
      <c r="N324">
        <v>5798.9</v>
      </c>
      <c r="O324" t="s">
        <v>1538</v>
      </c>
    </row>
    <row r="325" spans="1:15" x14ac:dyDescent="0.25">
      <c r="A325" t="s">
        <v>56</v>
      </c>
      <c r="B325" t="s">
        <v>8</v>
      </c>
      <c r="C325">
        <v>0</v>
      </c>
      <c r="D325">
        <v>0.01</v>
      </c>
      <c r="E325">
        <v>0.01</v>
      </c>
      <c r="F325" t="s">
        <v>6</v>
      </c>
      <c r="G325" t="s">
        <v>5</v>
      </c>
      <c r="H325">
        <v>4000</v>
      </c>
      <c r="I325">
        <v>8000</v>
      </c>
      <c r="J325" t="s">
        <v>10</v>
      </c>
      <c r="K325">
        <v>5769.3</v>
      </c>
      <c r="L325">
        <v>45269</v>
      </c>
      <c r="M325">
        <v>5751.2</v>
      </c>
      <c r="N325">
        <v>45261</v>
      </c>
      <c r="O325" t="s">
        <v>1537</v>
      </c>
    </row>
    <row r="326" spans="1:15" x14ac:dyDescent="0.25">
      <c r="A326" t="s">
        <v>56</v>
      </c>
      <c r="B326" t="s">
        <v>8</v>
      </c>
      <c r="C326">
        <v>0</v>
      </c>
      <c r="D326">
        <v>0.01</v>
      </c>
      <c r="E326">
        <v>0.1</v>
      </c>
      <c r="F326" t="s">
        <v>6</v>
      </c>
      <c r="G326" t="s">
        <v>5</v>
      </c>
      <c r="H326">
        <v>1000</v>
      </c>
      <c r="I326">
        <v>4000</v>
      </c>
      <c r="J326" t="s">
        <v>10</v>
      </c>
      <c r="K326">
        <v>57735</v>
      </c>
      <c r="L326">
        <v>584.6</v>
      </c>
      <c r="M326">
        <v>57728</v>
      </c>
      <c r="N326">
        <v>582.75</v>
      </c>
      <c r="O326" t="s">
        <v>1539</v>
      </c>
    </row>
    <row r="327" spans="1:15" x14ac:dyDescent="0.25">
      <c r="A327" t="s">
        <v>56</v>
      </c>
      <c r="B327" t="s">
        <v>8</v>
      </c>
      <c r="C327">
        <v>0</v>
      </c>
      <c r="D327">
        <v>0.01</v>
      </c>
      <c r="E327">
        <v>0.1</v>
      </c>
      <c r="F327" t="s">
        <v>6</v>
      </c>
      <c r="G327" t="s">
        <v>5</v>
      </c>
      <c r="H327">
        <v>4000</v>
      </c>
      <c r="I327">
        <v>8000</v>
      </c>
      <c r="J327" t="s">
        <v>10</v>
      </c>
      <c r="K327">
        <v>57735</v>
      </c>
      <c r="L327">
        <v>4703.5</v>
      </c>
      <c r="M327">
        <v>57713</v>
      </c>
      <c r="N327">
        <v>4700</v>
      </c>
      <c r="O327" t="s">
        <v>2553</v>
      </c>
    </row>
    <row r="328" spans="1:15" x14ac:dyDescent="0.25">
      <c r="A328" t="s">
        <v>56</v>
      </c>
      <c r="B328" t="s">
        <v>8</v>
      </c>
      <c r="C328">
        <v>0</v>
      </c>
      <c r="D328">
        <v>0.01</v>
      </c>
      <c r="E328">
        <v>1</v>
      </c>
      <c r="F328" t="s">
        <v>6</v>
      </c>
      <c r="G328" t="s">
        <v>5</v>
      </c>
      <c r="H328">
        <v>1000</v>
      </c>
      <c r="I328">
        <v>4000</v>
      </c>
      <c r="J328" t="s">
        <v>10</v>
      </c>
      <c r="K328">
        <v>577360</v>
      </c>
      <c r="L328">
        <v>59.02</v>
      </c>
      <c r="M328">
        <v>577350</v>
      </c>
      <c r="N328">
        <v>58.277999999999999</v>
      </c>
      <c r="O328" t="s">
        <v>1540</v>
      </c>
    </row>
    <row r="329" spans="1:15" x14ac:dyDescent="0.25">
      <c r="A329" t="s">
        <v>56</v>
      </c>
      <c r="B329" t="s">
        <v>8</v>
      </c>
      <c r="C329">
        <v>0</v>
      </c>
      <c r="D329">
        <v>0.01</v>
      </c>
      <c r="E329">
        <v>1</v>
      </c>
      <c r="F329" t="s">
        <v>6</v>
      </c>
      <c r="G329" t="s">
        <v>5</v>
      </c>
      <c r="H329">
        <v>4000</v>
      </c>
      <c r="I329">
        <v>8000</v>
      </c>
      <c r="J329" t="s">
        <v>10</v>
      </c>
      <c r="K329">
        <v>577360</v>
      </c>
      <c r="L329">
        <v>471.57</v>
      </c>
      <c r="M329">
        <v>577330</v>
      </c>
      <c r="N329">
        <v>470.19</v>
      </c>
      <c r="O329" t="s">
        <v>1541</v>
      </c>
    </row>
    <row r="330" spans="1:15" x14ac:dyDescent="0.25">
      <c r="A330" t="s">
        <v>56</v>
      </c>
      <c r="B330" t="s">
        <v>8</v>
      </c>
      <c r="C330">
        <v>0.01</v>
      </c>
      <c r="D330">
        <v>0.1</v>
      </c>
      <c r="E330">
        <v>1E-8</v>
      </c>
      <c r="F330" t="s">
        <v>6</v>
      </c>
      <c r="G330" t="s">
        <v>5</v>
      </c>
      <c r="H330">
        <v>0.04</v>
      </c>
      <c r="I330">
        <v>1</v>
      </c>
      <c r="J330" t="s">
        <v>10</v>
      </c>
      <c r="K330">
        <v>3.5</v>
      </c>
      <c r="L330">
        <v>81</v>
      </c>
      <c r="M330">
        <v>3.4428999999999998</v>
      </c>
      <c r="N330">
        <v>80.683999999999997</v>
      </c>
      <c r="O330" t="s">
        <v>2555</v>
      </c>
    </row>
    <row r="331" spans="1:15" x14ac:dyDescent="0.25">
      <c r="A331" t="s">
        <v>56</v>
      </c>
      <c r="B331" t="s">
        <v>8</v>
      </c>
      <c r="C331">
        <v>0.01</v>
      </c>
      <c r="D331">
        <v>0.1</v>
      </c>
      <c r="E331">
        <v>1E-8</v>
      </c>
      <c r="F331" t="s">
        <v>6</v>
      </c>
      <c r="G331" t="s">
        <v>5</v>
      </c>
      <c r="H331">
        <v>50</v>
      </c>
      <c r="I331">
        <v>100</v>
      </c>
      <c r="J331" t="s">
        <v>10</v>
      </c>
      <c r="K331">
        <v>6</v>
      </c>
      <c r="L331">
        <v>910</v>
      </c>
      <c r="M331">
        <v>5.9729000000000001</v>
      </c>
      <c r="N331">
        <v>906.03</v>
      </c>
      <c r="O331" t="s">
        <v>1546</v>
      </c>
    </row>
    <row r="332" spans="1:15" x14ac:dyDescent="0.25">
      <c r="A332" t="s">
        <v>56</v>
      </c>
      <c r="B332" t="s">
        <v>8</v>
      </c>
      <c r="C332">
        <v>0.01</v>
      </c>
      <c r="D332">
        <v>0.1</v>
      </c>
      <c r="E332">
        <v>1E-8</v>
      </c>
      <c r="F332" t="s">
        <v>6</v>
      </c>
      <c r="G332" t="s">
        <v>5</v>
      </c>
      <c r="H332">
        <v>1000</v>
      </c>
      <c r="I332">
        <v>2000</v>
      </c>
      <c r="J332" t="s">
        <v>10</v>
      </c>
      <c r="K332">
        <v>53</v>
      </c>
      <c r="L332">
        <v>17000</v>
      </c>
      <c r="M332">
        <v>11.488</v>
      </c>
      <c r="N332">
        <v>17414</v>
      </c>
      <c r="O332" t="s">
        <v>1548</v>
      </c>
    </row>
    <row r="333" spans="1:15" x14ac:dyDescent="0.25">
      <c r="A333" t="s">
        <v>56</v>
      </c>
      <c r="B333" t="s">
        <v>8</v>
      </c>
      <c r="C333">
        <v>0.01</v>
      </c>
      <c r="D333">
        <v>0.1</v>
      </c>
      <c r="E333">
        <v>1E-8</v>
      </c>
      <c r="F333" t="s">
        <v>6</v>
      </c>
      <c r="G333" t="s">
        <v>5</v>
      </c>
      <c r="H333">
        <v>100</v>
      </c>
      <c r="I333">
        <v>300</v>
      </c>
      <c r="J333" t="s">
        <v>10</v>
      </c>
      <c r="K333">
        <v>12</v>
      </c>
      <c r="L333">
        <v>3500</v>
      </c>
      <c r="M333">
        <v>11.521000000000001</v>
      </c>
      <c r="N333">
        <v>3476.1</v>
      </c>
      <c r="O333" t="s">
        <v>2554</v>
      </c>
    </row>
    <row r="334" spans="1:15" x14ac:dyDescent="0.25">
      <c r="A334" t="s">
        <v>56</v>
      </c>
      <c r="B334" t="s">
        <v>8</v>
      </c>
      <c r="C334">
        <v>0.01</v>
      </c>
      <c r="D334">
        <v>0.1</v>
      </c>
      <c r="E334">
        <v>1E-8</v>
      </c>
      <c r="F334" t="s">
        <v>6</v>
      </c>
      <c r="G334" t="s">
        <v>5</v>
      </c>
      <c r="H334">
        <v>2000</v>
      </c>
      <c r="I334">
        <v>4000</v>
      </c>
      <c r="J334" t="s">
        <v>10</v>
      </c>
      <c r="K334">
        <v>110</v>
      </c>
      <c r="L334">
        <v>46000</v>
      </c>
      <c r="M334">
        <v>80.778000000000006</v>
      </c>
      <c r="N334">
        <v>46223</v>
      </c>
      <c r="O334" t="s">
        <v>1543</v>
      </c>
    </row>
    <row r="335" spans="1:15" x14ac:dyDescent="0.25">
      <c r="A335" t="s">
        <v>56</v>
      </c>
      <c r="B335" t="s">
        <v>8</v>
      </c>
      <c r="C335">
        <v>0.01</v>
      </c>
      <c r="D335">
        <v>0.1</v>
      </c>
      <c r="E335">
        <v>1E-8</v>
      </c>
      <c r="F335" t="s">
        <v>6</v>
      </c>
      <c r="G335" t="s">
        <v>5</v>
      </c>
      <c r="H335">
        <v>8000</v>
      </c>
      <c r="I335">
        <v>10000</v>
      </c>
      <c r="J335" t="s">
        <v>10</v>
      </c>
      <c r="K335">
        <v>450</v>
      </c>
      <c r="L335">
        <v>170000</v>
      </c>
      <c r="M335">
        <v>115.4</v>
      </c>
      <c r="N335">
        <v>173280</v>
      </c>
      <c r="O335" t="s">
        <v>1545</v>
      </c>
    </row>
    <row r="336" spans="1:15" x14ac:dyDescent="0.25">
      <c r="A336" t="s">
        <v>56</v>
      </c>
      <c r="B336" t="s">
        <v>8</v>
      </c>
      <c r="C336">
        <v>0.01</v>
      </c>
      <c r="D336">
        <v>0.1</v>
      </c>
      <c r="E336">
        <v>1E-8</v>
      </c>
      <c r="F336" t="s">
        <v>6</v>
      </c>
      <c r="G336" t="s">
        <v>5</v>
      </c>
      <c r="H336">
        <v>1</v>
      </c>
      <c r="I336">
        <v>20</v>
      </c>
      <c r="J336" t="s">
        <v>10</v>
      </c>
      <c r="K336">
        <v>3.4</v>
      </c>
      <c r="L336">
        <v>160</v>
      </c>
      <c r="M336">
        <v>3.3551000000000002</v>
      </c>
      <c r="N336">
        <v>157.72</v>
      </c>
      <c r="O336" t="s">
        <v>2556</v>
      </c>
    </row>
    <row r="337" spans="1:15" x14ac:dyDescent="0.25">
      <c r="A337" t="s">
        <v>56</v>
      </c>
      <c r="B337" t="s">
        <v>8</v>
      </c>
      <c r="C337">
        <v>0.01</v>
      </c>
      <c r="D337">
        <v>0.1</v>
      </c>
      <c r="E337">
        <v>1E-8</v>
      </c>
      <c r="F337" t="s">
        <v>6</v>
      </c>
      <c r="G337" t="s">
        <v>5</v>
      </c>
      <c r="H337">
        <v>300</v>
      </c>
      <c r="I337">
        <v>1000</v>
      </c>
      <c r="J337" t="s">
        <v>10</v>
      </c>
      <c r="K337">
        <v>12</v>
      </c>
      <c r="L337">
        <v>12000</v>
      </c>
      <c r="M337">
        <v>11.521000000000001</v>
      </c>
      <c r="N337">
        <v>11631</v>
      </c>
      <c r="O337" t="s">
        <v>1547</v>
      </c>
    </row>
    <row r="338" spans="1:15" x14ac:dyDescent="0.25">
      <c r="A338" t="s">
        <v>56</v>
      </c>
      <c r="B338" t="s">
        <v>8</v>
      </c>
      <c r="C338">
        <v>0.01</v>
      </c>
      <c r="D338">
        <v>0.1</v>
      </c>
      <c r="E338">
        <v>1E-8</v>
      </c>
      <c r="F338" t="s">
        <v>6</v>
      </c>
      <c r="G338" t="s">
        <v>5</v>
      </c>
      <c r="H338">
        <v>1E-3</v>
      </c>
      <c r="I338">
        <v>0.04</v>
      </c>
      <c r="J338" t="s">
        <v>10</v>
      </c>
      <c r="K338">
        <v>5.4</v>
      </c>
      <c r="L338">
        <v>83</v>
      </c>
      <c r="M338">
        <v>5.3159999999999998</v>
      </c>
      <c r="N338">
        <v>83.165000000000006</v>
      </c>
      <c r="O338" t="s">
        <v>1544</v>
      </c>
    </row>
    <row r="339" spans="1:15" x14ac:dyDescent="0.25">
      <c r="A339" t="s">
        <v>56</v>
      </c>
      <c r="B339" t="s">
        <v>8</v>
      </c>
      <c r="C339">
        <v>0.01</v>
      </c>
      <c r="D339">
        <v>0.1</v>
      </c>
      <c r="E339">
        <v>1E-8</v>
      </c>
      <c r="F339" t="s">
        <v>6</v>
      </c>
      <c r="G339" t="s">
        <v>5</v>
      </c>
      <c r="H339">
        <v>20</v>
      </c>
      <c r="I339">
        <v>50</v>
      </c>
      <c r="J339" t="s">
        <v>10</v>
      </c>
      <c r="K339">
        <v>4.7</v>
      </c>
      <c r="L339">
        <v>330</v>
      </c>
      <c r="M339">
        <v>4.6688000000000001</v>
      </c>
      <c r="N339">
        <v>326.81</v>
      </c>
      <c r="O339" t="s">
        <v>1549</v>
      </c>
    </row>
    <row r="340" spans="1:15" x14ac:dyDescent="0.25">
      <c r="A340" t="s">
        <v>56</v>
      </c>
      <c r="B340" t="s">
        <v>8</v>
      </c>
      <c r="C340">
        <v>0.01</v>
      </c>
      <c r="D340">
        <v>0.1</v>
      </c>
      <c r="E340">
        <v>1E-8</v>
      </c>
      <c r="F340" t="s">
        <v>6</v>
      </c>
      <c r="G340" t="s">
        <v>5</v>
      </c>
      <c r="H340">
        <v>4000</v>
      </c>
      <c r="I340">
        <v>8000</v>
      </c>
      <c r="J340" t="s">
        <v>10</v>
      </c>
      <c r="K340">
        <v>120</v>
      </c>
      <c r="L340">
        <v>46000</v>
      </c>
      <c r="M340">
        <v>92.256</v>
      </c>
      <c r="N340">
        <v>46261</v>
      </c>
      <c r="O340" t="s">
        <v>1542</v>
      </c>
    </row>
    <row r="341" spans="1:15" x14ac:dyDescent="0.25">
      <c r="A341" t="s">
        <v>56</v>
      </c>
      <c r="B341" t="s">
        <v>8</v>
      </c>
      <c r="C341">
        <v>0.01</v>
      </c>
      <c r="D341">
        <v>0.1</v>
      </c>
      <c r="E341">
        <v>9.9999999999999995E-8</v>
      </c>
      <c r="F341" t="s">
        <v>6</v>
      </c>
      <c r="G341" t="s">
        <v>5</v>
      </c>
      <c r="H341">
        <v>1E-3</v>
      </c>
      <c r="I341">
        <v>0.04</v>
      </c>
      <c r="J341" t="s">
        <v>10</v>
      </c>
      <c r="K341">
        <v>5.4</v>
      </c>
      <c r="L341">
        <v>83.165999999999997</v>
      </c>
      <c r="M341">
        <v>5.3163</v>
      </c>
      <c r="N341">
        <v>83.162999999999997</v>
      </c>
      <c r="O341" t="s">
        <v>1550</v>
      </c>
    </row>
    <row r="342" spans="1:15" x14ac:dyDescent="0.25">
      <c r="A342" t="s">
        <v>56</v>
      </c>
      <c r="B342" t="s">
        <v>8</v>
      </c>
      <c r="C342">
        <v>0.01</v>
      </c>
      <c r="D342">
        <v>0.1</v>
      </c>
      <c r="E342">
        <v>9.9999999999999995E-8</v>
      </c>
      <c r="F342" t="s">
        <v>6</v>
      </c>
      <c r="G342" t="s">
        <v>5</v>
      </c>
      <c r="H342">
        <v>1000</v>
      </c>
      <c r="I342">
        <v>2000</v>
      </c>
      <c r="J342" t="s">
        <v>10</v>
      </c>
      <c r="K342">
        <v>53</v>
      </c>
      <c r="L342">
        <v>17054</v>
      </c>
      <c r="M342">
        <v>11.488</v>
      </c>
      <c r="N342">
        <v>17414</v>
      </c>
      <c r="O342" t="s">
        <v>1559</v>
      </c>
    </row>
    <row r="343" spans="1:15" x14ac:dyDescent="0.25">
      <c r="A343" t="s">
        <v>56</v>
      </c>
      <c r="B343" t="s">
        <v>8</v>
      </c>
      <c r="C343">
        <v>0.01</v>
      </c>
      <c r="D343">
        <v>0.1</v>
      </c>
      <c r="E343">
        <v>9.9999999999999995E-8</v>
      </c>
      <c r="F343" t="s">
        <v>6</v>
      </c>
      <c r="G343" t="s">
        <v>5</v>
      </c>
      <c r="H343">
        <v>4000</v>
      </c>
      <c r="I343">
        <v>8000</v>
      </c>
      <c r="J343" t="s">
        <v>10</v>
      </c>
      <c r="K343">
        <v>120</v>
      </c>
      <c r="L343">
        <v>46000</v>
      </c>
      <c r="M343">
        <v>92.256</v>
      </c>
      <c r="N343">
        <v>46261</v>
      </c>
      <c r="O343" t="s">
        <v>1558</v>
      </c>
    </row>
    <row r="344" spans="1:15" x14ac:dyDescent="0.25">
      <c r="A344" t="s">
        <v>56</v>
      </c>
      <c r="B344" t="s">
        <v>8</v>
      </c>
      <c r="C344">
        <v>0.01</v>
      </c>
      <c r="D344">
        <v>0.1</v>
      </c>
      <c r="E344">
        <v>9.9999999999999995E-8</v>
      </c>
      <c r="F344" t="s">
        <v>6</v>
      </c>
      <c r="G344" t="s">
        <v>5</v>
      </c>
      <c r="H344">
        <v>300</v>
      </c>
      <c r="I344">
        <v>1000</v>
      </c>
      <c r="J344" t="s">
        <v>10</v>
      </c>
      <c r="K344">
        <v>12</v>
      </c>
      <c r="L344">
        <v>12000</v>
      </c>
      <c r="M344">
        <v>11.521000000000001</v>
      </c>
      <c r="N344">
        <v>11631</v>
      </c>
      <c r="O344" t="s">
        <v>1557</v>
      </c>
    </row>
    <row r="345" spans="1:15" x14ac:dyDescent="0.25">
      <c r="A345" t="s">
        <v>56</v>
      </c>
      <c r="B345" t="s">
        <v>8</v>
      </c>
      <c r="C345">
        <v>0.01</v>
      </c>
      <c r="D345">
        <v>0.1</v>
      </c>
      <c r="E345">
        <v>9.9999999999999995E-8</v>
      </c>
      <c r="F345" t="s">
        <v>6</v>
      </c>
      <c r="G345" t="s">
        <v>5</v>
      </c>
      <c r="H345">
        <v>2000</v>
      </c>
      <c r="I345">
        <v>4000</v>
      </c>
      <c r="J345" t="s">
        <v>10</v>
      </c>
      <c r="K345">
        <v>110</v>
      </c>
      <c r="L345">
        <v>46000</v>
      </c>
      <c r="M345">
        <v>80.778000000000006</v>
      </c>
      <c r="N345">
        <v>46223</v>
      </c>
      <c r="O345" t="s">
        <v>1553</v>
      </c>
    </row>
    <row r="346" spans="1:15" x14ac:dyDescent="0.25">
      <c r="A346" t="s">
        <v>56</v>
      </c>
      <c r="B346" t="s">
        <v>8</v>
      </c>
      <c r="C346">
        <v>0.01</v>
      </c>
      <c r="D346">
        <v>0.1</v>
      </c>
      <c r="E346">
        <v>9.9999999999999995E-8</v>
      </c>
      <c r="F346" t="s">
        <v>6</v>
      </c>
      <c r="G346" t="s">
        <v>5</v>
      </c>
      <c r="H346">
        <v>50</v>
      </c>
      <c r="I346">
        <v>100</v>
      </c>
      <c r="J346" t="s">
        <v>10</v>
      </c>
      <c r="K346">
        <v>6</v>
      </c>
      <c r="L346">
        <v>906.02</v>
      </c>
      <c r="M346">
        <v>5.9729999999999999</v>
      </c>
      <c r="N346">
        <v>906.03</v>
      </c>
      <c r="O346" t="s">
        <v>1556</v>
      </c>
    </row>
    <row r="347" spans="1:15" x14ac:dyDescent="0.25">
      <c r="A347" t="s">
        <v>56</v>
      </c>
      <c r="B347" t="s">
        <v>8</v>
      </c>
      <c r="C347">
        <v>0.01</v>
      </c>
      <c r="D347">
        <v>0.1</v>
      </c>
      <c r="E347">
        <v>9.9999999999999995E-8</v>
      </c>
      <c r="F347" t="s">
        <v>6</v>
      </c>
      <c r="G347" t="s">
        <v>5</v>
      </c>
      <c r="H347">
        <v>0.04</v>
      </c>
      <c r="I347">
        <v>1</v>
      </c>
      <c r="J347" t="s">
        <v>10</v>
      </c>
      <c r="K347">
        <v>3.5</v>
      </c>
      <c r="L347">
        <v>80.683999999999997</v>
      </c>
      <c r="M347">
        <v>3.4434</v>
      </c>
      <c r="N347">
        <v>80.682000000000002</v>
      </c>
      <c r="O347" t="s">
        <v>1552</v>
      </c>
    </row>
    <row r="348" spans="1:15" x14ac:dyDescent="0.25">
      <c r="A348" t="s">
        <v>56</v>
      </c>
      <c r="B348" t="s">
        <v>8</v>
      </c>
      <c r="C348">
        <v>0.01</v>
      </c>
      <c r="D348">
        <v>0.1</v>
      </c>
      <c r="E348">
        <v>9.9999999999999995E-8</v>
      </c>
      <c r="F348" t="s">
        <v>6</v>
      </c>
      <c r="G348" t="s">
        <v>5</v>
      </c>
      <c r="H348">
        <v>8000</v>
      </c>
      <c r="I348">
        <v>10000</v>
      </c>
      <c r="J348" t="s">
        <v>10</v>
      </c>
      <c r="K348">
        <v>450</v>
      </c>
      <c r="L348">
        <v>170030</v>
      </c>
      <c r="M348">
        <v>115.4</v>
      </c>
      <c r="N348">
        <v>173280</v>
      </c>
      <c r="O348" t="s">
        <v>1555</v>
      </c>
    </row>
    <row r="349" spans="1:15" x14ac:dyDescent="0.25">
      <c r="A349" t="s">
        <v>56</v>
      </c>
      <c r="B349" t="s">
        <v>8</v>
      </c>
      <c r="C349">
        <v>0.01</v>
      </c>
      <c r="D349">
        <v>0.1</v>
      </c>
      <c r="E349">
        <v>9.9999999999999995E-8</v>
      </c>
      <c r="F349" t="s">
        <v>6</v>
      </c>
      <c r="G349" t="s">
        <v>5</v>
      </c>
      <c r="H349">
        <v>20</v>
      </c>
      <c r="I349">
        <v>50</v>
      </c>
      <c r="J349" t="s">
        <v>10</v>
      </c>
      <c r="K349">
        <v>4.7</v>
      </c>
      <c r="L349">
        <v>327.36</v>
      </c>
      <c r="M349">
        <v>4.6691000000000003</v>
      </c>
      <c r="N349">
        <v>326.81</v>
      </c>
      <c r="O349" t="s">
        <v>1551</v>
      </c>
    </row>
    <row r="350" spans="1:15" x14ac:dyDescent="0.25">
      <c r="A350" t="s">
        <v>56</v>
      </c>
      <c r="B350" t="s">
        <v>8</v>
      </c>
      <c r="C350">
        <v>0.01</v>
      </c>
      <c r="D350">
        <v>0.1</v>
      </c>
      <c r="E350">
        <v>9.9999999999999995E-8</v>
      </c>
      <c r="F350" t="s">
        <v>6</v>
      </c>
      <c r="G350" t="s">
        <v>5</v>
      </c>
      <c r="H350">
        <v>1</v>
      </c>
      <c r="I350">
        <v>20</v>
      </c>
      <c r="J350" t="s">
        <v>10</v>
      </c>
      <c r="K350">
        <v>3.4</v>
      </c>
      <c r="L350">
        <v>157.72</v>
      </c>
      <c r="M350">
        <v>3.3552</v>
      </c>
      <c r="N350">
        <v>157.72</v>
      </c>
      <c r="O350" t="s">
        <v>1554</v>
      </c>
    </row>
    <row r="351" spans="1:15" x14ac:dyDescent="0.25">
      <c r="A351" t="s">
        <v>56</v>
      </c>
      <c r="B351" t="s">
        <v>8</v>
      </c>
      <c r="C351">
        <v>0.01</v>
      </c>
      <c r="D351">
        <v>0.1</v>
      </c>
      <c r="E351">
        <v>9.9999999999999995E-8</v>
      </c>
      <c r="F351" t="s">
        <v>6</v>
      </c>
      <c r="G351" t="s">
        <v>5</v>
      </c>
      <c r="H351">
        <v>100</v>
      </c>
      <c r="I351">
        <v>300</v>
      </c>
      <c r="J351" t="s">
        <v>10</v>
      </c>
      <c r="K351">
        <v>12</v>
      </c>
      <c r="L351">
        <v>3500</v>
      </c>
      <c r="M351">
        <v>11.521000000000001</v>
      </c>
      <c r="N351">
        <v>3476.1</v>
      </c>
      <c r="O351" t="s">
        <v>2557</v>
      </c>
    </row>
    <row r="352" spans="1:15" x14ac:dyDescent="0.25">
      <c r="A352" t="s">
        <v>56</v>
      </c>
      <c r="B352" t="s">
        <v>8</v>
      </c>
      <c r="C352">
        <v>0.01</v>
      </c>
      <c r="D352">
        <v>0.1</v>
      </c>
      <c r="E352">
        <v>9.9999999999999995E-7</v>
      </c>
      <c r="F352" t="s">
        <v>6</v>
      </c>
      <c r="G352" t="s">
        <v>5</v>
      </c>
      <c r="H352">
        <v>1E-3</v>
      </c>
      <c r="I352">
        <v>0.04</v>
      </c>
      <c r="J352" t="s">
        <v>10</v>
      </c>
      <c r="K352">
        <v>5.4</v>
      </c>
      <c r="L352">
        <v>83.01</v>
      </c>
      <c r="M352">
        <v>5.3446999999999996</v>
      </c>
      <c r="N352">
        <v>83</v>
      </c>
      <c r="O352" t="s">
        <v>1561</v>
      </c>
    </row>
    <row r="353" spans="1:15" x14ac:dyDescent="0.25">
      <c r="A353" t="s">
        <v>56</v>
      </c>
      <c r="B353" t="s">
        <v>8</v>
      </c>
      <c r="C353">
        <v>0.01</v>
      </c>
      <c r="D353">
        <v>0.1</v>
      </c>
      <c r="E353">
        <v>9.9999999999999995E-7</v>
      </c>
      <c r="F353" t="s">
        <v>6</v>
      </c>
      <c r="G353" t="s">
        <v>5</v>
      </c>
      <c r="H353">
        <v>50</v>
      </c>
      <c r="I353">
        <v>100</v>
      </c>
      <c r="J353" t="s">
        <v>10</v>
      </c>
      <c r="K353">
        <v>6</v>
      </c>
      <c r="L353">
        <v>905.89</v>
      </c>
      <c r="M353">
        <v>5.9854000000000003</v>
      </c>
      <c r="N353">
        <v>905.92</v>
      </c>
      <c r="O353" t="s">
        <v>2559</v>
      </c>
    </row>
    <row r="354" spans="1:15" x14ac:dyDescent="0.25">
      <c r="A354" t="s">
        <v>56</v>
      </c>
      <c r="B354" t="s">
        <v>8</v>
      </c>
      <c r="C354">
        <v>0.01</v>
      </c>
      <c r="D354">
        <v>0.1</v>
      </c>
      <c r="E354">
        <v>9.9999999999999995E-7</v>
      </c>
      <c r="F354" t="s">
        <v>6</v>
      </c>
      <c r="G354" t="s">
        <v>5</v>
      </c>
      <c r="H354">
        <v>300</v>
      </c>
      <c r="I354">
        <v>1000</v>
      </c>
      <c r="J354" t="s">
        <v>10</v>
      </c>
      <c r="K354">
        <v>12</v>
      </c>
      <c r="L354">
        <v>12000</v>
      </c>
      <c r="M354">
        <v>11.521000000000001</v>
      </c>
      <c r="N354">
        <v>11631</v>
      </c>
      <c r="O354" t="s">
        <v>1564</v>
      </c>
    </row>
    <row r="355" spans="1:15" x14ac:dyDescent="0.25">
      <c r="A355" t="s">
        <v>56</v>
      </c>
      <c r="B355" t="s">
        <v>8</v>
      </c>
      <c r="C355">
        <v>0.01</v>
      </c>
      <c r="D355">
        <v>0.1</v>
      </c>
      <c r="E355">
        <v>9.9999999999999995E-7</v>
      </c>
      <c r="F355" t="s">
        <v>6</v>
      </c>
      <c r="G355" t="s">
        <v>5</v>
      </c>
      <c r="H355">
        <v>8000</v>
      </c>
      <c r="I355">
        <v>10000</v>
      </c>
      <c r="J355" t="s">
        <v>10</v>
      </c>
      <c r="K355">
        <v>450</v>
      </c>
      <c r="L355">
        <v>170040</v>
      </c>
      <c r="M355">
        <v>115.4</v>
      </c>
      <c r="N355">
        <v>173280</v>
      </c>
      <c r="O355" t="s">
        <v>1563</v>
      </c>
    </row>
    <row r="356" spans="1:15" x14ac:dyDescent="0.25">
      <c r="A356" t="s">
        <v>56</v>
      </c>
      <c r="B356" t="s">
        <v>8</v>
      </c>
      <c r="C356">
        <v>0.01</v>
      </c>
      <c r="D356">
        <v>0.1</v>
      </c>
      <c r="E356">
        <v>9.9999999999999995E-7</v>
      </c>
      <c r="F356" t="s">
        <v>6</v>
      </c>
      <c r="G356" t="s">
        <v>5</v>
      </c>
      <c r="H356">
        <v>4000</v>
      </c>
      <c r="I356">
        <v>8000</v>
      </c>
      <c r="J356" t="s">
        <v>10</v>
      </c>
      <c r="K356">
        <v>120</v>
      </c>
      <c r="L356">
        <v>46000</v>
      </c>
      <c r="M356">
        <v>92.257000000000005</v>
      </c>
      <c r="N356">
        <v>46261</v>
      </c>
      <c r="O356" t="s">
        <v>2560</v>
      </c>
    </row>
    <row r="357" spans="1:15" x14ac:dyDescent="0.25">
      <c r="A357" t="s">
        <v>56</v>
      </c>
      <c r="B357" t="s">
        <v>8</v>
      </c>
      <c r="C357">
        <v>0.01</v>
      </c>
      <c r="D357">
        <v>0.1</v>
      </c>
      <c r="E357">
        <v>9.9999999999999995E-7</v>
      </c>
      <c r="F357" t="s">
        <v>6</v>
      </c>
      <c r="G357" t="s">
        <v>5</v>
      </c>
      <c r="H357">
        <v>0.04</v>
      </c>
      <c r="I357">
        <v>1</v>
      </c>
      <c r="J357" t="s">
        <v>10</v>
      </c>
      <c r="K357">
        <v>3.5</v>
      </c>
      <c r="L357">
        <v>80.42</v>
      </c>
      <c r="M357">
        <v>3.4847999999999999</v>
      </c>
      <c r="N357">
        <v>80.411000000000001</v>
      </c>
      <c r="O357" t="s">
        <v>1566</v>
      </c>
    </row>
    <row r="358" spans="1:15" x14ac:dyDescent="0.25">
      <c r="A358" t="s">
        <v>56</v>
      </c>
      <c r="B358" t="s">
        <v>8</v>
      </c>
      <c r="C358">
        <v>0.01</v>
      </c>
      <c r="D358">
        <v>0.1</v>
      </c>
      <c r="E358">
        <v>9.9999999999999995E-7</v>
      </c>
      <c r="F358" t="s">
        <v>6</v>
      </c>
      <c r="G358" t="s">
        <v>5</v>
      </c>
      <c r="H358">
        <v>100</v>
      </c>
      <c r="I358">
        <v>300</v>
      </c>
      <c r="J358" t="s">
        <v>10</v>
      </c>
      <c r="K358">
        <v>12</v>
      </c>
      <c r="L358">
        <v>3500</v>
      </c>
      <c r="M358">
        <v>11.522</v>
      </c>
      <c r="N358">
        <v>3476.1</v>
      </c>
      <c r="O358" t="s">
        <v>1560</v>
      </c>
    </row>
    <row r="359" spans="1:15" x14ac:dyDescent="0.25">
      <c r="A359" t="s">
        <v>56</v>
      </c>
      <c r="B359" t="s">
        <v>8</v>
      </c>
      <c r="C359">
        <v>0.01</v>
      </c>
      <c r="D359">
        <v>0.1</v>
      </c>
      <c r="E359">
        <v>9.9999999999999995E-7</v>
      </c>
      <c r="F359" t="s">
        <v>6</v>
      </c>
      <c r="G359" t="s">
        <v>5</v>
      </c>
      <c r="H359">
        <v>1000</v>
      </c>
      <c r="I359">
        <v>2000</v>
      </c>
      <c r="J359" t="s">
        <v>10</v>
      </c>
      <c r="K359">
        <v>53</v>
      </c>
      <c r="L359">
        <v>17054</v>
      </c>
      <c r="M359">
        <v>11.489000000000001</v>
      </c>
      <c r="N359">
        <v>17414</v>
      </c>
      <c r="O359" t="s">
        <v>1562</v>
      </c>
    </row>
    <row r="360" spans="1:15" x14ac:dyDescent="0.25">
      <c r="A360" t="s">
        <v>56</v>
      </c>
      <c r="B360" t="s">
        <v>8</v>
      </c>
      <c r="C360">
        <v>0.01</v>
      </c>
      <c r="D360">
        <v>0.1</v>
      </c>
      <c r="E360">
        <v>9.9999999999999995E-7</v>
      </c>
      <c r="F360" t="s">
        <v>6</v>
      </c>
      <c r="G360" t="s">
        <v>5</v>
      </c>
      <c r="H360">
        <v>2000</v>
      </c>
      <c r="I360">
        <v>4000</v>
      </c>
      <c r="J360" t="s">
        <v>10</v>
      </c>
      <c r="K360">
        <v>110</v>
      </c>
      <c r="L360">
        <v>46000</v>
      </c>
      <c r="M360">
        <v>80.778999999999996</v>
      </c>
      <c r="N360">
        <v>46223</v>
      </c>
      <c r="O360" t="s">
        <v>1565</v>
      </c>
    </row>
    <row r="361" spans="1:15" x14ac:dyDescent="0.25">
      <c r="A361" t="s">
        <v>56</v>
      </c>
      <c r="B361" t="s">
        <v>8</v>
      </c>
      <c r="C361">
        <v>0.01</v>
      </c>
      <c r="D361">
        <v>0.1</v>
      </c>
      <c r="E361">
        <v>9.9999999999999995E-7</v>
      </c>
      <c r="F361" t="s">
        <v>6</v>
      </c>
      <c r="G361" t="s">
        <v>5</v>
      </c>
      <c r="H361">
        <v>1</v>
      </c>
      <c r="I361">
        <v>20</v>
      </c>
      <c r="J361" t="s">
        <v>10</v>
      </c>
      <c r="K361">
        <v>3.4</v>
      </c>
      <c r="L361">
        <v>157.44999999999999</v>
      </c>
      <c r="M361">
        <v>3.3910999999999998</v>
      </c>
      <c r="N361">
        <v>157.44999999999999</v>
      </c>
      <c r="O361" t="s">
        <v>2558</v>
      </c>
    </row>
    <row r="362" spans="1:15" x14ac:dyDescent="0.25">
      <c r="A362" t="s">
        <v>56</v>
      </c>
      <c r="B362" t="s">
        <v>8</v>
      </c>
      <c r="C362">
        <v>0.01</v>
      </c>
      <c r="D362">
        <v>0.1</v>
      </c>
      <c r="E362">
        <v>9.9999999999999995E-7</v>
      </c>
      <c r="F362" t="s">
        <v>6</v>
      </c>
      <c r="G362" t="s">
        <v>5</v>
      </c>
      <c r="H362">
        <v>20</v>
      </c>
      <c r="I362">
        <v>50</v>
      </c>
      <c r="J362" t="s">
        <v>10</v>
      </c>
      <c r="K362">
        <v>4.7</v>
      </c>
      <c r="L362">
        <v>327.10000000000002</v>
      </c>
      <c r="M362">
        <v>4.6916000000000002</v>
      </c>
      <c r="N362">
        <v>326.63</v>
      </c>
      <c r="O362" t="s">
        <v>1567</v>
      </c>
    </row>
    <row r="363" spans="1:15" x14ac:dyDescent="0.25">
      <c r="A363" t="s">
        <v>56</v>
      </c>
      <c r="B363" t="s">
        <v>8</v>
      </c>
      <c r="C363">
        <v>0.01</v>
      </c>
      <c r="D363">
        <v>0.1</v>
      </c>
      <c r="E363">
        <v>1.0000000000000001E-5</v>
      </c>
      <c r="F363" t="s">
        <v>6</v>
      </c>
      <c r="G363" t="s">
        <v>5</v>
      </c>
      <c r="H363">
        <v>8000</v>
      </c>
      <c r="I363">
        <v>10000</v>
      </c>
      <c r="J363" t="s">
        <v>10</v>
      </c>
      <c r="K363">
        <v>450</v>
      </c>
      <c r="L363">
        <v>170040</v>
      </c>
      <c r="M363">
        <v>115.41</v>
      </c>
      <c r="N363">
        <v>173280</v>
      </c>
      <c r="O363" t="s">
        <v>1576</v>
      </c>
    </row>
    <row r="364" spans="1:15" x14ac:dyDescent="0.25">
      <c r="A364" t="s">
        <v>56</v>
      </c>
      <c r="B364" t="s">
        <v>8</v>
      </c>
      <c r="C364">
        <v>0.01</v>
      </c>
      <c r="D364">
        <v>0.1</v>
      </c>
      <c r="E364">
        <v>1.0000000000000001E-5</v>
      </c>
      <c r="F364" t="s">
        <v>6</v>
      </c>
      <c r="G364" t="s">
        <v>5</v>
      </c>
      <c r="H364">
        <v>1000</v>
      </c>
      <c r="I364">
        <v>2000</v>
      </c>
      <c r="J364" t="s">
        <v>10</v>
      </c>
      <c r="K364">
        <v>53</v>
      </c>
      <c r="L364">
        <v>17054</v>
      </c>
      <c r="M364">
        <v>11.587999999999999</v>
      </c>
      <c r="N364">
        <v>17413</v>
      </c>
      <c r="O364" t="s">
        <v>1570</v>
      </c>
    </row>
    <row r="365" spans="1:15" x14ac:dyDescent="0.25">
      <c r="A365" t="s">
        <v>56</v>
      </c>
      <c r="B365" t="s">
        <v>8</v>
      </c>
      <c r="C365">
        <v>0.01</v>
      </c>
      <c r="D365">
        <v>0.1</v>
      </c>
      <c r="E365">
        <v>1.0000000000000001E-5</v>
      </c>
      <c r="F365" t="s">
        <v>6</v>
      </c>
      <c r="G365" t="s">
        <v>5</v>
      </c>
      <c r="H365">
        <v>300</v>
      </c>
      <c r="I365">
        <v>1000</v>
      </c>
      <c r="J365" t="s">
        <v>10</v>
      </c>
      <c r="K365">
        <v>12</v>
      </c>
      <c r="L365">
        <v>12000</v>
      </c>
      <c r="M365">
        <v>11.635</v>
      </c>
      <c r="N365">
        <v>11630</v>
      </c>
      <c r="O365" t="s">
        <v>1568</v>
      </c>
    </row>
    <row r="366" spans="1:15" x14ac:dyDescent="0.25">
      <c r="A366" t="s">
        <v>56</v>
      </c>
      <c r="B366" t="s">
        <v>8</v>
      </c>
      <c r="C366">
        <v>0.01</v>
      </c>
      <c r="D366">
        <v>0.1</v>
      </c>
      <c r="E366">
        <v>1.0000000000000001E-5</v>
      </c>
      <c r="F366" t="s">
        <v>6</v>
      </c>
      <c r="G366" t="s">
        <v>5</v>
      </c>
      <c r="H366">
        <v>1</v>
      </c>
      <c r="I366">
        <v>20</v>
      </c>
      <c r="J366" t="s">
        <v>10</v>
      </c>
      <c r="K366">
        <v>6.2203999999999997</v>
      </c>
      <c r="L366">
        <v>137.65</v>
      </c>
      <c r="M366">
        <v>6.2175000000000002</v>
      </c>
      <c r="N366">
        <v>137.62</v>
      </c>
      <c r="O366" t="s">
        <v>1569</v>
      </c>
    </row>
    <row r="367" spans="1:15" x14ac:dyDescent="0.25">
      <c r="A367" t="s">
        <v>56</v>
      </c>
      <c r="B367" t="s">
        <v>8</v>
      </c>
      <c r="C367">
        <v>0.01</v>
      </c>
      <c r="D367">
        <v>0.1</v>
      </c>
      <c r="E367">
        <v>1.0000000000000001E-5</v>
      </c>
      <c r="F367" t="s">
        <v>6</v>
      </c>
      <c r="G367" t="s">
        <v>5</v>
      </c>
      <c r="H367">
        <v>1E-3</v>
      </c>
      <c r="I367">
        <v>0.04</v>
      </c>
      <c r="J367" t="s">
        <v>10</v>
      </c>
      <c r="K367">
        <v>7.7286000000000001</v>
      </c>
      <c r="L367">
        <v>70.834999999999994</v>
      </c>
      <c r="M367">
        <v>7.7257999999999996</v>
      </c>
      <c r="N367">
        <v>70.789000000000001</v>
      </c>
      <c r="O367" t="s">
        <v>1571</v>
      </c>
    </row>
    <row r="368" spans="1:15" x14ac:dyDescent="0.25">
      <c r="A368" t="s">
        <v>56</v>
      </c>
      <c r="B368" t="s">
        <v>8</v>
      </c>
      <c r="C368">
        <v>0.01</v>
      </c>
      <c r="D368">
        <v>0.1</v>
      </c>
      <c r="E368">
        <v>1.0000000000000001E-5</v>
      </c>
      <c r="F368" t="s">
        <v>6</v>
      </c>
      <c r="G368" t="s">
        <v>5</v>
      </c>
      <c r="H368">
        <v>20</v>
      </c>
      <c r="I368">
        <v>50</v>
      </c>
      <c r="J368" t="s">
        <v>10</v>
      </c>
      <c r="K368">
        <v>6.7172000000000001</v>
      </c>
      <c r="L368">
        <v>310.87</v>
      </c>
      <c r="M368">
        <v>6.7062999999999997</v>
      </c>
      <c r="N368">
        <v>310.87</v>
      </c>
      <c r="O368" t="s">
        <v>1573</v>
      </c>
    </row>
    <row r="369" spans="1:15" x14ac:dyDescent="0.25">
      <c r="A369" t="s">
        <v>56</v>
      </c>
      <c r="B369" t="s">
        <v>8</v>
      </c>
      <c r="C369">
        <v>0.01</v>
      </c>
      <c r="D369">
        <v>0.1</v>
      </c>
      <c r="E369">
        <v>1.0000000000000001E-5</v>
      </c>
      <c r="F369" t="s">
        <v>6</v>
      </c>
      <c r="G369" t="s">
        <v>5</v>
      </c>
      <c r="H369">
        <v>0.04</v>
      </c>
      <c r="I369">
        <v>1</v>
      </c>
      <c r="J369" t="s">
        <v>10</v>
      </c>
      <c r="K369">
        <v>6.5380000000000003</v>
      </c>
      <c r="L369">
        <v>63.487000000000002</v>
      </c>
      <c r="M369">
        <v>6.5346000000000002</v>
      </c>
      <c r="N369">
        <v>63.435000000000002</v>
      </c>
      <c r="O369" t="s">
        <v>2562</v>
      </c>
    </row>
    <row r="370" spans="1:15" x14ac:dyDescent="0.25">
      <c r="A370" t="s">
        <v>56</v>
      </c>
      <c r="B370" t="s">
        <v>8</v>
      </c>
      <c r="C370">
        <v>0.01</v>
      </c>
      <c r="D370">
        <v>0.1</v>
      </c>
      <c r="E370">
        <v>1.0000000000000001E-5</v>
      </c>
      <c r="F370" t="s">
        <v>6</v>
      </c>
      <c r="G370" t="s">
        <v>5</v>
      </c>
      <c r="H370">
        <v>50</v>
      </c>
      <c r="I370">
        <v>100</v>
      </c>
      <c r="J370" t="s">
        <v>10</v>
      </c>
      <c r="K370">
        <v>7.1698000000000004</v>
      </c>
      <c r="L370">
        <v>895.95</v>
      </c>
      <c r="M370">
        <v>7.1433</v>
      </c>
      <c r="N370">
        <v>896.05</v>
      </c>
      <c r="O370" t="s">
        <v>1575</v>
      </c>
    </row>
    <row r="371" spans="1:15" x14ac:dyDescent="0.25">
      <c r="A371" t="s">
        <v>56</v>
      </c>
      <c r="B371" t="s">
        <v>8</v>
      </c>
      <c r="C371">
        <v>0.01</v>
      </c>
      <c r="D371">
        <v>0.1</v>
      </c>
      <c r="E371">
        <v>1.0000000000000001E-5</v>
      </c>
      <c r="F371" t="s">
        <v>6</v>
      </c>
      <c r="G371" t="s">
        <v>5</v>
      </c>
      <c r="H371">
        <v>2000</v>
      </c>
      <c r="I371">
        <v>4000</v>
      </c>
      <c r="J371" t="s">
        <v>10</v>
      </c>
      <c r="K371">
        <v>110</v>
      </c>
      <c r="L371">
        <v>46000</v>
      </c>
      <c r="M371">
        <v>80.808999999999997</v>
      </c>
      <c r="N371">
        <v>46223</v>
      </c>
      <c r="O371" t="s">
        <v>1574</v>
      </c>
    </row>
    <row r="372" spans="1:15" x14ac:dyDescent="0.25">
      <c r="A372" t="s">
        <v>56</v>
      </c>
      <c r="B372" t="s">
        <v>8</v>
      </c>
      <c r="C372">
        <v>0.01</v>
      </c>
      <c r="D372">
        <v>0.1</v>
      </c>
      <c r="E372">
        <v>1.0000000000000001E-5</v>
      </c>
      <c r="F372" t="s">
        <v>6</v>
      </c>
      <c r="G372" t="s">
        <v>5</v>
      </c>
      <c r="H372">
        <v>100</v>
      </c>
      <c r="I372">
        <v>300</v>
      </c>
      <c r="J372" t="s">
        <v>10</v>
      </c>
      <c r="K372">
        <v>12</v>
      </c>
      <c r="L372">
        <v>3500</v>
      </c>
      <c r="M372">
        <v>11.911</v>
      </c>
      <c r="N372">
        <v>3472.7</v>
      </c>
      <c r="O372" t="s">
        <v>1572</v>
      </c>
    </row>
    <row r="373" spans="1:15" x14ac:dyDescent="0.25">
      <c r="A373" t="s">
        <v>56</v>
      </c>
      <c r="B373" t="s">
        <v>8</v>
      </c>
      <c r="C373">
        <v>0.01</v>
      </c>
      <c r="D373">
        <v>0.1</v>
      </c>
      <c r="E373">
        <v>1.0000000000000001E-5</v>
      </c>
      <c r="F373" t="s">
        <v>6</v>
      </c>
      <c r="G373" t="s">
        <v>5</v>
      </c>
      <c r="H373">
        <v>4000</v>
      </c>
      <c r="I373">
        <v>8000</v>
      </c>
      <c r="J373" t="s">
        <v>10</v>
      </c>
      <c r="K373">
        <v>120</v>
      </c>
      <c r="L373">
        <v>46000</v>
      </c>
      <c r="M373">
        <v>92.287000000000006</v>
      </c>
      <c r="N373">
        <v>46261</v>
      </c>
      <c r="O373" t="s">
        <v>2561</v>
      </c>
    </row>
    <row r="374" spans="1:15" x14ac:dyDescent="0.25">
      <c r="A374" t="s">
        <v>56</v>
      </c>
      <c r="B374" t="s">
        <v>8</v>
      </c>
      <c r="C374">
        <v>0.01</v>
      </c>
      <c r="D374">
        <v>0.1</v>
      </c>
      <c r="E374">
        <v>1E-4</v>
      </c>
      <c r="F374" t="s">
        <v>6</v>
      </c>
      <c r="G374" t="s">
        <v>5</v>
      </c>
      <c r="H374">
        <v>20</v>
      </c>
      <c r="I374">
        <v>50</v>
      </c>
      <c r="J374" t="s">
        <v>10</v>
      </c>
      <c r="K374">
        <v>57.119</v>
      </c>
      <c r="L374">
        <v>116.68</v>
      </c>
      <c r="M374">
        <v>57.113999999999997</v>
      </c>
      <c r="N374">
        <v>116.5</v>
      </c>
      <c r="O374" t="s">
        <v>1580</v>
      </c>
    </row>
    <row r="375" spans="1:15" x14ac:dyDescent="0.25">
      <c r="A375" t="s">
        <v>56</v>
      </c>
      <c r="B375" t="s">
        <v>8</v>
      </c>
      <c r="C375">
        <v>0.01</v>
      </c>
      <c r="D375">
        <v>0.1</v>
      </c>
      <c r="E375">
        <v>1E-4</v>
      </c>
      <c r="F375" t="s">
        <v>6</v>
      </c>
      <c r="G375" t="s">
        <v>5</v>
      </c>
      <c r="H375">
        <v>2000</v>
      </c>
      <c r="I375">
        <v>4000</v>
      </c>
      <c r="J375" t="s">
        <v>10</v>
      </c>
      <c r="K375">
        <v>110</v>
      </c>
      <c r="L375">
        <v>46000</v>
      </c>
      <c r="M375">
        <v>84.138999999999996</v>
      </c>
      <c r="N375">
        <v>46193</v>
      </c>
      <c r="O375" t="s">
        <v>1577</v>
      </c>
    </row>
    <row r="376" spans="1:15" x14ac:dyDescent="0.25">
      <c r="A376" t="s">
        <v>56</v>
      </c>
      <c r="B376" t="s">
        <v>8</v>
      </c>
      <c r="C376">
        <v>0.01</v>
      </c>
      <c r="D376">
        <v>0.1</v>
      </c>
      <c r="E376">
        <v>1E-4</v>
      </c>
      <c r="F376" t="s">
        <v>6</v>
      </c>
      <c r="G376" t="s">
        <v>5</v>
      </c>
      <c r="H376">
        <v>8000</v>
      </c>
      <c r="I376">
        <v>10000</v>
      </c>
      <c r="J376" t="s">
        <v>10</v>
      </c>
      <c r="K376">
        <v>450</v>
      </c>
      <c r="L376">
        <v>170040</v>
      </c>
      <c r="M376">
        <v>116.4</v>
      </c>
      <c r="N376">
        <v>173270</v>
      </c>
      <c r="O376" t="s">
        <v>1578</v>
      </c>
    </row>
    <row r="377" spans="1:15" x14ac:dyDescent="0.25">
      <c r="A377" t="s">
        <v>56</v>
      </c>
      <c r="B377" t="s">
        <v>8</v>
      </c>
      <c r="C377">
        <v>0.01</v>
      </c>
      <c r="D377">
        <v>0.1</v>
      </c>
      <c r="E377">
        <v>1E-4</v>
      </c>
      <c r="F377" t="s">
        <v>6</v>
      </c>
      <c r="G377" t="s">
        <v>5</v>
      </c>
      <c r="H377">
        <v>1000</v>
      </c>
      <c r="I377">
        <v>2000</v>
      </c>
      <c r="J377" t="s">
        <v>10</v>
      </c>
      <c r="K377">
        <v>53</v>
      </c>
      <c r="L377">
        <v>17065</v>
      </c>
      <c r="M377">
        <v>21.129000000000001</v>
      </c>
      <c r="N377">
        <v>17327</v>
      </c>
      <c r="O377" t="s">
        <v>2565</v>
      </c>
    </row>
    <row r="378" spans="1:15" x14ac:dyDescent="0.25">
      <c r="A378" t="s">
        <v>56</v>
      </c>
      <c r="B378" t="s">
        <v>8</v>
      </c>
      <c r="C378">
        <v>0.01</v>
      </c>
      <c r="D378">
        <v>0.1</v>
      </c>
      <c r="E378">
        <v>1E-4</v>
      </c>
      <c r="F378" t="s">
        <v>6</v>
      </c>
      <c r="G378" t="s">
        <v>5</v>
      </c>
      <c r="H378">
        <v>50</v>
      </c>
      <c r="I378">
        <v>100</v>
      </c>
      <c r="J378" t="s">
        <v>10</v>
      </c>
      <c r="K378">
        <v>53.811999999999998</v>
      </c>
      <c r="L378">
        <v>587.62</v>
      </c>
      <c r="M378">
        <v>53.787999999999997</v>
      </c>
      <c r="N378">
        <v>587.29999999999995</v>
      </c>
      <c r="O378" t="s">
        <v>1582</v>
      </c>
    </row>
    <row r="379" spans="1:15" x14ac:dyDescent="0.25">
      <c r="A379" t="s">
        <v>56</v>
      </c>
      <c r="B379" t="s">
        <v>8</v>
      </c>
      <c r="C379">
        <v>0.01</v>
      </c>
      <c r="D379">
        <v>0.1</v>
      </c>
      <c r="E379">
        <v>1E-4</v>
      </c>
      <c r="F379" t="s">
        <v>6</v>
      </c>
      <c r="G379" t="s">
        <v>5</v>
      </c>
      <c r="H379">
        <v>1E-3</v>
      </c>
      <c r="I379">
        <v>0.04</v>
      </c>
      <c r="J379" t="s">
        <v>10</v>
      </c>
      <c r="K379">
        <v>57.923000000000002</v>
      </c>
      <c r="L379">
        <v>14.074999999999999</v>
      </c>
      <c r="M379">
        <v>57.921999999999997</v>
      </c>
      <c r="N379">
        <v>14.013999999999999</v>
      </c>
      <c r="O379" t="s">
        <v>2563</v>
      </c>
    </row>
    <row r="380" spans="1:15" x14ac:dyDescent="0.25">
      <c r="A380" t="s">
        <v>56</v>
      </c>
      <c r="B380" t="s">
        <v>8</v>
      </c>
      <c r="C380">
        <v>0.01</v>
      </c>
      <c r="D380">
        <v>0.1</v>
      </c>
      <c r="E380">
        <v>1E-4</v>
      </c>
      <c r="F380" t="s">
        <v>6</v>
      </c>
      <c r="G380" t="s">
        <v>5</v>
      </c>
      <c r="H380">
        <v>0.04</v>
      </c>
      <c r="I380">
        <v>1</v>
      </c>
      <c r="J380" t="s">
        <v>10</v>
      </c>
      <c r="K380">
        <v>57.783999999999999</v>
      </c>
      <c r="L380">
        <v>10.952999999999999</v>
      </c>
      <c r="M380">
        <v>57.783000000000001</v>
      </c>
      <c r="N380">
        <v>10.891</v>
      </c>
      <c r="O380" t="s">
        <v>2564</v>
      </c>
    </row>
    <row r="381" spans="1:15" x14ac:dyDescent="0.25">
      <c r="A381" t="s">
        <v>56</v>
      </c>
      <c r="B381" t="s">
        <v>8</v>
      </c>
      <c r="C381">
        <v>0.01</v>
      </c>
      <c r="D381">
        <v>0.1</v>
      </c>
      <c r="E381">
        <v>1E-4</v>
      </c>
      <c r="F381" t="s">
        <v>6</v>
      </c>
      <c r="G381" t="s">
        <v>5</v>
      </c>
      <c r="H381">
        <v>300</v>
      </c>
      <c r="I381">
        <v>1000</v>
      </c>
      <c r="J381" t="s">
        <v>10</v>
      </c>
      <c r="K381">
        <v>21.308</v>
      </c>
      <c r="L381">
        <v>11907</v>
      </c>
      <c r="M381">
        <v>25.138999999999999</v>
      </c>
      <c r="N381">
        <v>11509</v>
      </c>
      <c r="O381" t="s">
        <v>1583</v>
      </c>
    </row>
    <row r="382" spans="1:15" x14ac:dyDescent="0.25">
      <c r="A382" t="s">
        <v>56</v>
      </c>
      <c r="B382" t="s">
        <v>8</v>
      </c>
      <c r="C382">
        <v>0.01</v>
      </c>
      <c r="D382">
        <v>0.1</v>
      </c>
      <c r="E382">
        <v>1E-4</v>
      </c>
      <c r="F382" t="s">
        <v>6</v>
      </c>
      <c r="G382" t="s">
        <v>5</v>
      </c>
      <c r="H382">
        <v>1</v>
      </c>
      <c r="I382">
        <v>20</v>
      </c>
      <c r="J382" t="s">
        <v>10</v>
      </c>
      <c r="K382">
        <v>57.628</v>
      </c>
      <c r="L382">
        <v>32.01</v>
      </c>
      <c r="M382">
        <v>57.625999999999998</v>
      </c>
      <c r="N382">
        <v>31.951000000000001</v>
      </c>
      <c r="O382" t="s">
        <v>1579</v>
      </c>
    </row>
    <row r="383" spans="1:15" x14ac:dyDescent="0.25">
      <c r="A383" t="s">
        <v>56</v>
      </c>
      <c r="B383" t="s">
        <v>8</v>
      </c>
      <c r="C383">
        <v>0.01</v>
      </c>
      <c r="D383">
        <v>0.1</v>
      </c>
      <c r="E383">
        <v>1E-4</v>
      </c>
      <c r="F383" t="s">
        <v>6</v>
      </c>
      <c r="G383" t="s">
        <v>5</v>
      </c>
      <c r="H383">
        <v>100</v>
      </c>
      <c r="I383">
        <v>300</v>
      </c>
      <c r="J383" t="s">
        <v>10</v>
      </c>
      <c r="K383">
        <v>41.904000000000003</v>
      </c>
      <c r="L383">
        <v>3219</v>
      </c>
      <c r="M383">
        <v>41.802</v>
      </c>
      <c r="N383">
        <v>3219.4</v>
      </c>
      <c r="O383" t="s">
        <v>2566</v>
      </c>
    </row>
    <row r="384" spans="1:15" x14ac:dyDescent="0.25">
      <c r="A384" t="s">
        <v>56</v>
      </c>
      <c r="B384" t="s">
        <v>8</v>
      </c>
      <c r="C384">
        <v>0.01</v>
      </c>
      <c r="D384">
        <v>0.1</v>
      </c>
      <c r="E384">
        <v>1E-4</v>
      </c>
      <c r="F384" t="s">
        <v>6</v>
      </c>
      <c r="G384" t="s">
        <v>5</v>
      </c>
      <c r="H384">
        <v>4000</v>
      </c>
      <c r="I384">
        <v>8000</v>
      </c>
      <c r="J384" t="s">
        <v>10</v>
      </c>
      <c r="K384">
        <v>120</v>
      </c>
      <c r="L384">
        <v>46000</v>
      </c>
      <c r="M384">
        <v>95.542000000000002</v>
      </c>
      <c r="N384">
        <v>46232</v>
      </c>
      <c r="O384" t="s">
        <v>1581</v>
      </c>
    </row>
    <row r="385" spans="1:15" x14ac:dyDescent="0.25">
      <c r="A385" t="s">
        <v>56</v>
      </c>
      <c r="B385" t="s">
        <v>8</v>
      </c>
      <c r="C385">
        <v>0.01</v>
      </c>
      <c r="D385">
        <v>0.1</v>
      </c>
      <c r="E385">
        <v>1E-3</v>
      </c>
      <c r="F385" t="s">
        <v>6</v>
      </c>
      <c r="G385" t="s">
        <v>5</v>
      </c>
      <c r="H385">
        <v>50</v>
      </c>
      <c r="I385">
        <v>100</v>
      </c>
      <c r="J385" t="s">
        <v>10</v>
      </c>
      <c r="K385">
        <v>576.69000000000005</v>
      </c>
      <c r="L385">
        <v>87.305999999999997</v>
      </c>
      <c r="M385">
        <v>571.67999999999995</v>
      </c>
      <c r="N385">
        <v>86.953999999999994</v>
      </c>
      <c r="O385" t="s">
        <v>1589</v>
      </c>
    </row>
    <row r="386" spans="1:15" x14ac:dyDescent="0.25">
      <c r="A386" t="s">
        <v>56</v>
      </c>
      <c r="B386" t="s">
        <v>8</v>
      </c>
      <c r="C386">
        <v>0.01</v>
      </c>
      <c r="D386">
        <v>0.1</v>
      </c>
      <c r="E386">
        <v>1E-3</v>
      </c>
      <c r="F386" t="s">
        <v>6</v>
      </c>
      <c r="G386" t="s">
        <v>5</v>
      </c>
      <c r="H386">
        <v>8000</v>
      </c>
      <c r="I386">
        <v>10000</v>
      </c>
      <c r="J386" t="s">
        <v>10</v>
      </c>
      <c r="K386">
        <v>450</v>
      </c>
      <c r="L386">
        <v>170150</v>
      </c>
      <c r="M386">
        <v>203.58</v>
      </c>
      <c r="N386">
        <v>172400</v>
      </c>
      <c r="O386" t="s">
        <v>1585</v>
      </c>
    </row>
    <row r="387" spans="1:15" x14ac:dyDescent="0.25">
      <c r="A387" t="s">
        <v>56</v>
      </c>
      <c r="B387" t="s">
        <v>8</v>
      </c>
      <c r="C387">
        <v>0.01</v>
      </c>
      <c r="D387">
        <v>0.1</v>
      </c>
      <c r="E387">
        <v>1E-3</v>
      </c>
      <c r="F387" t="s">
        <v>6</v>
      </c>
      <c r="G387" t="s">
        <v>5</v>
      </c>
      <c r="H387">
        <v>4000</v>
      </c>
      <c r="I387">
        <v>8000</v>
      </c>
      <c r="J387" t="s">
        <v>10</v>
      </c>
      <c r="K387">
        <v>363.53</v>
      </c>
      <c r="L387">
        <v>43909</v>
      </c>
      <c r="M387">
        <v>338.44</v>
      </c>
      <c r="N387">
        <v>43920</v>
      </c>
      <c r="O387" t="s">
        <v>1587</v>
      </c>
    </row>
    <row r="388" spans="1:15" x14ac:dyDescent="0.25">
      <c r="A388" t="s">
        <v>56</v>
      </c>
      <c r="B388" t="s">
        <v>8</v>
      </c>
      <c r="C388">
        <v>0.01</v>
      </c>
      <c r="D388">
        <v>0.1</v>
      </c>
      <c r="E388">
        <v>1E-3</v>
      </c>
      <c r="F388" t="s">
        <v>6</v>
      </c>
      <c r="G388" t="s">
        <v>5</v>
      </c>
      <c r="H388">
        <v>1E-3</v>
      </c>
      <c r="I388">
        <v>0.04</v>
      </c>
      <c r="J388" t="s">
        <v>10</v>
      </c>
      <c r="K388">
        <v>577.37</v>
      </c>
      <c r="L388">
        <v>1.4498</v>
      </c>
      <c r="M388">
        <v>577.25</v>
      </c>
      <c r="N388">
        <v>1.4244000000000001</v>
      </c>
      <c r="O388" t="s">
        <v>2567</v>
      </c>
    </row>
    <row r="389" spans="1:15" x14ac:dyDescent="0.25">
      <c r="A389" t="s">
        <v>56</v>
      </c>
      <c r="B389" t="s">
        <v>8</v>
      </c>
      <c r="C389">
        <v>0.01</v>
      </c>
      <c r="D389">
        <v>0.1</v>
      </c>
      <c r="E389">
        <v>1E-3</v>
      </c>
      <c r="F389" t="s">
        <v>6</v>
      </c>
      <c r="G389" t="s">
        <v>5</v>
      </c>
      <c r="H389">
        <v>2000</v>
      </c>
      <c r="I389">
        <v>4000</v>
      </c>
      <c r="J389" t="s">
        <v>10</v>
      </c>
      <c r="K389">
        <v>354.54</v>
      </c>
      <c r="L389">
        <v>43842</v>
      </c>
      <c r="M389">
        <v>330.66</v>
      </c>
      <c r="N389">
        <v>43842</v>
      </c>
      <c r="O389" t="s">
        <v>1586</v>
      </c>
    </row>
    <row r="390" spans="1:15" x14ac:dyDescent="0.25">
      <c r="A390" t="s">
        <v>56</v>
      </c>
      <c r="B390" t="s">
        <v>8</v>
      </c>
      <c r="C390">
        <v>0.01</v>
      </c>
      <c r="D390">
        <v>0.1</v>
      </c>
      <c r="E390">
        <v>1E-3</v>
      </c>
      <c r="F390" t="s">
        <v>6</v>
      </c>
      <c r="G390" t="s">
        <v>5</v>
      </c>
      <c r="H390">
        <v>0.04</v>
      </c>
      <c r="I390">
        <v>1</v>
      </c>
      <c r="J390" t="s">
        <v>10</v>
      </c>
      <c r="K390">
        <v>577.36</v>
      </c>
      <c r="L390">
        <v>1.1266</v>
      </c>
      <c r="M390">
        <v>577.26</v>
      </c>
      <c r="N390">
        <v>1.1012</v>
      </c>
      <c r="O390" t="s">
        <v>2568</v>
      </c>
    </row>
    <row r="391" spans="1:15" x14ac:dyDescent="0.25">
      <c r="A391" t="s">
        <v>56</v>
      </c>
      <c r="B391" t="s">
        <v>8</v>
      </c>
      <c r="C391">
        <v>0.01</v>
      </c>
      <c r="D391">
        <v>0.1</v>
      </c>
      <c r="E391">
        <v>1E-3</v>
      </c>
      <c r="F391" t="s">
        <v>6</v>
      </c>
      <c r="G391" t="s">
        <v>5</v>
      </c>
      <c r="H391">
        <v>20</v>
      </c>
      <c r="I391">
        <v>50</v>
      </c>
      <c r="J391" t="s">
        <v>10</v>
      </c>
      <c r="K391">
        <v>577.28</v>
      </c>
      <c r="L391">
        <v>12.896000000000001</v>
      </c>
      <c r="M391">
        <v>576.24</v>
      </c>
      <c r="N391">
        <v>12.803000000000001</v>
      </c>
      <c r="O391" t="s">
        <v>1588</v>
      </c>
    </row>
    <row r="392" spans="1:15" x14ac:dyDescent="0.25">
      <c r="A392" t="s">
        <v>56</v>
      </c>
      <c r="B392" t="s">
        <v>8</v>
      </c>
      <c r="C392">
        <v>0.01</v>
      </c>
      <c r="D392">
        <v>0.1</v>
      </c>
      <c r="E392">
        <v>1E-3</v>
      </c>
      <c r="F392" t="s">
        <v>6</v>
      </c>
      <c r="G392" t="s">
        <v>5</v>
      </c>
      <c r="H392">
        <v>1</v>
      </c>
      <c r="I392">
        <v>20</v>
      </c>
      <c r="J392" t="s">
        <v>10</v>
      </c>
      <c r="K392">
        <v>577.34</v>
      </c>
      <c r="L392">
        <v>3.3107000000000002</v>
      </c>
      <c r="M392">
        <v>577.05999999999995</v>
      </c>
      <c r="N392">
        <v>3.2852999999999999</v>
      </c>
      <c r="O392" t="s">
        <v>2569</v>
      </c>
    </row>
    <row r="393" spans="1:15" x14ac:dyDescent="0.25">
      <c r="A393" t="s">
        <v>56</v>
      </c>
      <c r="B393" t="s">
        <v>8</v>
      </c>
      <c r="C393">
        <v>0.01</v>
      </c>
      <c r="D393">
        <v>0.1</v>
      </c>
      <c r="E393">
        <v>1E-3</v>
      </c>
      <c r="F393" t="s">
        <v>6</v>
      </c>
      <c r="G393" t="s">
        <v>5</v>
      </c>
      <c r="H393">
        <v>300</v>
      </c>
      <c r="I393">
        <v>1000</v>
      </c>
      <c r="J393" t="s">
        <v>10</v>
      </c>
      <c r="K393">
        <v>511.75</v>
      </c>
      <c r="L393">
        <v>7972.6</v>
      </c>
      <c r="M393">
        <v>476.24</v>
      </c>
      <c r="N393">
        <v>7972.4</v>
      </c>
      <c r="O393" t="s">
        <v>1590</v>
      </c>
    </row>
    <row r="394" spans="1:15" x14ac:dyDescent="0.25">
      <c r="A394" t="s">
        <v>56</v>
      </c>
      <c r="B394" t="s">
        <v>8</v>
      </c>
      <c r="C394">
        <v>0.01</v>
      </c>
      <c r="D394">
        <v>0.1</v>
      </c>
      <c r="E394">
        <v>1E-3</v>
      </c>
      <c r="F394" t="s">
        <v>6</v>
      </c>
      <c r="G394" t="s">
        <v>5</v>
      </c>
      <c r="H394">
        <v>100</v>
      </c>
      <c r="I394">
        <v>300</v>
      </c>
      <c r="J394" t="s">
        <v>10</v>
      </c>
      <c r="K394">
        <v>568.05999999999995</v>
      </c>
      <c r="L394">
        <v>1120</v>
      </c>
      <c r="M394">
        <v>547.01</v>
      </c>
      <c r="N394">
        <v>1119.2</v>
      </c>
      <c r="O394" t="s">
        <v>1584</v>
      </c>
    </row>
    <row r="395" spans="1:15" x14ac:dyDescent="0.25">
      <c r="A395" t="s">
        <v>56</v>
      </c>
      <c r="B395" t="s">
        <v>8</v>
      </c>
      <c r="C395">
        <v>0.01</v>
      </c>
      <c r="D395">
        <v>0.1</v>
      </c>
      <c r="E395">
        <v>1E-3</v>
      </c>
      <c r="F395" t="s">
        <v>6</v>
      </c>
      <c r="G395" t="s">
        <v>5</v>
      </c>
      <c r="H395">
        <v>1000</v>
      </c>
      <c r="I395">
        <v>2000</v>
      </c>
      <c r="J395" t="s">
        <v>10</v>
      </c>
      <c r="K395">
        <v>469.05</v>
      </c>
      <c r="L395">
        <v>13766</v>
      </c>
      <c r="M395">
        <v>433.19</v>
      </c>
      <c r="N395">
        <v>13767</v>
      </c>
      <c r="O395" t="s">
        <v>2570</v>
      </c>
    </row>
    <row r="396" spans="1:15" x14ac:dyDescent="0.25">
      <c r="A396" t="s">
        <v>56</v>
      </c>
      <c r="B396" t="s">
        <v>8</v>
      </c>
      <c r="C396">
        <v>0.1</v>
      </c>
      <c r="D396">
        <v>1</v>
      </c>
      <c r="E396">
        <v>9.9999999999999995E-8</v>
      </c>
      <c r="F396" t="s">
        <v>6</v>
      </c>
      <c r="G396" t="s">
        <v>4</v>
      </c>
      <c r="H396">
        <v>2000</v>
      </c>
      <c r="I396">
        <v>4000</v>
      </c>
      <c r="J396" t="s">
        <v>10</v>
      </c>
      <c r="K396">
        <v>1.2</v>
      </c>
      <c r="L396">
        <v>46</v>
      </c>
      <c r="M396">
        <v>0.80071999999999999</v>
      </c>
      <c r="N396">
        <v>46.326000000000001</v>
      </c>
      <c r="O396" t="s">
        <v>1597</v>
      </c>
    </row>
    <row r="397" spans="1:15" x14ac:dyDescent="0.25">
      <c r="A397" t="s">
        <v>56</v>
      </c>
      <c r="B397" t="s">
        <v>8</v>
      </c>
      <c r="C397">
        <v>0.1</v>
      </c>
      <c r="D397">
        <v>1</v>
      </c>
      <c r="E397">
        <v>9.9999999999999995E-8</v>
      </c>
      <c r="F397" t="s">
        <v>6</v>
      </c>
      <c r="G397" t="s">
        <v>5</v>
      </c>
      <c r="H397">
        <v>1E-3</v>
      </c>
      <c r="I397">
        <v>0.04</v>
      </c>
      <c r="J397" t="s">
        <v>10</v>
      </c>
      <c r="K397">
        <v>47</v>
      </c>
      <c r="L397">
        <v>82</v>
      </c>
      <c r="M397">
        <v>80.62</v>
      </c>
      <c r="N397">
        <v>80.62</v>
      </c>
      <c r="O397" t="s">
        <v>2572</v>
      </c>
    </row>
    <row r="398" spans="1:15" x14ac:dyDescent="0.25">
      <c r="A398" t="s">
        <v>56</v>
      </c>
      <c r="B398" t="s">
        <v>8</v>
      </c>
      <c r="C398">
        <v>0.1</v>
      </c>
      <c r="D398">
        <v>1</v>
      </c>
      <c r="E398">
        <v>9.9999999999999995E-8</v>
      </c>
      <c r="F398" t="s">
        <v>6</v>
      </c>
      <c r="G398" t="s">
        <v>5</v>
      </c>
      <c r="H398">
        <v>1</v>
      </c>
      <c r="I398">
        <v>20</v>
      </c>
      <c r="J398" t="s">
        <v>10</v>
      </c>
      <c r="K398">
        <v>26</v>
      </c>
      <c r="L398">
        <v>160</v>
      </c>
      <c r="M398">
        <v>23.437999999999999</v>
      </c>
      <c r="N398">
        <v>161.34</v>
      </c>
      <c r="O398" t="s">
        <v>1592</v>
      </c>
    </row>
    <row r="399" spans="1:15" x14ac:dyDescent="0.25">
      <c r="A399" t="s">
        <v>56</v>
      </c>
      <c r="B399" t="s">
        <v>8</v>
      </c>
      <c r="C399">
        <v>0.1</v>
      </c>
      <c r="D399">
        <v>1</v>
      </c>
      <c r="E399">
        <v>9.9999999999999995E-8</v>
      </c>
      <c r="F399" t="s">
        <v>6</v>
      </c>
      <c r="G399" t="s">
        <v>5</v>
      </c>
      <c r="H399">
        <v>100</v>
      </c>
      <c r="I399">
        <v>300</v>
      </c>
      <c r="J399" t="s">
        <v>10</v>
      </c>
      <c r="K399">
        <v>120</v>
      </c>
      <c r="L399">
        <v>3500</v>
      </c>
      <c r="M399">
        <v>116.46</v>
      </c>
      <c r="N399">
        <v>3463.3</v>
      </c>
      <c r="O399" t="s">
        <v>1595</v>
      </c>
    </row>
    <row r="400" spans="1:15" x14ac:dyDescent="0.25">
      <c r="A400" t="s">
        <v>56</v>
      </c>
      <c r="B400" t="s">
        <v>8</v>
      </c>
      <c r="C400">
        <v>0.1</v>
      </c>
      <c r="D400">
        <v>1</v>
      </c>
      <c r="E400">
        <v>9.9999999999999995E-8</v>
      </c>
      <c r="F400" t="s">
        <v>6</v>
      </c>
      <c r="G400" t="s">
        <v>4</v>
      </c>
      <c r="H400">
        <v>4000</v>
      </c>
      <c r="I400">
        <v>8000</v>
      </c>
      <c r="J400" t="s">
        <v>10</v>
      </c>
      <c r="K400">
        <v>1.3</v>
      </c>
      <c r="L400">
        <v>46</v>
      </c>
      <c r="M400">
        <v>0.91605999999999999</v>
      </c>
      <c r="N400">
        <v>46.326000000000001</v>
      </c>
      <c r="O400" t="s">
        <v>1593</v>
      </c>
    </row>
    <row r="401" spans="1:15" x14ac:dyDescent="0.25">
      <c r="A401" t="s">
        <v>56</v>
      </c>
      <c r="B401" t="s">
        <v>8</v>
      </c>
      <c r="C401">
        <v>0.1</v>
      </c>
      <c r="D401">
        <v>1</v>
      </c>
      <c r="E401">
        <v>9.9999999999999995E-8</v>
      </c>
      <c r="F401" t="s">
        <v>6</v>
      </c>
      <c r="G401" t="s">
        <v>5</v>
      </c>
      <c r="H401">
        <v>50</v>
      </c>
      <c r="I401">
        <v>100</v>
      </c>
      <c r="J401" t="s">
        <v>10</v>
      </c>
      <c r="K401">
        <v>27</v>
      </c>
      <c r="L401">
        <v>940</v>
      </c>
      <c r="M401">
        <v>23.140999999999998</v>
      </c>
      <c r="N401">
        <v>938.86</v>
      </c>
      <c r="O401" t="s">
        <v>2571</v>
      </c>
    </row>
    <row r="402" spans="1:15" x14ac:dyDescent="0.25">
      <c r="A402" t="s">
        <v>56</v>
      </c>
      <c r="B402" t="s">
        <v>8</v>
      </c>
      <c r="C402">
        <v>0.1</v>
      </c>
      <c r="D402">
        <v>1</v>
      </c>
      <c r="E402">
        <v>9.9999999999999995E-8</v>
      </c>
      <c r="F402" t="s">
        <v>6</v>
      </c>
      <c r="G402" t="s">
        <v>5</v>
      </c>
      <c r="H402">
        <v>20</v>
      </c>
      <c r="I402">
        <v>50</v>
      </c>
      <c r="J402" t="s">
        <v>10</v>
      </c>
      <c r="K402">
        <v>24</v>
      </c>
      <c r="L402">
        <v>350</v>
      </c>
      <c r="M402">
        <v>23.379000000000001</v>
      </c>
      <c r="N402">
        <v>346.14</v>
      </c>
      <c r="O402" t="s">
        <v>1594</v>
      </c>
    </row>
    <row r="403" spans="1:15" x14ac:dyDescent="0.25">
      <c r="A403" t="s">
        <v>56</v>
      </c>
      <c r="B403" t="s">
        <v>8</v>
      </c>
      <c r="C403">
        <v>0.1</v>
      </c>
      <c r="D403">
        <v>1</v>
      </c>
      <c r="E403">
        <v>9.9999999999999995E-8</v>
      </c>
      <c r="F403" t="s">
        <v>6</v>
      </c>
      <c r="G403" t="s">
        <v>5</v>
      </c>
      <c r="H403">
        <v>0.04</v>
      </c>
      <c r="I403">
        <v>1</v>
      </c>
      <c r="J403" t="s">
        <v>10</v>
      </c>
      <c r="K403">
        <v>24</v>
      </c>
      <c r="L403">
        <v>82</v>
      </c>
      <c r="M403">
        <v>23.524000000000001</v>
      </c>
      <c r="N403">
        <v>80.444999999999993</v>
      </c>
      <c r="O403" t="s">
        <v>1598</v>
      </c>
    </row>
    <row r="404" spans="1:15" x14ac:dyDescent="0.25">
      <c r="A404" t="s">
        <v>56</v>
      </c>
      <c r="B404" t="s">
        <v>8</v>
      </c>
      <c r="C404">
        <v>0.1</v>
      </c>
      <c r="D404">
        <v>1</v>
      </c>
      <c r="E404">
        <v>9.9999999999999995E-8</v>
      </c>
      <c r="F404" t="s">
        <v>6</v>
      </c>
      <c r="G404" t="s">
        <v>5</v>
      </c>
      <c r="H404">
        <v>1000</v>
      </c>
      <c r="I404">
        <v>2000</v>
      </c>
      <c r="J404" t="s">
        <v>10</v>
      </c>
      <c r="K404">
        <v>590</v>
      </c>
      <c r="L404">
        <v>17000</v>
      </c>
      <c r="M404">
        <v>108.37</v>
      </c>
      <c r="N404">
        <v>17479</v>
      </c>
      <c r="O404" t="s">
        <v>1591</v>
      </c>
    </row>
    <row r="405" spans="1:15" x14ac:dyDescent="0.25">
      <c r="A405" t="s">
        <v>56</v>
      </c>
      <c r="B405" t="s">
        <v>8</v>
      </c>
      <c r="C405">
        <v>0.1</v>
      </c>
      <c r="D405">
        <v>1</v>
      </c>
      <c r="E405">
        <v>9.9999999999999995E-8</v>
      </c>
      <c r="F405" t="s">
        <v>6</v>
      </c>
      <c r="G405" t="s">
        <v>4</v>
      </c>
      <c r="H405">
        <v>8000</v>
      </c>
      <c r="I405">
        <v>10000</v>
      </c>
      <c r="J405" t="s">
        <v>10</v>
      </c>
      <c r="K405">
        <v>4.5999999999999996</v>
      </c>
      <c r="L405">
        <v>170</v>
      </c>
      <c r="M405">
        <v>1.1459999999999999</v>
      </c>
      <c r="N405">
        <v>173.36</v>
      </c>
      <c r="O405" t="s">
        <v>1596</v>
      </c>
    </row>
    <row r="406" spans="1:15" x14ac:dyDescent="0.25">
      <c r="A406" t="s">
        <v>56</v>
      </c>
      <c r="B406" t="s">
        <v>8</v>
      </c>
      <c r="C406">
        <v>0.1</v>
      </c>
      <c r="D406">
        <v>1</v>
      </c>
      <c r="E406">
        <v>9.9999999999999995E-7</v>
      </c>
      <c r="F406" t="s">
        <v>6</v>
      </c>
      <c r="G406" t="s">
        <v>5</v>
      </c>
      <c r="H406">
        <v>20</v>
      </c>
      <c r="I406">
        <v>50</v>
      </c>
      <c r="J406" t="s">
        <v>10</v>
      </c>
      <c r="K406">
        <v>24</v>
      </c>
      <c r="L406">
        <v>350</v>
      </c>
      <c r="M406">
        <v>23.382999999999999</v>
      </c>
      <c r="N406">
        <v>346.14</v>
      </c>
      <c r="O406" t="s">
        <v>1607</v>
      </c>
    </row>
    <row r="407" spans="1:15" x14ac:dyDescent="0.25">
      <c r="A407" t="s">
        <v>56</v>
      </c>
      <c r="B407" t="s">
        <v>8</v>
      </c>
      <c r="C407">
        <v>0.1</v>
      </c>
      <c r="D407">
        <v>1</v>
      </c>
      <c r="E407">
        <v>9.9999999999999995E-7</v>
      </c>
      <c r="F407" t="s">
        <v>6</v>
      </c>
      <c r="G407" t="s">
        <v>5</v>
      </c>
      <c r="H407">
        <v>100</v>
      </c>
      <c r="I407">
        <v>300</v>
      </c>
      <c r="J407" t="s">
        <v>10</v>
      </c>
      <c r="K407">
        <v>120</v>
      </c>
      <c r="L407">
        <v>3500</v>
      </c>
      <c r="M407">
        <v>116.47</v>
      </c>
      <c r="N407">
        <v>3463.3</v>
      </c>
      <c r="O407" t="s">
        <v>1604</v>
      </c>
    </row>
    <row r="408" spans="1:15" x14ac:dyDescent="0.25">
      <c r="A408" t="s">
        <v>56</v>
      </c>
      <c r="B408" t="s">
        <v>8</v>
      </c>
      <c r="C408">
        <v>0.1</v>
      </c>
      <c r="D408">
        <v>1</v>
      </c>
      <c r="E408">
        <v>9.9999999999999995E-7</v>
      </c>
      <c r="F408" t="s">
        <v>6</v>
      </c>
      <c r="G408" t="s">
        <v>4</v>
      </c>
      <c r="H408">
        <v>8000</v>
      </c>
      <c r="I408">
        <v>10000</v>
      </c>
      <c r="J408" t="s">
        <v>10</v>
      </c>
      <c r="K408">
        <v>4.5999999999999996</v>
      </c>
      <c r="L408">
        <v>170.12</v>
      </c>
      <c r="M408">
        <v>1.1459999999999999</v>
      </c>
      <c r="N408">
        <v>173.36</v>
      </c>
      <c r="O408" t="s">
        <v>1600</v>
      </c>
    </row>
    <row r="409" spans="1:15" x14ac:dyDescent="0.25">
      <c r="A409" t="s">
        <v>56</v>
      </c>
      <c r="B409" t="s">
        <v>8</v>
      </c>
      <c r="C409">
        <v>0.1</v>
      </c>
      <c r="D409">
        <v>1</v>
      </c>
      <c r="E409">
        <v>9.9999999999999995E-7</v>
      </c>
      <c r="F409" t="s">
        <v>6</v>
      </c>
      <c r="G409" t="s">
        <v>5</v>
      </c>
      <c r="H409">
        <v>0.04</v>
      </c>
      <c r="I409">
        <v>1</v>
      </c>
      <c r="J409" t="s">
        <v>10</v>
      </c>
      <c r="K409">
        <v>24</v>
      </c>
      <c r="L409">
        <v>82</v>
      </c>
      <c r="M409">
        <v>23.53</v>
      </c>
      <c r="N409">
        <v>80.441000000000003</v>
      </c>
      <c r="O409" t="s">
        <v>1606</v>
      </c>
    </row>
    <row r="410" spans="1:15" x14ac:dyDescent="0.25">
      <c r="A410" t="s">
        <v>56</v>
      </c>
      <c r="B410" t="s">
        <v>8</v>
      </c>
      <c r="C410">
        <v>0.1</v>
      </c>
      <c r="D410">
        <v>1</v>
      </c>
      <c r="E410">
        <v>9.9999999999999995E-7</v>
      </c>
      <c r="F410" t="s">
        <v>6</v>
      </c>
      <c r="G410" t="s">
        <v>4</v>
      </c>
      <c r="H410">
        <v>4000</v>
      </c>
      <c r="I410">
        <v>8000</v>
      </c>
      <c r="J410" t="s">
        <v>10</v>
      </c>
      <c r="K410">
        <v>1.3</v>
      </c>
      <c r="L410">
        <v>46.045999999999999</v>
      </c>
      <c r="M410">
        <v>0.91605999999999999</v>
      </c>
      <c r="N410">
        <v>46.326000000000001</v>
      </c>
      <c r="O410" t="s">
        <v>1601</v>
      </c>
    </row>
    <row r="411" spans="1:15" x14ac:dyDescent="0.25">
      <c r="A411" t="s">
        <v>56</v>
      </c>
      <c r="B411" t="s">
        <v>8</v>
      </c>
      <c r="C411">
        <v>0.1</v>
      </c>
      <c r="D411">
        <v>1</v>
      </c>
      <c r="E411">
        <v>9.9999999999999995E-7</v>
      </c>
      <c r="F411" t="s">
        <v>6</v>
      </c>
      <c r="G411" t="s">
        <v>5</v>
      </c>
      <c r="H411">
        <v>1000</v>
      </c>
      <c r="I411">
        <v>2000</v>
      </c>
      <c r="J411" t="s">
        <v>10</v>
      </c>
      <c r="K411">
        <v>590</v>
      </c>
      <c r="L411">
        <v>17152</v>
      </c>
      <c r="M411">
        <v>108.37</v>
      </c>
      <c r="N411">
        <v>17479</v>
      </c>
      <c r="O411" t="s">
        <v>2574</v>
      </c>
    </row>
    <row r="412" spans="1:15" x14ac:dyDescent="0.25">
      <c r="A412" t="s">
        <v>56</v>
      </c>
      <c r="B412" t="s">
        <v>8</v>
      </c>
      <c r="C412">
        <v>0.1</v>
      </c>
      <c r="D412">
        <v>1</v>
      </c>
      <c r="E412">
        <v>9.9999999999999995E-7</v>
      </c>
      <c r="F412" t="s">
        <v>6</v>
      </c>
      <c r="G412" t="s">
        <v>5</v>
      </c>
      <c r="H412">
        <v>1E-3</v>
      </c>
      <c r="I412">
        <v>0.04</v>
      </c>
      <c r="J412" t="s">
        <v>10</v>
      </c>
      <c r="K412">
        <v>47</v>
      </c>
      <c r="L412">
        <v>82</v>
      </c>
      <c r="M412">
        <v>80.617999999999995</v>
      </c>
      <c r="N412">
        <v>80.617999999999995</v>
      </c>
      <c r="O412" t="s">
        <v>1603</v>
      </c>
    </row>
    <row r="413" spans="1:15" x14ac:dyDescent="0.25">
      <c r="A413" t="s">
        <v>56</v>
      </c>
      <c r="B413" t="s">
        <v>8</v>
      </c>
      <c r="C413">
        <v>0.1</v>
      </c>
      <c r="D413">
        <v>1</v>
      </c>
      <c r="E413">
        <v>9.9999999999999995E-7</v>
      </c>
      <c r="F413" t="s">
        <v>6</v>
      </c>
      <c r="G413" t="s">
        <v>5</v>
      </c>
      <c r="H413">
        <v>1</v>
      </c>
      <c r="I413">
        <v>20</v>
      </c>
      <c r="J413" t="s">
        <v>10</v>
      </c>
      <c r="K413">
        <v>26</v>
      </c>
      <c r="L413">
        <v>160</v>
      </c>
      <c r="M413">
        <v>23.442</v>
      </c>
      <c r="N413">
        <v>161.34</v>
      </c>
      <c r="O413" t="s">
        <v>1605</v>
      </c>
    </row>
    <row r="414" spans="1:15" x14ac:dyDescent="0.25">
      <c r="A414" t="s">
        <v>56</v>
      </c>
      <c r="B414" t="s">
        <v>8</v>
      </c>
      <c r="C414">
        <v>0.1</v>
      </c>
      <c r="D414">
        <v>1</v>
      </c>
      <c r="E414">
        <v>9.9999999999999995E-7</v>
      </c>
      <c r="F414" t="s">
        <v>6</v>
      </c>
      <c r="G414" t="s">
        <v>4</v>
      </c>
      <c r="H414">
        <v>2000</v>
      </c>
      <c r="I414">
        <v>4000</v>
      </c>
      <c r="J414" t="s">
        <v>10</v>
      </c>
      <c r="K414">
        <v>1.2</v>
      </c>
      <c r="L414">
        <v>46.029000000000003</v>
      </c>
      <c r="M414">
        <v>0.80071999999999999</v>
      </c>
      <c r="N414">
        <v>46.326000000000001</v>
      </c>
      <c r="O414" t="s">
        <v>1599</v>
      </c>
    </row>
    <row r="415" spans="1:15" x14ac:dyDescent="0.25">
      <c r="A415" t="s">
        <v>56</v>
      </c>
      <c r="B415" t="s">
        <v>8</v>
      </c>
      <c r="C415">
        <v>0.1</v>
      </c>
      <c r="D415">
        <v>1</v>
      </c>
      <c r="E415">
        <v>9.9999999999999995E-7</v>
      </c>
      <c r="F415" t="s">
        <v>6</v>
      </c>
      <c r="G415" t="s">
        <v>5</v>
      </c>
      <c r="H415">
        <v>50</v>
      </c>
      <c r="I415">
        <v>100</v>
      </c>
      <c r="J415" t="s">
        <v>10</v>
      </c>
      <c r="K415">
        <v>27</v>
      </c>
      <c r="L415">
        <v>935.56</v>
      </c>
      <c r="M415">
        <v>23.148</v>
      </c>
      <c r="N415">
        <v>938.85</v>
      </c>
      <c r="O415" t="s">
        <v>1602</v>
      </c>
    </row>
    <row r="416" spans="1:15" x14ac:dyDescent="0.25">
      <c r="A416" t="s">
        <v>56</v>
      </c>
      <c r="B416" t="s">
        <v>8</v>
      </c>
      <c r="C416">
        <v>0.1</v>
      </c>
      <c r="D416">
        <v>1</v>
      </c>
      <c r="E416">
        <v>9.9999999999999995E-7</v>
      </c>
      <c r="F416" t="s">
        <v>6</v>
      </c>
      <c r="G416" t="s">
        <v>5</v>
      </c>
      <c r="H416">
        <v>300</v>
      </c>
      <c r="I416">
        <v>1000</v>
      </c>
      <c r="J416" t="s">
        <v>10</v>
      </c>
      <c r="K416">
        <v>120</v>
      </c>
      <c r="L416">
        <v>12000</v>
      </c>
      <c r="M416">
        <v>110.73</v>
      </c>
      <c r="N416">
        <v>11675</v>
      </c>
      <c r="O416" t="s">
        <v>2573</v>
      </c>
    </row>
    <row r="417" spans="1:15" x14ac:dyDescent="0.25">
      <c r="A417" t="s">
        <v>56</v>
      </c>
      <c r="B417" t="s">
        <v>8</v>
      </c>
      <c r="C417">
        <v>0.1</v>
      </c>
      <c r="D417">
        <v>1</v>
      </c>
      <c r="E417">
        <v>1.0000000000000001E-5</v>
      </c>
      <c r="F417" t="s">
        <v>6</v>
      </c>
      <c r="G417" t="s">
        <v>5</v>
      </c>
      <c r="H417">
        <v>50</v>
      </c>
      <c r="I417">
        <v>100</v>
      </c>
      <c r="J417" t="s">
        <v>10</v>
      </c>
      <c r="K417">
        <v>27</v>
      </c>
      <c r="L417">
        <v>935.62</v>
      </c>
      <c r="M417">
        <v>23.297999999999998</v>
      </c>
      <c r="N417">
        <v>938.72</v>
      </c>
      <c r="O417" t="s">
        <v>1614</v>
      </c>
    </row>
    <row r="418" spans="1:15" x14ac:dyDescent="0.25">
      <c r="A418" t="s">
        <v>56</v>
      </c>
      <c r="B418" t="s">
        <v>8</v>
      </c>
      <c r="C418">
        <v>0.1</v>
      </c>
      <c r="D418">
        <v>1</v>
      </c>
      <c r="E418">
        <v>1.0000000000000001E-5</v>
      </c>
      <c r="F418" t="s">
        <v>6</v>
      </c>
      <c r="G418" t="s">
        <v>5</v>
      </c>
      <c r="H418">
        <v>1E-3</v>
      </c>
      <c r="I418">
        <v>0.04</v>
      </c>
      <c r="J418" t="s">
        <v>10</v>
      </c>
      <c r="K418">
        <v>47</v>
      </c>
      <c r="L418">
        <v>82</v>
      </c>
      <c r="M418">
        <v>80.426000000000002</v>
      </c>
      <c r="N418">
        <v>80.426000000000002</v>
      </c>
      <c r="O418" t="s">
        <v>1608</v>
      </c>
    </row>
    <row r="419" spans="1:15" x14ac:dyDescent="0.25">
      <c r="A419" t="s">
        <v>56</v>
      </c>
      <c r="B419" t="s">
        <v>8</v>
      </c>
      <c r="C419">
        <v>0.1</v>
      </c>
      <c r="D419">
        <v>1</v>
      </c>
      <c r="E419">
        <v>1.0000000000000001E-5</v>
      </c>
      <c r="F419" t="s">
        <v>6</v>
      </c>
      <c r="G419" t="s">
        <v>5</v>
      </c>
      <c r="H419">
        <v>300</v>
      </c>
      <c r="I419">
        <v>1000</v>
      </c>
      <c r="J419" t="s">
        <v>10</v>
      </c>
      <c r="K419">
        <v>120</v>
      </c>
      <c r="L419">
        <v>12000</v>
      </c>
      <c r="M419">
        <v>110.73</v>
      </c>
      <c r="N419">
        <v>11675</v>
      </c>
      <c r="O419" t="s">
        <v>1613</v>
      </c>
    </row>
    <row r="420" spans="1:15" x14ac:dyDescent="0.25">
      <c r="A420" t="s">
        <v>56</v>
      </c>
      <c r="B420" t="s">
        <v>8</v>
      </c>
      <c r="C420">
        <v>0.1</v>
      </c>
      <c r="D420">
        <v>1</v>
      </c>
      <c r="E420">
        <v>1.0000000000000001E-5</v>
      </c>
      <c r="F420" t="s">
        <v>6</v>
      </c>
      <c r="G420" t="s">
        <v>5</v>
      </c>
      <c r="H420">
        <v>0.04</v>
      </c>
      <c r="I420">
        <v>1</v>
      </c>
      <c r="J420" t="s">
        <v>10</v>
      </c>
      <c r="K420">
        <v>24</v>
      </c>
      <c r="L420">
        <v>82</v>
      </c>
      <c r="M420">
        <v>24.088000000000001</v>
      </c>
      <c r="N420">
        <v>80.040999999999997</v>
      </c>
      <c r="O420" t="s">
        <v>2575</v>
      </c>
    </row>
    <row r="421" spans="1:15" x14ac:dyDescent="0.25">
      <c r="A421" t="s">
        <v>56</v>
      </c>
      <c r="B421" t="s">
        <v>8</v>
      </c>
      <c r="C421">
        <v>0.1</v>
      </c>
      <c r="D421">
        <v>1</v>
      </c>
      <c r="E421">
        <v>1.0000000000000001E-5</v>
      </c>
      <c r="F421" t="s">
        <v>6</v>
      </c>
      <c r="G421" t="s">
        <v>4</v>
      </c>
      <c r="H421">
        <v>8000</v>
      </c>
      <c r="I421">
        <v>10000</v>
      </c>
      <c r="J421" t="s">
        <v>10</v>
      </c>
      <c r="K421">
        <v>4.5999999999999996</v>
      </c>
      <c r="L421">
        <v>170.12</v>
      </c>
      <c r="M421">
        <v>1.1459999999999999</v>
      </c>
      <c r="N421">
        <v>173.36</v>
      </c>
      <c r="O421" t="s">
        <v>2576</v>
      </c>
    </row>
    <row r="422" spans="1:15" x14ac:dyDescent="0.25">
      <c r="A422" t="s">
        <v>56</v>
      </c>
      <c r="B422" t="s">
        <v>8</v>
      </c>
      <c r="C422">
        <v>0.1</v>
      </c>
      <c r="D422">
        <v>1</v>
      </c>
      <c r="E422">
        <v>1.0000000000000001E-5</v>
      </c>
      <c r="F422" t="s">
        <v>6</v>
      </c>
      <c r="G422" t="s">
        <v>5</v>
      </c>
      <c r="H422">
        <v>100</v>
      </c>
      <c r="I422">
        <v>300</v>
      </c>
      <c r="J422" t="s">
        <v>10</v>
      </c>
      <c r="K422">
        <v>120</v>
      </c>
      <c r="L422">
        <v>3500</v>
      </c>
      <c r="M422">
        <v>116.55</v>
      </c>
      <c r="N422">
        <v>3463.2</v>
      </c>
      <c r="O422" t="s">
        <v>2577</v>
      </c>
    </row>
    <row r="423" spans="1:15" x14ac:dyDescent="0.25">
      <c r="A423" t="s">
        <v>56</v>
      </c>
      <c r="B423" t="s">
        <v>8</v>
      </c>
      <c r="C423">
        <v>0.1</v>
      </c>
      <c r="D423">
        <v>1</v>
      </c>
      <c r="E423">
        <v>1.0000000000000001E-5</v>
      </c>
      <c r="F423" t="s">
        <v>6</v>
      </c>
      <c r="G423" t="s">
        <v>5</v>
      </c>
      <c r="H423">
        <v>1000</v>
      </c>
      <c r="I423">
        <v>2000</v>
      </c>
      <c r="J423" t="s">
        <v>10</v>
      </c>
      <c r="K423">
        <v>590</v>
      </c>
      <c r="L423">
        <v>17152</v>
      </c>
      <c r="M423">
        <v>108.38</v>
      </c>
      <c r="N423">
        <v>17479</v>
      </c>
      <c r="O423" t="s">
        <v>1611</v>
      </c>
    </row>
    <row r="424" spans="1:15" x14ac:dyDescent="0.25">
      <c r="A424" t="s">
        <v>56</v>
      </c>
      <c r="B424" t="s">
        <v>8</v>
      </c>
      <c r="C424">
        <v>0.1</v>
      </c>
      <c r="D424">
        <v>1</v>
      </c>
      <c r="E424">
        <v>1.0000000000000001E-5</v>
      </c>
      <c r="F424" t="s">
        <v>6</v>
      </c>
      <c r="G424" t="s">
        <v>4</v>
      </c>
      <c r="H424">
        <v>2000</v>
      </c>
      <c r="I424">
        <v>4000</v>
      </c>
      <c r="J424" t="s">
        <v>10</v>
      </c>
      <c r="K424">
        <v>1.2</v>
      </c>
      <c r="L424">
        <v>46.029000000000003</v>
      </c>
      <c r="M424">
        <v>0.80073000000000005</v>
      </c>
      <c r="N424">
        <v>46.326000000000001</v>
      </c>
      <c r="O424" t="s">
        <v>1615</v>
      </c>
    </row>
    <row r="425" spans="1:15" x14ac:dyDescent="0.25">
      <c r="A425" t="s">
        <v>56</v>
      </c>
      <c r="B425" t="s">
        <v>8</v>
      </c>
      <c r="C425">
        <v>0.1</v>
      </c>
      <c r="D425">
        <v>1</v>
      </c>
      <c r="E425">
        <v>1.0000000000000001E-5</v>
      </c>
      <c r="F425" t="s">
        <v>6</v>
      </c>
      <c r="G425" t="s">
        <v>5</v>
      </c>
      <c r="H425">
        <v>20</v>
      </c>
      <c r="I425">
        <v>50</v>
      </c>
      <c r="J425" t="s">
        <v>10</v>
      </c>
      <c r="K425">
        <v>24</v>
      </c>
      <c r="L425">
        <v>350</v>
      </c>
      <c r="M425">
        <v>23.693000000000001</v>
      </c>
      <c r="N425">
        <v>345.87</v>
      </c>
      <c r="O425" t="s">
        <v>1612</v>
      </c>
    </row>
    <row r="426" spans="1:15" x14ac:dyDescent="0.25">
      <c r="A426" t="s">
        <v>56</v>
      </c>
      <c r="B426" t="s">
        <v>8</v>
      </c>
      <c r="C426">
        <v>0.1</v>
      </c>
      <c r="D426">
        <v>1</v>
      </c>
      <c r="E426">
        <v>1.0000000000000001E-5</v>
      </c>
      <c r="F426" t="s">
        <v>6</v>
      </c>
      <c r="G426" t="s">
        <v>5</v>
      </c>
      <c r="H426">
        <v>1</v>
      </c>
      <c r="I426">
        <v>20</v>
      </c>
      <c r="J426" t="s">
        <v>10</v>
      </c>
      <c r="K426">
        <v>26</v>
      </c>
      <c r="L426">
        <v>160</v>
      </c>
      <c r="M426">
        <v>23.893000000000001</v>
      </c>
      <c r="N426">
        <v>160.97999999999999</v>
      </c>
      <c r="O426" t="s">
        <v>1610</v>
      </c>
    </row>
    <row r="427" spans="1:15" x14ac:dyDescent="0.25">
      <c r="A427" t="s">
        <v>56</v>
      </c>
      <c r="B427" t="s">
        <v>8</v>
      </c>
      <c r="C427">
        <v>0.1</v>
      </c>
      <c r="D427">
        <v>1</v>
      </c>
      <c r="E427">
        <v>1.0000000000000001E-5</v>
      </c>
      <c r="F427" t="s">
        <v>6</v>
      </c>
      <c r="G427" t="s">
        <v>4</v>
      </c>
      <c r="H427">
        <v>4000</v>
      </c>
      <c r="I427">
        <v>8000</v>
      </c>
      <c r="J427" t="s">
        <v>10</v>
      </c>
      <c r="K427">
        <v>1.3</v>
      </c>
      <c r="L427">
        <v>46.045999999999999</v>
      </c>
      <c r="M427">
        <v>0.91607000000000005</v>
      </c>
      <c r="N427">
        <v>46.326000000000001</v>
      </c>
      <c r="O427" t="s">
        <v>1609</v>
      </c>
    </row>
    <row r="428" spans="1:15" x14ac:dyDescent="0.25">
      <c r="A428" t="s">
        <v>56</v>
      </c>
      <c r="B428" t="s">
        <v>8</v>
      </c>
      <c r="C428">
        <v>0.1</v>
      </c>
      <c r="D428">
        <v>1</v>
      </c>
      <c r="E428">
        <v>1E-4</v>
      </c>
      <c r="F428" t="s">
        <v>6</v>
      </c>
      <c r="G428" t="s">
        <v>4</v>
      </c>
      <c r="H428">
        <v>8000</v>
      </c>
      <c r="I428">
        <v>10000</v>
      </c>
      <c r="J428" t="s">
        <v>10</v>
      </c>
      <c r="K428">
        <v>4.5999999999999996</v>
      </c>
      <c r="L428">
        <v>170.12</v>
      </c>
      <c r="M428">
        <v>1.1460999999999999</v>
      </c>
      <c r="N428">
        <v>173.36</v>
      </c>
      <c r="O428" t="s">
        <v>1621</v>
      </c>
    </row>
    <row r="429" spans="1:15" x14ac:dyDescent="0.25">
      <c r="A429" t="s">
        <v>56</v>
      </c>
      <c r="B429" t="s">
        <v>8</v>
      </c>
      <c r="C429">
        <v>0.1</v>
      </c>
      <c r="D429">
        <v>1</v>
      </c>
      <c r="E429">
        <v>1E-4</v>
      </c>
      <c r="F429" t="s">
        <v>6</v>
      </c>
      <c r="G429" t="s">
        <v>5</v>
      </c>
      <c r="H429">
        <v>300</v>
      </c>
      <c r="I429">
        <v>1000</v>
      </c>
      <c r="J429" t="s">
        <v>10</v>
      </c>
      <c r="K429">
        <v>120</v>
      </c>
      <c r="L429">
        <v>12000</v>
      </c>
      <c r="M429">
        <v>111.87</v>
      </c>
      <c r="N429">
        <v>11674</v>
      </c>
      <c r="O429" t="s">
        <v>1618</v>
      </c>
    </row>
    <row r="430" spans="1:15" x14ac:dyDescent="0.25">
      <c r="A430" t="s">
        <v>56</v>
      </c>
      <c r="B430" t="s">
        <v>8</v>
      </c>
      <c r="C430">
        <v>0.1</v>
      </c>
      <c r="D430">
        <v>1</v>
      </c>
      <c r="E430">
        <v>1E-4</v>
      </c>
      <c r="F430" t="s">
        <v>6</v>
      </c>
      <c r="G430" t="s">
        <v>5</v>
      </c>
      <c r="H430">
        <v>20</v>
      </c>
      <c r="I430">
        <v>50</v>
      </c>
      <c r="J430" t="s">
        <v>10</v>
      </c>
      <c r="K430">
        <v>49.713000000000001</v>
      </c>
      <c r="L430">
        <v>324.48</v>
      </c>
      <c r="M430">
        <v>49.371000000000002</v>
      </c>
      <c r="N430">
        <v>324.63</v>
      </c>
      <c r="O430" t="s">
        <v>1623</v>
      </c>
    </row>
    <row r="431" spans="1:15" x14ac:dyDescent="0.25">
      <c r="A431" t="s">
        <v>56</v>
      </c>
      <c r="B431" t="s">
        <v>8</v>
      </c>
      <c r="C431">
        <v>0.1</v>
      </c>
      <c r="D431">
        <v>1</v>
      </c>
      <c r="E431">
        <v>1E-4</v>
      </c>
      <c r="F431" t="s">
        <v>6</v>
      </c>
      <c r="G431" t="s">
        <v>5</v>
      </c>
      <c r="H431">
        <v>0.04</v>
      </c>
      <c r="I431">
        <v>1</v>
      </c>
      <c r="J431" t="s">
        <v>10</v>
      </c>
      <c r="K431">
        <v>59.942999999999998</v>
      </c>
      <c r="L431">
        <v>59.048999999999999</v>
      </c>
      <c r="M431">
        <v>59.9</v>
      </c>
      <c r="N431">
        <v>59.024000000000001</v>
      </c>
      <c r="O431" t="s">
        <v>2578</v>
      </c>
    </row>
    <row r="432" spans="1:15" x14ac:dyDescent="0.25">
      <c r="A432" t="s">
        <v>56</v>
      </c>
      <c r="B432" t="s">
        <v>8</v>
      </c>
      <c r="C432">
        <v>0.1</v>
      </c>
      <c r="D432">
        <v>1</v>
      </c>
      <c r="E432">
        <v>1E-4</v>
      </c>
      <c r="F432" t="s">
        <v>6</v>
      </c>
      <c r="G432" t="s">
        <v>5</v>
      </c>
      <c r="H432">
        <v>100</v>
      </c>
      <c r="I432">
        <v>300</v>
      </c>
      <c r="J432" t="s">
        <v>10</v>
      </c>
      <c r="K432">
        <v>120</v>
      </c>
      <c r="L432">
        <v>3500</v>
      </c>
      <c r="M432">
        <v>120.41</v>
      </c>
      <c r="N432">
        <v>3459.8</v>
      </c>
      <c r="O432" t="s">
        <v>1617</v>
      </c>
    </row>
    <row r="433" spans="1:15" x14ac:dyDescent="0.25">
      <c r="A433" t="s">
        <v>56</v>
      </c>
      <c r="B433" t="s">
        <v>8</v>
      </c>
      <c r="C433">
        <v>0.1</v>
      </c>
      <c r="D433">
        <v>1</v>
      </c>
      <c r="E433">
        <v>1E-4</v>
      </c>
      <c r="F433" t="s">
        <v>6</v>
      </c>
      <c r="G433" t="s">
        <v>5</v>
      </c>
      <c r="H433">
        <v>1</v>
      </c>
      <c r="I433">
        <v>20</v>
      </c>
      <c r="J433" t="s">
        <v>10</v>
      </c>
      <c r="K433">
        <v>56.377000000000002</v>
      </c>
      <c r="L433">
        <v>137.35</v>
      </c>
      <c r="M433">
        <v>56.262</v>
      </c>
      <c r="N433">
        <v>137.33000000000001</v>
      </c>
      <c r="O433" t="s">
        <v>2580</v>
      </c>
    </row>
    <row r="434" spans="1:15" x14ac:dyDescent="0.25">
      <c r="A434" t="s">
        <v>56</v>
      </c>
      <c r="B434" t="s">
        <v>8</v>
      </c>
      <c r="C434">
        <v>0.1</v>
      </c>
      <c r="D434">
        <v>1</v>
      </c>
      <c r="E434">
        <v>1E-4</v>
      </c>
      <c r="F434" t="s">
        <v>6</v>
      </c>
      <c r="G434" t="s">
        <v>5</v>
      </c>
      <c r="H434">
        <v>1E-3</v>
      </c>
      <c r="I434">
        <v>0.04</v>
      </c>
      <c r="J434" t="s">
        <v>10</v>
      </c>
      <c r="K434">
        <v>72.742999999999995</v>
      </c>
      <c r="L434">
        <v>66.872</v>
      </c>
      <c r="M434">
        <v>66.849000000000004</v>
      </c>
      <c r="N434">
        <v>66.849000000000004</v>
      </c>
      <c r="O434" t="s">
        <v>1616</v>
      </c>
    </row>
    <row r="435" spans="1:15" x14ac:dyDescent="0.25">
      <c r="A435" t="s">
        <v>56</v>
      </c>
      <c r="B435" t="s">
        <v>8</v>
      </c>
      <c r="C435">
        <v>0.1</v>
      </c>
      <c r="D435">
        <v>1</v>
      </c>
      <c r="E435">
        <v>1E-4</v>
      </c>
      <c r="F435" t="s">
        <v>6</v>
      </c>
      <c r="G435" t="s">
        <v>5</v>
      </c>
      <c r="H435">
        <v>50</v>
      </c>
      <c r="I435">
        <v>100</v>
      </c>
      <c r="J435" t="s">
        <v>10</v>
      </c>
      <c r="K435">
        <v>38.506</v>
      </c>
      <c r="L435">
        <v>925.39</v>
      </c>
      <c r="M435">
        <v>37.912999999999997</v>
      </c>
      <c r="N435">
        <v>925.82</v>
      </c>
      <c r="O435" t="s">
        <v>1619</v>
      </c>
    </row>
    <row r="436" spans="1:15" x14ac:dyDescent="0.25">
      <c r="A436" t="s">
        <v>56</v>
      </c>
      <c r="B436" t="s">
        <v>8</v>
      </c>
      <c r="C436">
        <v>0.1</v>
      </c>
      <c r="D436">
        <v>1</v>
      </c>
      <c r="E436">
        <v>1E-4</v>
      </c>
      <c r="F436" t="s">
        <v>6</v>
      </c>
      <c r="G436" t="s">
        <v>5</v>
      </c>
      <c r="H436">
        <v>1000</v>
      </c>
      <c r="I436">
        <v>2000</v>
      </c>
      <c r="J436" t="s">
        <v>10</v>
      </c>
      <c r="K436">
        <v>590</v>
      </c>
      <c r="L436">
        <v>17152</v>
      </c>
      <c r="M436">
        <v>109.37</v>
      </c>
      <c r="N436">
        <v>17478</v>
      </c>
      <c r="O436" t="s">
        <v>2579</v>
      </c>
    </row>
    <row r="437" spans="1:15" x14ac:dyDescent="0.25">
      <c r="A437" t="s">
        <v>56</v>
      </c>
      <c r="B437" t="s">
        <v>8</v>
      </c>
      <c r="C437">
        <v>0.1</v>
      </c>
      <c r="D437">
        <v>1</v>
      </c>
      <c r="E437">
        <v>1E-4</v>
      </c>
      <c r="F437" t="s">
        <v>6</v>
      </c>
      <c r="G437" t="s">
        <v>4</v>
      </c>
      <c r="H437">
        <v>4000</v>
      </c>
      <c r="I437">
        <v>8000</v>
      </c>
      <c r="J437" t="s">
        <v>10</v>
      </c>
      <c r="K437">
        <v>1.3</v>
      </c>
      <c r="L437">
        <v>46.045999999999999</v>
      </c>
      <c r="M437">
        <v>0.91664999999999996</v>
      </c>
      <c r="N437">
        <v>46.325000000000003</v>
      </c>
      <c r="O437" t="s">
        <v>1620</v>
      </c>
    </row>
    <row r="438" spans="1:15" x14ac:dyDescent="0.25">
      <c r="A438" t="s">
        <v>56</v>
      </c>
      <c r="B438" t="s">
        <v>8</v>
      </c>
      <c r="C438">
        <v>0.1</v>
      </c>
      <c r="D438">
        <v>1</v>
      </c>
      <c r="E438">
        <v>1E-4</v>
      </c>
      <c r="F438" t="s">
        <v>6</v>
      </c>
      <c r="G438" t="s">
        <v>4</v>
      </c>
      <c r="H438">
        <v>2000</v>
      </c>
      <c r="I438">
        <v>4000</v>
      </c>
      <c r="J438" t="s">
        <v>10</v>
      </c>
      <c r="K438">
        <v>1.2</v>
      </c>
      <c r="L438">
        <v>46.03</v>
      </c>
      <c r="M438">
        <v>0.80149999999999999</v>
      </c>
      <c r="N438">
        <v>46.325000000000003</v>
      </c>
      <c r="O438" t="s">
        <v>1622</v>
      </c>
    </row>
    <row r="439" spans="1:15" x14ac:dyDescent="0.25">
      <c r="A439" t="s">
        <v>56</v>
      </c>
      <c r="B439" t="s">
        <v>8</v>
      </c>
      <c r="C439">
        <v>0.1</v>
      </c>
      <c r="D439">
        <v>1</v>
      </c>
      <c r="E439">
        <v>1E-3</v>
      </c>
      <c r="F439" t="s">
        <v>6</v>
      </c>
      <c r="G439" t="s">
        <v>5</v>
      </c>
      <c r="H439">
        <v>20</v>
      </c>
      <c r="I439">
        <v>50</v>
      </c>
      <c r="J439" t="s">
        <v>10</v>
      </c>
      <c r="K439">
        <v>568.73</v>
      </c>
      <c r="L439">
        <v>117.17</v>
      </c>
      <c r="M439">
        <v>568.57000000000005</v>
      </c>
      <c r="N439">
        <v>116.91</v>
      </c>
      <c r="O439" t="s">
        <v>1628</v>
      </c>
    </row>
    <row r="440" spans="1:15" x14ac:dyDescent="0.25">
      <c r="A440" t="s">
        <v>56</v>
      </c>
      <c r="B440" t="s">
        <v>8</v>
      </c>
      <c r="C440">
        <v>0.1</v>
      </c>
      <c r="D440">
        <v>1</v>
      </c>
      <c r="E440">
        <v>1E-3</v>
      </c>
      <c r="F440" t="s">
        <v>6</v>
      </c>
      <c r="G440" t="s">
        <v>5</v>
      </c>
      <c r="H440">
        <v>1000</v>
      </c>
      <c r="I440">
        <v>2000</v>
      </c>
      <c r="J440" t="s">
        <v>10</v>
      </c>
      <c r="K440">
        <v>590</v>
      </c>
      <c r="L440">
        <v>17163</v>
      </c>
      <c r="M440">
        <v>204.79</v>
      </c>
      <c r="N440">
        <v>17392</v>
      </c>
      <c r="O440" t="s">
        <v>1630</v>
      </c>
    </row>
    <row r="441" spans="1:15" x14ac:dyDescent="0.25">
      <c r="A441" t="s">
        <v>56</v>
      </c>
      <c r="B441" t="s">
        <v>8</v>
      </c>
      <c r="C441">
        <v>0.1</v>
      </c>
      <c r="D441">
        <v>1</v>
      </c>
      <c r="E441">
        <v>1E-3</v>
      </c>
      <c r="F441" t="s">
        <v>6</v>
      </c>
      <c r="G441" t="s">
        <v>5</v>
      </c>
      <c r="H441">
        <v>1</v>
      </c>
      <c r="I441">
        <v>20</v>
      </c>
      <c r="J441" t="s">
        <v>10</v>
      </c>
      <c r="K441">
        <v>575.70000000000005</v>
      </c>
      <c r="L441">
        <v>30.683</v>
      </c>
      <c r="M441">
        <v>575.66</v>
      </c>
      <c r="N441">
        <v>30.547999999999998</v>
      </c>
      <c r="O441" t="s">
        <v>1624</v>
      </c>
    </row>
    <row r="442" spans="1:15" x14ac:dyDescent="0.25">
      <c r="A442" t="s">
        <v>56</v>
      </c>
      <c r="B442" t="s">
        <v>8</v>
      </c>
      <c r="C442">
        <v>0.1</v>
      </c>
      <c r="D442">
        <v>1</v>
      </c>
      <c r="E442">
        <v>1E-3</v>
      </c>
      <c r="F442" t="s">
        <v>6</v>
      </c>
      <c r="G442" t="s">
        <v>5</v>
      </c>
      <c r="H442">
        <v>100</v>
      </c>
      <c r="I442">
        <v>300</v>
      </c>
      <c r="J442" t="s">
        <v>10</v>
      </c>
      <c r="K442">
        <v>420.55</v>
      </c>
      <c r="L442">
        <v>3205.9</v>
      </c>
      <c r="M442">
        <v>419.31</v>
      </c>
      <c r="N442">
        <v>3206.7</v>
      </c>
      <c r="O442" t="s">
        <v>2582</v>
      </c>
    </row>
    <row r="443" spans="1:15" x14ac:dyDescent="0.25">
      <c r="A443" t="s">
        <v>56</v>
      </c>
      <c r="B443" t="s">
        <v>8</v>
      </c>
      <c r="C443">
        <v>0.1</v>
      </c>
      <c r="D443">
        <v>1</v>
      </c>
      <c r="E443">
        <v>1E-3</v>
      </c>
      <c r="F443" t="s">
        <v>6</v>
      </c>
      <c r="G443" t="s">
        <v>4</v>
      </c>
      <c r="H443">
        <v>4000</v>
      </c>
      <c r="I443">
        <v>8000</v>
      </c>
      <c r="J443" t="s">
        <v>10</v>
      </c>
      <c r="K443">
        <v>1.3</v>
      </c>
      <c r="L443">
        <v>46.051000000000002</v>
      </c>
      <c r="M443">
        <v>0.94915000000000005</v>
      </c>
      <c r="N443">
        <v>46.295999999999999</v>
      </c>
      <c r="O443" t="s">
        <v>2581</v>
      </c>
    </row>
    <row r="444" spans="1:15" x14ac:dyDescent="0.25">
      <c r="A444" t="s">
        <v>56</v>
      </c>
      <c r="B444" t="s">
        <v>8</v>
      </c>
      <c r="C444">
        <v>0.1</v>
      </c>
      <c r="D444">
        <v>1</v>
      </c>
      <c r="E444">
        <v>1E-3</v>
      </c>
      <c r="F444" t="s">
        <v>6</v>
      </c>
      <c r="G444" t="s">
        <v>5</v>
      </c>
      <c r="H444">
        <v>0.04</v>
      </c>
      <c r="I444">
        <v>1</v>
      </c>
      <c r="J444" t="s">
        <v>10</v>
      </c>
      <c r="K444">
        <v>577.29999999999995</v>
      </c>
      <c r="L444">
        <v>9.3986000000000001</v>
      </c>
      <c r="M444">
        <v>577.28</v>
      </c>
      <c r="N444">
        <v>9.3602000000000007</v>
      </c>
      <c r="O444" t="s">
        <v>1625</v>
      </c>
    </row>
    <row r="445" spans="1:15" x14ac:dyDescent="0.25">
      <c r="A445" t="s">
        <v>56</v>
      </c>
      <c r="B445" t="s">
        <v>8</v>
      </c>
      <c r="C445">
        <v>0.1</v>
      </c>
      <c r="D445">
        <v>1</v>
      </c>
      <c r="E445">
        <v>1E-3</v>
      </c>
      <c r="F445" t="s">
        <v>6</v>
      </c>
      <c r="G445" t="s">
        <v>4</v>
      </c>
      <c r="H445">
        <v>2000</v>
      </c>
      <c r="I445">
        <v>4000</v>
      </c>
      <c r="J445" t="s">
        <v>10</v>
      </c>
      <c r="K445">
        <v>1.2</v>
      </c>
      <c r="L445">
        <v>46.033999999999999</v>
      </c>
      <c r="M445">
        <v>0.83431</v>
      </c>
      <c r="N445">
        <v>46.295999999999999</v>
      </c>
      <c r="O445" t="s">
        <v>1627</v>
      </c>
    </row>
    <row r="446" spans="1:15" x14ac:dyDescent="0.25">
      <c r="A446" t="s">
        <v>56</v>
      </c>
      <c r="B446" t="s">
        <v>8</v>
      </c>
      <c r="C446">
        <v>0.1</v>
      </c>
      <c r="D446">
        <v>1</v>
      </c>
      <c r="E446">
        <v>1E-3</v>
      </c>
      <c r="F446" t="s">
        <v>6</v>
      </c>
      <c r="G446" t="s">
        <v>5</v>
      </c>
      <c r="H446">
        <v>50</v>
      </c>
      <c r="I446">
        <v>100</v>
      </c>
      <c r="J446" t="s">
        <v>10</v>
      </c>
      <c r="K446">
        <v>530.37</v>
      </c>
      <c r="L446">
        <v>592.16</v>
      </c>
      <c r="M446">
        <v>529.89</v>
      </c>
      <c r="N446">
        <v>592.07000000000005</v>
      </c>
      <c r="O446" t="s">
        <v>1631</v>
      </c>
    </row>
    <row r="447" spans="1:15" x14ac:dyDescent="0.25">
      <c r="A447" t="s">
        <v>56</v>
      </c>
      <c r="B447" t="s">
        <v>8</v>
      </c>
      <c r="C447">
        <v>0.1</v>
      </c>
      <c r="D447">
        <v>1</v>
      </c>
      <c r="E447">
        <v>1E-3</v>
      </c>
      <c r="F447" t="s">
        <v>6</v>
      </c>
      <c r="G447" t="s">
        <v>4</v>
      </c>
      <c r="H447">
        <v>8000</v>
      </c>
      <c r="I447">
        <v>10000</v>
      </c>
      <c r="J447" t="s">
        <v>10</v>
      </c>
      <c r="K447">
        <v>4.5999999999999996</v>
      </c>
      <c r="L447">
        <v>170.12</v>
      </c>
      <c r="M447">
        <v>1.1559999999999999</v>
      </c>
      <c r="N447">
        <v>173.35</v>
      </c>
      <c r="O447" t="s">
        <v>1632</v>
      </c>
    </row>
    <row r="448" spans="1:15" x14ac:dyDescent="0.25">
      <c r="A448" t="s">
        <v>56</v>
      </c>
      <c r="B448" t="s">
        <v>8</v>
      </c>
      <c r="C448">
        <v>0.1</v>
      </c>
      <c r="D448">
        <v>1</v>
      </c>
      <c r="E448">
        <v>1E-3</v>
      </c>
      <c r="F448" t="s">
        <v>6</v>
      </c>
      <c r="G448" t="s">
        <v>5</v>
      </c>
      <c r="H448">
        <v>1E-3</v>
      </c>
      <c r="I448">
        <v>0.04</v>
      </c>
      <c r="J448" t="s">
        <v>10</v>
      </c>
      <c r="K448">
        <v>578.69000000000005</v>
      </c>
      <c r="L448">
        <v>12.536</v>
      </c>
      <c r="M448">
        <v>12.497999999999999</v>
      </c>
      <c r="N448">
        <v>12.497999999999999</v>
      </c>
      <c r="O448" t="s">
        <v>1629</v>
      </c>
    </row>
    <row r="449" spans="1:15" x14ac:dyDescent="0.25">
      <c r="A449" t="s">
        <v>56</v>
      </c>
      <c r="B449" t="s">
        <v>8</v>
      </c>
      <c r="C449">
        <v>0.1</v>
      </c>
      <c r="D449">
        <v>1</v>
      </c>
      <c r="E449">
        <v>1E-3</v>
      </c>
      <c r="F449" t="s">
        <v>6</v>
      </c>
      <c r="G449" t="s">
        <v>5</v>
      </c>
      <c r="H449">
        <v>300</v>
      </c>
      <c r="I449">
        <v>1000</v>
      </c>
      <c r="J449" t="s">
        <v>10</v>
      </c>
      <c r="K449">
        <v>212.67</v>
      </c>
      <c r="L449">
        <v>11907</v>
      </c>
      <c r="M449">
        <v>246.94</v>
      </c>
      <c r="N449">
        <v>11553</v>
      </c>
      <c r="O449" t="s">
        <v>1626</v>
      </c>
    </row>
    <row r="450" spans="1:15" x14ac:dyDescent="0.25">
      <c r="A450" t="s">
        <v>56</v>
      </c>
      <c r="B450" t="s">
        <v>8</v>
      </c>
      <c r="C450">
        <v>0.1</v>
      </c>
      <c r="D450">
        <v>1</v>
      </c>
      <c r="E450">
        <v>0.01</v>
      </c>
      <c r="F450" t="s">
        <v>6</v>
      </c>
      <c r="G450" t="s">
        <v>5</v>
      </c>
      <c r="H450">
        <v>0.04</v>
      </c>
      <c r="I450">
        <v>1</v>
      </c>
      <c r="J450" t="s">
        <v>10</v>
      </c>
      <c r="K450">
        <v>5773.6</v>
      </c>
      <c r="L450">
        <v>0.95989999999999998</v>
      </c>
      <c r="M450">
        <v>5772.7</v>
      </c>
      <c r="N450">
        <v>0.94416</v>
      </c>
      <c r="O450" t="s">
        <v>1634</v>
      </c>
    </row>
    <row r="451" spans="1:15" x14ac:dyDescent="0.25">
      <c r="A451" t="s">
        <v>56</v>
      </c>
      <c r="B451" t="s">
        <v>8</v>
      </c>
      <c r="C451">
        <v>0.1</v>
      </c>
      <c r="D451">
        <v>1</v>
      </c>
      <c r="E451">
        <v>0.01</v>
      </c>
      <c r="F451" t="s">
        <v>6</v>
      </c>
      <c r="G451" t="s">
        <v>5</v>
      </c>
      <c r="H451">
        <v>300</v>
      </c>
      <c r="I451">
        <v>1000</v>
      </c>
      <c r="J451" t="s">
        <v>10</v>
      </c>
      <c r="K451">
        <v>5113.2</v>
      </c>
      <c r="L451">
        <v>8011.6</v>
      </c>
      <c r="M451">
        <v>4758</v>
      </c>
      <c r="N451">
        <v>8011.9</v>
      </c>
      <c r="O451" t="s">
        <v>1643</v>
      </c>
    </row>
    <row r="452" spans="1:15" x14ac:dyDescent="0.25">
      <c r="A452" t="s">
        <v>56</v>
      </c>
      <c r="B452" t="s">
        <v>8</v>
      </c>
      <c r="C452">
        <v>0.1</v>
      </c>
      <c r="D452">
        <v>1</v>
      </c>
      <c r="E452">
        <v>0.01</v>
      </c>
      <c r="F452" t="s">
        <v>6</v>
      </c>
      <c r="G452" t="s">
        <v>4</v>
      </c>
      <c r="H452">
        <v>4000</v>
      </c>
      <c r="I452">
        <v>8000</v>
      </c>
      <c r="J452" t="s">
        <v>10</v>
      </c>
      <c r="K452">
        <v>3.6131000000000002</v>
      </c>
      <c r="L452">
        <v>43.981999999999999</v>
      </c>
      <c r="M452">
        <v>3.3780000000000001</v>
      </c>
      <c r="N452">
        <v>43.984000000000002</v>
      </c>
      <c r="O452" t="s">
        <v>1639</v>
      </c>
    </row>
    <row r="453" spans="1:15" x14ac:dyDescent="0.25">
      <c r="A453" t="s">
        <v>56</v>
      </c>
      <c r="B453" t="s">
        <v>8</v>
      </c>
      <c r="C453">
        <v>0.1</v>
      </c>
      <c r="D453">
        <v>1</v>
      </c>
      <c r="E453">
        <v>0.01</v>
      </c>
      <c r="F453" t="s">
        <v>6</v>
      </c>
      <c r="G453" t="s">
        <v>4</v>
      </c>
      <c r="H453">
        <v>2000</v>
      </c>
      <c r="I453">
        <v>4000</v>
      </c>
      <c r="J453" t="s">
        <v>10</v>
      </c>
      <c r="K453">
        <v>3.5375000000000001</v>
      </c>
      <c r="L453">
        <v>43.944000000000003</v>
      </c>
      <c r="M453">
        <v>3.2985000000000002</v>
      </c>
      <c r="N453">
        <v>43.945</v>
      </c>
      <c r="O453" t="s">
        <v>1637</v>
      </c>
    </row>
    <row r="454" spans="1:15" x14ac:dyDescent="0.25">
      <c r="A454" t="s">
        <v>56</v>
      </c>
      <c r="B454" t="s">
        <v>8</v>
      </c>
      <c r="C454">
        <v>0.1</v>
      </c>
      <c r="D454">
        <v>1</v>
      </c>
      <c r="E454">
        <v>0.01</v>
      </c>
      <c r="F454" t="s">
        <v>6</v>
      </c>
      <c r="G454" t="s">
        <v>5</v>
      </c>
      <c r="H454">
        <v>20</v>
      </c>
      <c r="I454">
        <v>50</v>
      </c>
      <c r="J454" t="s">
        <v>10</v>
      </c>
      <c r="K454">
        <v>5772.6</v>
      </c>
      <c r="L454">
        <v>12.94</v>
      </c>
      <c r="M454">
        <v>5762.2</v>
      </c>
      <c r="N454">
        <v>12.802</v>
      </c>
      <c r="O454" t="s">
        <v>1638</v>
      </c>
    </row>
    <row r="455" spans="1:15" x14ac:dyDescent="0.25">
      <c r="A455" t="s">
        <v>56</v>
      </c>
      <c r="B455" t="s">
        <v>8</v>
      </c>
      <c r="C455">
        <v>0.1</v>
      </c>
      <c r="D455">
        <v>1</v>
      </c>
      <c r="E455">
        <v>0.01</v>
      </c>
      <c r="F455" t="s">
        <v>6</v>
      </c>
      <c r="G455" t="s">
        <v>5</v>
      </c>
      <c r="H455">
        <v>50</v>
      </c>
      <c r="I455">
        <v>100</v>
      </c>
      <c r="J455" t="s">
        <v>10</v>
      </c>
      <c r="K455">
        <v>5766.2</v>
      </c>
      <c r="L455">
        <v>87.391999999999996</v>
      </c>
      <c r="M455">
        <v>5715.5</v>
      </c>
      <c r="N455">
        <v>87.123000000000005</v>
      </c>
      <c r="O455" t="s">
        <v>1636</v>
      </c>
    </row>
    <row r="456" spans="1:15" x14ac:dyDescent="0.25">
      <c r="A456" t="s">
        <v>56</v>
      </c>
      <c r="B456" t="s">
        <v>8</v>
      </c>
      <c r="C456">
        <v>0.1</v>
      </c>
      <c r="D456">
        <v>1</v>
      </c>
      <c r="E456">
        <v>0.01</v>
      </c>
      <c r="F456" t="s">
        <v>6</v>
      </c>
      <c r="G456" t="s">
        <v>5</v>
      </c>
      <c r="H456">
        <v>100</v>
      </c>
      <c r="I456">
        <v>300</v>
      </c>
      <c r="J456" t="s">
        <v>10</v>
      </c>
      <c r="K456">
        <v>5681.4</v>
      </c>
      <c r="L456">
        <v>1112.8</v>
      </c>
      <c r="M456">
        <v>5471.4</v>
      </c>
      <c r="N456">
        <v>1112.4000000000001</v>
      </c>
      <c r="O456" t="s">
        <v>1642</v>
      </c>
    </row>
    <row r="457" spans="1:15" x14ac:dyDescent="0.25">
      <c r="A457" t="s">
        <v>56</v>
      </c>
      <c r="B457" t="s">
        <v>8</v>
      </c>
      <c r="C457">
        <v>0.1</v>
      </c>
      <c r="D457">
        <v>1</v>
      </c>
      <c r="E457">
        <v>0.01</v>
      </c>
      <c r="F457" t="s">
        <v>6</v>
      </c>
      <c r="G457" t="s">
        <v>5</v>
      </c>
      <c r="H457">
        <v>1000</v>
      </c>
      <c r="I457">
        <v>2000</v>
      </c>
      <c r="J457" t="s">
        <v>10</v>
      </c>
      <c r="K457">
        <v>4683.3999999999996</v>
      </c>
      <c r="L457">
        <v>13828</v>
      </c>
      <c r="M457">
        <v>4325.3999999999996</v>
      </c>
      <c r="N457">
        <v>13829</v>
      </c>
      <c r="O457" t="s">
        <v>1633</v>
      </c>
    </row>
    <row r="458" spans="1:15" x14ac:dyDescent="0.25">
      <c r="A458" t="s">
        <v>56</v>
      </c>
      <c r="B458" t="s">
        <v>8</v>
      </c>
      <c r="C458">
        <v>0.1</v>
      </c>
      <c r="D458">
        <v>1</v>
      </c>
      <c r="E458">
        <v>0.01</v>
      </c>
      <c r="F458" t="s">
        <v>6</v>
      </c>
      <c r="G458" t="s">
        <v>5</v>
      </c>
      <c r="H458">
        <v>1</v>
      </c>
      <c r="I458">
        <v>20</v>
      </c>
      <c r="J458" t="s">
        <v>10</v>
      </c>
      <c r="K458">
        <v>5773.4</v>
      </c>
      <c r="L458">
        <v>3.1917</v>
      </c>
      <c r="M458">
        <v>5770.6</v>
      </c>
      <c r="N458">
        <v>0.31602999999999998</v>
      </c>
      <c r="O458" t="s">
        <v>1640</v>
      </c>
    </row>
    <row r="459" spans="1:15" x14ac:dyDescent="0.25">
      <c r="A459" t="s">
        <v>56</v>
      </c>
      <c r="B459" t="s">
        <v>8</v>
      </c>
      <c r="C459">
        <v>0.1</v>
      </c>
      <c r="D459">
        <v>1</v>
      </c>
      <c r="E459">
        <v>0.01</v>
      </c>
      <c r="F459" t="s">
        <v>6</v>
      </c>
      <c r="G459" t="s">
        <v>4</v>
      </c>
      <c r="H459">
        <v>8000</v>
      </c>
      <c r="I459">
        <v>10000</v>
      </c>
      <c r="J459" t="s">
        <v>10</v>
      </c>
      <c r="K459">
        <v>4.5999999999999996</v>
      </c>
      <c r="L459">
        <v>170.23</v>
      </c>
      <c r="M459">
        <v>2.0278</v>
      </c>
      <c r="N459">
        <v>172.49</v>
      </c>
      <c r="O459" t="s">
        <v>1635</v>
      </c>
    </row>
    <row r="460" spans="1:15" x14ac:dyDescent="0.25">
      <c r="A460" t="s">
        <v>56</v>
      </c>
      <c r="B460" t="s">
        <v>8</v>
      </c>
      <c r="C460">
        <v>0.1</v>
      </c>
      <c r="D460">
        <v>1</v>
      </c>
      <c r="E460">
        <v>0.01</v>
      </c>
      <c r="F460" t="s">
        <v>6</v>
      </c>
      <c r="G460" t="s">
        <v>5</v>
      </c>
      <c r="H460">
        <v>1E-3</v>
      </c>
      <c r="I460">
        <v>0.04</v>
      </c>
      <c r="J460" t="s">
        <v>10</v>
      </c>
      <c r="K460">
        <v>5773.7</v>
      </c>
      <c r="L460">
        <v>1.2830999999999999</v>
      </c>
      <c r="M460">
        <v>1.2674000000000001</v>
      </c>
      <c r="N460">
        <v>1.2674000000000001</v>
      </c>
      <c r="O460" t="s">
        <v>1641</v>
      </c>
    </row>
    <row r="461" spans="1:15" x14ac:dyDescent="0.25">
      <c r="A461" t="s">
        <v>56</v>
      </c>
      <c r="B461" t="s">
        <v>8</v>
      </c>
      <c r="C461">
        <v>1</v>
      </c>
      <c r="D461">
        <v>10</v>
      </c>
      <c r="E461">
        <v>9.9999999999999995E-7</v>
      </c>
      <c r="F461" t="s">
        <v>6</v>
      </c>
      <c r="G461" t="s">
        <v>4</v>
      </c>
      <c r="H461">
        <v>1000</v>
      </c>
      <c r="I461">
        <v>2000</v>
      </c>
      <c r="J461" t="s">
        <v>10</v>
      </c>
      <c r="K461">
        <v>6.1</v>
      </c>
      <c r="L461">
        <v>17</v>
      </c>
      <c r="M461">
        <v>1.1337999999999999</v>
      </c>
      <c r="N461">
        <v>17.486999999999998</v>
      </c>
      <c r="O461" t="s">
        <v>1647</v>
      </c>
    </row>
    <row r="462" spans="1:15" x14ac:dyDescent="0.25">
      <c r="A462" t="s">
        <v>56</v>
      </c>
      <c r="B462" t="s">
        <v>8</v>
      </c>
      <c r="C462">
        <v>1</v>
      </c>
      <c r="D462">
        <v>10</v>
      </c>
      <c r="E462">
        <v>9.9999999999999995E-7</v>
      </c>
      <c r="F462" t="s">
        <v>6</v>
      </c>
      <c r="G462" t="s">
        <v>4</v>
      </c>
      <c r="H462">
        <v>1E-3</v>
      </c>
      <c r="I462">
        <v>0.04</v>
      </c>
      <c r="J462" t="s">
        <v>10</v>
      </c>
      <c r="K462">
        <v>0.46</v>
      </c>
      <c r="L462">
        <v>9.1999999999999998E-2</v>
      </c>
      <c r="M462">
        <v>0.45052999999999999</v>
      </c>
      <c r="N462">
        <v>9.2199000000000003E-2</v>
      </c>
      <c r="O462" t="s">
        <v>2583</v>
      </c>
    </row>
    <row r="463" spans="1:15" x14ac:dyDescent="0.25">
      <c r="A463" t="s">
        <v>56</v>
      </c>
      <c r="B463" t="s">
        <v>8</v>
      </c>
      <c r="C463">
        <v>1</v>
      </c>
      <c r="D463">
        <v>10</v>
      </c>
      <c r="E463">
        <v>9.9999999999999995E-7</v>
      </c>
      <c r="F463" t="s">
        <v>6</v>
      </c>
      <c r="G463" t="s">
        <v>4</v>
      </c>
      <c r="H463">
        <v>1</v>
      </c>
      <c r="I463">
        <v>20</v>
      </c>
      <c r="J463" t="s">
        <v>10</v>
      </c>
      <c r="K463">
        <v>0.28000000000000003</v>
      </c>
      <c r="L463">
        <v>0.16</v>
      </c>
      <c r="M463">
        <v>0.22835</v>
      </c>
      <c r="N463">
        <v>0.16434000000000001</v>
      </c>
      <c r="O463" t="s">
        <v>2585</v>
      </c>
    </row>
    <row r="464" spans="1:15" x14ac:dyDescent="0.25">
      <c r="A464" t="s">
        <v>56</v>
      </c>
      <c r="B464" t="s">
        <v>8</v>
      </c>
      <c r="C464">
        <v>1</v>
      </c>
      <c r="D464">
        <v>10</v>
      </c>
      <c r="E464">
        <v>9.9999999999999995E-7</v>
      </c>
      <c r="F464" t="s">
        <v>6</v>
      </c>
      <c r="G464" t="s">
        <v>4</v>
      </c>
      <c r="H464">
        <v>20</v>
      </c>
      <c r="I464">
        <v>50</v>
      </c>
      <c r="J464" t="s">
        <v>10</v>
      </c>
      <c r="K464">
        <v>0.24</v>
      </c>
      <c r="L464">
        <v>0.35</v>
      </c>
      <c r="M464">
        <v>0.22967000000000001</v>
      </c>
      <c r="N464">
        <v>0.34776000000000001</v>
      </c>
      <c r="O464" t="s">
        <v>2586</v>
      </c>
    </row>
    <row r="465" spans="1:15" x14ac:dyDescent="0.25">
      <c r="A465" t="s">
        <v>56</v>
      </c>
      <c r="B465" t="s">
        <v>8</v>
      </c>
      <c r="C465">
        <v>1</v>
      </c>
      <c r="D465">
        <v>10</v>
      </c>
      <c r="E465">
        <v>9.9999999999999995E-7</v>
      </c>
      <c r="F465" t="s">
        <v>6</v>
      </c>
      <c r="G465" t="s">
        <v>4</v>
      </c>
      <c r="H465">
        <v>100</v>
      </c>
      <c r="I465">
        <v>300</v>
      </c>
      <c r="J465" t="s">
        <v>10</v>
      </c>
      <c r="K465">
        <v>1.2</v>
      </c>
      <c r="L465">
        <v>3.5</v>
      </c>
      <c r="M465">
        <v>1.1358999999999999</v>
      </c>
      <c r="N465">
        <v>3.4830999999999999</v>
      </c>
      <c r="O465" t="s">
        <v>1648</v>
      </c>
    </row>
    <row r="466" spans="1:15" x14ac:dyDescent="0.25">
      <c r="A466" t="s">
        <v>56</v>
      </c>
      <c r="B466" t="s">
        <v>8</v>
      </c>
      <c r="C466">
        <v>1</v>
      </c>
      <c r="D466">
        <v>10</v>
      </c>
      <c r="E466">
        <v>9.9999999999999995E-7</v>
      </c>
      <c r="F466" t="s">
        <v>6</v>
      </c>
      <c r="G466" t="s">
        <v>4</v>
      </c>
      <c r="H466">
        <v>300</v>
      </c>
      <c r="I466">
        <v>1000</v>
      </c>
      <c r="J466" t="s">
        <v>10</v>
      </c>
      <c r="K466">
        <v>0.83</v>
      </c>
      <c r="L466">
        <v>12</v>
      </c>
      <c r="M466">
        <v>1.127</v>
      </c>
      <c r="N466">
        <v>11.688000000000001</v>
      </c>
      <c r="O466" t="s">
        <v>2584</v>
      </c>
    </row>
    <row r="467" spans="1:15" x14ac:dyDescent="0.25">
      <c r="A467" t="s">
        <v>56</v>
      </c>
      <c r="B467" t="s">
        <v>8</v>
      </c>
      <c r="C467">
        <v>1</v>
      </c>
      <c r="D467">
        <v>10</v>
      </c>
      <c r="E467">
        <v>9.9999999999999995E-7</v>
      </c>
      <c r="F467" t="s">
        <v>6</v>
      </c>
      <c r="G467" t="s">
        <v>4</v>
      </c>
      <c r="H467">
        <v>0.04</v>
      </c>
      <c r="I467">
        <v>1</v>
      </c>
      <c r="J467" t="s">
        <v>10</v>
      </c>
      <c r="K467">
        <v>0.25</v>
      </c>
      <c r="L467">
        <v>8.4000000000000005E-2</v>
      </c>
      <c r="M467">
        <v>0.22625000000000001</v>
      </c>
      <c r="N467">
        <v>8.5544999999999996E-2</v>
      </c>
      <c r="O467" t="s">
        <v>1644</v>
      </c>
    </row>
    <row r="468" spans="1:15" x14ac:dyDescent="0.25">
      <c r="A468" t="s">
        <v>56</v>
      </c>
      <c r="B468" t="s">
        <v>8</v>
      </c>
      <c r="C468">
        <v>1</v>
      </c>
      <c r="D468">
        <v>10</v>
      </c>
      <c r="E468">
        <v>9.9999999999999995E-7</v>
      </c>
      <c r="F468" t="s">
        <v>6</v>
      </c>
      <c r="G468" t="s">
        <v>4</v>
      </c>
      <c r="H468">
        <v>2000</v>
      </c>
      <c r="I468">
        <v>4000</v>
      </c>
      <c r="J468" t="s">
        <v>10</v>
      </c>
      <c r="K468">
        <v>12</v>
      </c>
      <c r="L468">
        <v>46</v>
      </c>
      <c r="M468">
        <v>8.0599000000000007</v>
      </c>
      <c r="N468">
        <v>46.328000000000003</v>
      </c>
      <c r="O468" t="s">
        <v>1650</v>
      </c>
    </row>
    <row r="469" spans="1:15" x14ac:dyDescent="0.25">
      <c r="A469" t="s">
        <v>56</v>
      </c>
      <c r="B469" t="s">
        <v>8</v>
      </c>
      <c r="C469">
        <v>1</v>
      </c>
      <c r="D469">
        <v>10</v>
      </c>
      <c r="E469">
        <v>9.9999999999999995E-7</v>
      </c>
      <c r="F469" t="s">
        <v>6</v>
      </c>
      <c r="G469" t="s">
        <v>4</v>
      </c>
      <c r="H469">
        <v>50</v>
      </c>
      <c r="I469">
        <v>100</v>
      </c>
      <c r="J469" t="s">
        <v>10</v>
      </c>
      <c r="K469">
        <v>0.27</v>
      </c>
      <c r="L469">
        <v>0.94</v>
      </c>
      <c r="M469">
        <v>0.22603000000000001</v>
      </c>
      <c r="N469">
        <v>0.94120999999999999</v>
      </c>
      <c r="O469" t="s">
        <v>1645</v>
      </c>
    </row>
    <row r="470" spans="1:15" x14ac:dyDescent="0.25">
      <c r="A470" t="s">
        <v>56</v>
      </c>
      <c r="B470" t="s">
        <v>8</v>
      </c>
      <c r="C470">
        <v>1</v>
      </c>
      <c r="D470">
        <v>10</v>
      </c>
      <c r="E470">
        <v>9.9999999999999995E-7</v>
      </c>
      <c r="F470" t="s">
        <v>6</v>
      </c>
      <c r="G470" t="s">
        <v>4</v>
      </c>
      <c r="H470">
        <v>8000</v>
      </c>
      <c r="I470">
        <v>10000</v>
      </c>
      <c r="J470" t="s">
        <v>10</v>
      </c>
      <c r="K470">
        <v>46</v>
      </c>
      <c r="L470">
        <v>170</v>
      </c>
      <c r="M470">
        <v>11.528</v>
      </c>
      <c r="N470">
        <v>173.36</v>
      </c>
      <c r="O470" t="s">
        <v>1649</v>
      </c>
    </row>
    <row r="471" spans="1:15" x14ac:dyDescent="0.25">
      <c r="A471" t="s">
        <v>56</v>
      </c>
      <c r="B471" t="s">
        <v>8</v>
      </c>
      <c r="C471">
        <v>1</v>
      </c>
      <c r="D471">
        <v>10</v>
      </c>
      <c r="E471">
        <v>9.9999999999999995E-7</v>
      </c>
      <c r="F471" t="s">
        <v>6</v>
      </c>
      <c r="G471" t="s">
        <v>4</v>
      </c>
      <c r="H471">
        <v>4000</v>
      </c>
      <c r="I471">
        <v>8000</v>
      </c>
      <c r="J471" t="s">
        <v>10</v>
      </c>
      <c r="K471">
        <v>15</v>
      </c>
      <c r="L471">
        <v>46</v>
      </c>
      <c r="M471">
        <v>9.1631999999999998</v>
      </c>
      <c r="N471">
        <v>46.576000000000001</v>
      </c>
      <c r="O471" t="s">
        <v>1646</v>
      </c>
    </row>
    <row r="472" spans="1:15" x14ac:dyDescent="0.25">
      <c r="A472" t="s">
        <v>56</v>
      </c>
      <c r="B472" t="s">
        <v>8</v>
      </c>
      <c r="C472">
        <v>1</v>
      </c>
      <c r="D472">
        <v>10</v>
      </c>
      <c r="E472">
        <v>1.0000000000000001E-5</v>
      </c>
      <c r="F472" t="s">
        <v>6</v>
      </c>
      <c r="G472" t="s">
        <v>4</v>
      </c>
      <c r="H472">
        <v>300</v>
      </c>
      <c r="I472">
        <v>1000</v>
      </c>
      <c r="J472" t="s">
        <v>10</v>
      </c>
      <c r="K472">
        <v>0.83</v>
      </c>
      <c r="L472">
        <v>11.988</v>
      </c>
      <c r="M472">
        <v>1.127</v>
      </c>
      <c r="N472">
        <v>11.688000000000001</v>
      </c>
      <c r="O472" t="s">
        <v>1658</v>
      </c>
    </row>
    <row r="473" spans="1:15" x14ac:dyDescent="0.25">
      <c r="A473" t="s">
        <v>56</v>
      </c>
      <c r="B473" t="s">
        <v>8</v>
      </c>
      <c r="C473">
        <v>1</v>
      </c>
      <c r="D473">
        <v>10</v>
      </c>
      <c r="E473">
        <v>1.0000000000000001E-5</v>
      </c>
      <c r="F473" t="s">
        <v>6</v>
      </c>
      <c r="G473" t="s">
        <v>4</v>
      </c>
      <c r="H473">
        <v>0.04</v>
      </c>
      <c r="I473">
        <v>1</v>
      </c>
      <c r="J473" t="s">
        <v>10</v>
      </c>
      <c r="K473">
        <v>0.25</v>
      </c>
      <c r="L473">
        <v>8.4437999999999999E-2</v>
      </c>
      <c r="M473">
        <v>0.22631999999999999</v>
      </c>
      <c r="N473">
        <v>8.5540000000000005E-2</v>
      </c>
      <c r="O473" t="s">
        <v>1652</v>
      </c>
    </row>
    <row r="474" spans="1:15" x14ac:dyDescent="0.25">
      <c r="A474" t="s">
        <v>56</v>
      </c>
      <c r="B474" t="s">
        <v>8</v>
      </c>
      <c r="C474">
        <v>1</v>
      </c>
      <c r="D474">
        <v>10</v>
      </c>
      <c r="E474">
        <v>1.0000000000000001E-5</v>
      </c>
      <c r="F474" t="s">
        <v>6</v>
      </c>
      <c r="G474" t="s">
        <v>4</v>
      </c>
      <c r="H474">
        <v>1000</v>
      </c>
      <c r="I474">
        <v>2000</v>
      </c>
      <c r="J474" t="s">
        <v>10</v>
      </c>
      <c r="K474">
        <v>6.1</v>
      </c>
      <c r="L474">
        <v>17.155999999999999</v>
      </c>
      <c r="M474">
        <v>1.1337999999999999</v>
      </c>
      <c r="N474">
        <v>17.486999999999998</v>
      </c>
      <c r="O474" t="s">
        <v>1660</v>
      </c>
    </row>
    <row r="475" spans="1:15" x14ac:dyDescent="0.25">
      <c r="A475" t="s">
        <v>56</v>
      </c>
      <c r="B475" t="s">
        <v>8</v>
      </c>
      <c r="C475">
        <v>1</v>
      </c>
      <c r="D475">
        <v>10</v>
      </c>
      <c r="E475">
        <v>1.0000000000000001E-5</v>
      </c>
      <c r="F475" t="s">
        <v>6</v>
      </c>
      <c r="G475" t="s">
        <v>4</v>
      </c>
      <c r="H475">
        <v>1</v>
      </c>
      <c r="I475">
        <v>20</v>
      </c>
      <c r="J475" t="s">
        <v>10</v>
      </c>
      <c r="K475">
        <v>0.28000000000000003</v>
      </c>
      <c r="L475">
        <v>0.16134000000000001</v>
      </c>
      <c r="M475">
        <v>0.22836999999999999</v>
      </c>
      <c r="N475">
        <v>0.16434000000000001</v>
      </c>
      <c r="O475" t="s">
        <v>1654</v>
      </c>
    </row>
    <row r="476" spans="1:15" x14ac:dyDescent="0.25">
      <c r="A476" t="s">
        <v>56</v>
      </c>
      <c r="B476" t="s">
        <v>8</v>
      </c>
      <c r="C476">
        <v>1</v>
      </c>
      <c r="D476">
        <v>10</v>
      </c>
      <c r="E476">
        <v>1.0000000000000001E-5</v>
      </c>
      <c r="F476" t="s">
        <v>6</v>
      </c>
      <c r="G476" t="s">
        <v>4</v>
      </c>
      <c r="H476">
        <v>20</v>
      </c>
      <c r="I476">
        <v>50</v>
      </c>
      <c r="J476" t="s">
        <v>10</v>
      </c>
      <c r="K476">
        <v>0.24</v>
      </c>
      <c r="L476">
        <v>0.35</v>
      </c>
      <c r="M476">
        <v>0.22972999999999999</v>
      </c>
      <c r="N476">
        <v>0.34775</v>
      </c>
      <c r="O476" t="s">
        <v>1659</v>
      </c>
    </row>
    <row r="477" spans="1:15" x14ac:dyDescent="0.25">
      <c r="A477" t="s">
        <v>56</v>
      </c>
      <c r="B477" t="s">
        <v>8</v>
      </c>
      <c r="C477">
        <v>1</v>
      </c>
      <c r="D477">
        <v>10</v>
      </c>
      <c r="E477">
        <v>1.0000000000000001E-5</v>
      </c>
      <c r="F477" t="s">
        <v>6</v>
      </c>
      <c r="G477" t="s">
        <v>4</v>
      </c>
      <c r="H477">
        <v>100</v>
      </c>
      <c r="I477">
        <v>300</v>
      </c>
      <c r="J477" t="s">
        <v>10</v>
      </c>
      <c r="K477">
        <v>1.2</v>
      </c>
      <c r="L477">
        <v>3.5</v>
      </c>
      <c r="M477">
        <v>1.1358999999999999</v>
      </c>
      <c r="N477">
        <v>3.4830999999999999</v>
      </c>
      <c r="O477" t="s">
        <v>1655</v>
      </c>
    </row>
    <row r="478" spans="1:15" x14ac:dyDescent="0.25">
      <c r="A478" t="s">
        <v>56</v>
      </c>
      <c r="B478" t="s">
        <v>8</v>
      </c>
      <c r="C478">
        <v>1</v>
      </c>
      <c r="D478">
        <v>10</v>
      </c>
      <c r="E478">
        <v>1.0000000000000001E-5</v>
      </c>
      <c r="F478" t="s">
        <v>6</v>
      </c>
      <c r="G478" t="s">
        <v>4</v>
      </c>
      <c r="H478">
        <v>8000</v>
      </c>
      <c r="I478">
        <v>10000</v>
      </c>
      <c r="J478" t="s">
        <v>10</v>
      </c>
      <c r="K478">
        <v>46</v>
      </c>
      <c r="L478">
        <v>170.12</v>
      </c>
      <c r="M478">
        <v>11.529</v>
      </c>
      <c r="N478">
        <v>173.36</v>
      </c>
      <c r="O478" t="s">
        <v>2587</v>
      </c>
    </row>
    <row r="479" spans="1:15" x14ac:dyDescent="0.25">
      <c r="A479" t="s">
        <v>56</v>
      </c>
      <c r="B479" t="s">
        <v>8</v>
      </c>
      <c r="C479">
        <v>1</v>
      </c>
      <c r="D479">
        <v>10</v>
      </c>
      <c r="E479">
        <v>1.0000000000000001E-5</v>
      </c>
      <c r="F479" t="s">
        <v>6</v>
      </c>
      <c r="G479" t="s">
        <v>4</v>
      </c>
      <c r="H479">
        <v>1E-3</v>
      </c>
      <c r="I479">
        <v>0.04</v>
      </c>
      <c r="J479" t="s">
        <v>10</v>
      </c>
      <c r="K479">
        <v>0.46</v>
      </c>
      <c r="L479">
        <v>9.1967999999999994E-2</v>
      </c>
      <c r="M479">
        <v>0.45057000000000003</v>
      </c>
      <c r="N479">
        <v>9.2197000000000001E-2</v>
      </c>
      <c r="O479" t="s">
        <v>1653</v>
      </c>
    </row>
    <row r="480" spans="1:15" x14ac:dyDescent="0.25">
      <c r="A480" t="s">
        <v>56</v>
      </c>
      <c r="B480" t="s">
        <v>8</v>
      </c>
      <c r="C480">
        <v>1</v>
      </c>
      <c r="D480">
        <v>10</v>
      </c>
      <c r="E480">
        <v>1.0000000000000001E-5</v>
      </c>
      <c r="F480" t="s">
        <v>6</v>
      </c>
      <c r="G480" t="s">
        <v>4</v>
      </c>
      <c r="H480">
        <v>4000</v>
      </c>
      <c r="I480">
        <v>8000</v>
      </c>
      <c r="J480" t="s">
        <v>10</v>
      </c>
      <c r="K480">
        <v>15</v>
      </c>
      <c r="L480">
        <v>46.325000000000003</v>
      </c>
      <c r="M480">
        <v>9.1631999999999998</v>
      </c>
      <c r="N480">
        <v>46.576000000000001</v>
      </c>
      <c r="O480" t="s">
        <v>1657</v>
      </c>
    </row>
    <row r="481" spans="1:15" x14ac:dyDescent="0.25">
      <c r="A481" t="s">
        <v>56</v>
      </c>
      <c r="B481" t="s">
        <v>8</v>
      </c>
      <c r="C481">
        <v>1</v>
      </c>
      <c r="D481">
        <v>10</v>
      </c>
      <c r="E481">
        <v>1.0000000000000001E-5</v>
      </c>
      <c r="F481" t="s">
        <v>6</v>
      </c>
      <c r="G481" t="s">
        <v>4</v>
      </c>
      <c r="H481">
        <v>2000</v>
      </c>
      <c r="I481">
        <v>4000</v>
      </c>
      <c r="J481" t="s">
        <v>10</v>
      </c>
      <c r="K481">
        <v>12</v>
      </c>
      <c r="L481">
        <v>46.037999999999997</v>
      </c>
      <c r="M481">
        <v>8.06</v>
      </c>
      <c r="N481">
        <v>46.328000000000003</v>
      </c>
      <c r="O481" t="s">
        <v>1656</v>
      </c>
    </row>
    <row r="482" spans="1:15" x14ac:dyDescent="0.25">
      <c r="A482" t="s">
        <v>56</v>
      </c>
      <c r="B482" t="s">
        <v>8</v>
      </c>
      <c r="C482">
        <v>1</v>
      </c>
      <c r="D482">
        <v>10</v>
      </c>
      <c r="E482">
        <v>1.0000000000000001E-5</v>
      </c>
      <c r="F482" t="s">
        <v>6</v>
      </c>
      <c r="G482" t="s">
        <v>4</v>
      </c>
      <c r="H482">
        <v>50</v>
      </c>
      <c r="I482">
        <v>100</v>
      </c>
      <c r="J482" t="s">
        <v>10</v>
      </c>
      <c r="K482">
        <v>0.27</v>
      </c>
      <c r="L482">
        <v>0.93759000000000003</v>
      </c>
      <c r="M482">
        <v>0.22603999999999999</v>
      </c>
      <c r="N482">
        <v>0.94120999999999999</v>
      </c>
      <c r="O482" t="s">
        <v>1651</v>
      </c>
    </row>
    <row r="483" spans="1:15" x14ac:dyDescent="0.25">
      <c r="A483" t="s">
        <v>56</v>
      </c>
      <c r="B483" t="s">
        <v>8</v>
      </c>
      <c r="C483">
        <v>1</v>
      </c>
      <c r="D483">
        <v>10</v>
      </c>
      <c r="E483">
        <v>1E-4</v>
      </c>
      <c r="F483" t="s">
        <v>6</v>
      </c>
      <c r="G483" t="s">
        <v>4</v>
      </c>
      <c r="H483">
        <v>2000</v>
      </c>
      <c r="I483">
        <v>4000</v>
      </c>
      <c r="J483" t="s">
        <v>10</v>
      </c>
      <c r="K483">
        <v>12</v>
      </c>
      <c r="L483">
        <v>46.037999999999997</v>
      </c>
      <c r="M483">
        <v>8.06</v>
      </c>
      <c r="N483">
        <v>46.328000000000003</v>
      </c>
      <c r="O483" t="s">
        <v>1662</v>
      </c>
    </row>
    <row r="484" spans="1:15" x14ac:dyDescent="0.25">
      <c r="A484" t="s">
        <v>56</v>
      </c>
      <c r="B484" t="s">
        <v>8</v>
      </c>
      <c r="C484">
        <v>1</v>
      </c>
      <c r="D484">
        <v>10</v>
      </c>
      <c r="E484">
        <v>1E-4</v>
      </c>
      <c r="F484" t="s">
        <v>6</v>
      </c>
      <c r="G484" t="s">
        <v>4</v>
      </c>
      <c r="H484">
        <v>4000</v>
      </c>
      <c r="I484">
        <v>8000</v>
      </c>
      <c r="J484" t="s">
        <v>10</v>
      </c>
      <c r="K484">
        <v>15</v>
      </c>
      <c r="L484">
        <v>46.325000000000003</v>
      </c>
      <c r="M484">
        <v>9.1631999999999998</v>
      </c>
      <c r="N484">
        <v>46.576000000000001</v>
      </c>
      <c r="O484" t="s">
        <v>2590</v>
      </c>
    </row>
    <row r="485" spans="1:15" x14ac:dyDescent="0.25">
      <c r="A485" t="s">
        <v>56</v>
      </c>
      <c r="B485" t="s">
        <v>8</v>
      </c>
      <c r="C485">
        <v>1</v>
      </c>
      <c r="D485">
        <v>10</v>
      </c>
      <c r="E485">
        <v>1E-4</v>
      </c>
      <c r="F485" t="s">
        <v>6</v>
      </c>
      <c r="G485" t="s">
        <v>4</v>
      </c>
      <c r="H485">
        <v>1000</v>
      </c>
      <c r="I485">
        <v>2000</v>
      </c>
      <c r="J485" t="s">
        <v>10</v>
      </c>
      <c r="K485">
        <v>6.1</v>
      </c>
      <c r="L485">
        <v>17.155999999999999</v>
      </c>
      <c r="M485">
        <v>1.1337999999999999</v>
      </c>
      <c r="N485">
        <v>17.486999999999998</v>
      </c>
      <c r="O485" t="s">
        <v>1663</v>
      </c>
    </row>
    <row r="486" spans="1:15" x14ac:dyDescent="0.25">
      <c r="A486" t="s">
        <v>56</v>
      </c>
      <c r="B486" t="s">
        <v>8</v>
      </c>
      <c r="C486">
        <v>1</v>
      </c>
      <c r="D486">
        <v>10</v>
      </c>
      <c r="E486">
        <v>1E-4</v>
      </c>
      <c r="F486" t="s">
        <v>6</v>
      </c>
      <c r="G486" t="s">
        <v>4</v>
      </c>
      <c r="H486">
        <v>1E-3</v>
      </c>
      <c r="I486">
        <v>0.04</v>
      </c>
      <c r="J486" t="s">
        <v>10</v>
      </c>
      <c r="K486">
        <v>0.46</v>
      </c>
      <c r="L486">
        <v>9.2019000000000004E-2</v>
      </c>
      <c r="M486">
        <v>0.45379999999999998</v>
      </c>
      <c r="N486">
        <v>9.1994000000000006E-2</v>
      </c>
      <c r="O486" t="s">
        <v>1664</v>
      </c>
    </row>
    <row r="487" spans="1:15" x14ac:dyDescent="0.25">
      <c r="A487" t="s">
        <v>56</v>
      </c>
      <c r="B487" t="s">
        <v>8</v>
      </c>
      <c r="C487">
        <v>1</v>
      </c>
      <c r="D487">
        <v>10</v>
      </c>
      <c r="E487">
        <v>1E-4</v>
      </c>
      <c r="F487" t="s">
        <v>6</v>
      </c>
      <c r="G487" t="s">
        <v>4</v>
      </c>
      <c r="H487">
        <v>0.04</v>
      </c>
      <c r="I487">
        <v>1</v>
      </c>
      <c r="J487" t="s">
        <v>10</v>
      </c>
      <c r="K487">
        <v>0.25</v>
      </c>
      <c r="L487">
        <v>8.4682999999999994E-2</v>
      </c>
      <c r="M487">
        <v>0.23197999999999999</v>
      </c>
      <c r="N487">
        <v>8.5126999999999994E-2</v>
      </c>
      <c r="O487" t="s">
        <v>2588</v>
      </c>
    </row>
    <row r="488" spans="1:15" x14ac:dyDescent="0.25">
      <c r="A488" t="s">
        <v>56</v>
      </c>
      <c r="B488" t="s">
        <v>8</v>
      </c>
      <c r="C488">
        <v>1</v>
      </c>
      <c r="D488">
        <v>10</v>
      </c>
      <c r="E488">
        <v>1E-4</v>
      </c>
      <c r="F488" t="s">
        <v>6</v>
      </c>
      <c r="G488" t="s">
        <v>4</v>
      </c>
      <c r="H488">
        <v>50</v>
      </c>
      <c r="I488">
        <v>100</v>
      </c>
      <c r="J488" t="s">
        <v>10</v>
      </c>
      <c r="K488">
        <v>0.27</v>
      </c>
      <c r="L488">
        <v>0.93767999999999996</v>
      </c>
      <c r="M488">
        <v>0.22761000000000001</v>
      </c>
      <c r="N488">
        <v>0.94106999999999996</v>
      </c>
      <c r="O488" t="s">
        <v>2589</v>
      </c>
    </row>
    <row r="489" spans="1:15" x14ac:dyDescent="0.25">
      <c r="A489" t="s">
        <v>56</v>
      </c>
      <c r="B489" t="s">
        <v>8</v>
      </c>
      <c r="C489">
        <v>1</v>
      </c>
      <c r="D489">
        <v>10</v>
      </c>
      <c r="E489">
        <v>1E-4</v>
      </c>
      <c r="F489" t="s">
        <v>6</v>
      </c>
      <c r="G489" t="s">
        <v>4</v>
      </c>
      <c r="H489">
        <v>1</v>
      </c>
      <c r="I489">
        <v>20</v>
      </c>
      <c r="J489" t="s">
        <v>10</v>
      </c>
      <c r="K489">
        <v>0.28000000000000003</v>
      </c>
      <c r="L489">
        <v>0.16156000000000001</v>
      </c>
      <c r="M489">
        <v>0.23294999999999999</v>
      </c>
      <c r="N489">
        <v>0.16397</v>
      </c>
      <c r="O489" t="s">
        <v>1665</v>
      </c>
    </row>
    <row r="490" spans="1:15" x14ac:dyDescent="0.25">
      <c r="A490" t="s">
        <v>56</v>
      </c>
      <c r="B490" t="s">
        <v>8</v>
      </c>
      <c r="C490">
        <v>1</v>
      </c>
      <c r="D490">
        <v>10</v>
      </c>
      <c r="E490">
        <v>1E-4</v>
      </c>
      <c r="F490" t="s">
        <v>6</v>
      </c>
      <c r="G490" t="s">
        <v>4</v>
      </c>
      <c r="H490">
        <v>8000</v>
      </c>
      <c r="I490">
        <v>10000</v>
      </c>
      <c r="J490" t="s">
        <v>10</v>
      </c>
      <c r="K490">
        <v>46</v>
      </c>
      <c r="L490">
        <v>170.12</v>
      </c>
      <c r="M490">
        <v>11.529</v>
      </c>
      <c r="N490">
        <v>173.36</v>
      </c>
      <c r="O490" t="s">
        <v>1666</v>
      </c>
    </row>
    <row r="491" spans="1:15" x14ac:dyDescent="0.25">
      <c r="A491" t="s">
        <v>56</v>
      </c>
      <c r="B491" t="s">
        <v>8</v>
      </c>
      <c r="C491">
        <v>1</v>
      </c>
      <c r="D491">
        <v>10</v>
      </c>
      <c r="E491">
        <v>1E-4</v>
      </c>
      <c r="F491" t="s">
        <v>6</v>
      </c>
      <c r="G491" t="s">
        <v>4</v>
      </c>
      <c r="H491">
        <v>300</v>
      </c>
      <c r="I491">
        <v>1000</v>
      </c>
      <c r="J491" t="s">
        <v>10</v>
      </c>
      <c r="K491">
        <v>0.83</v>
      </c>
      <c r="L491">
        <v>11.988</v>
      </c>
      <c r="M491">
        <v>1.1272</v>
      </c>
      <c r="N491">
        <v>11.688000000000001</v>
      </c>
      <c r="O491" t="s">
        <v>1661</v>
      </c>
    </row>
    <row r="492" spans="1:15" x14ac:dyDescent="0.25">
      <c r="A492" t="s">
        <v>56</v>
      </c>
      <c r="B492" t="s">
        <v>8</v>
      </c>
      <c r="C492">
        <v>1</v>
      </c>
      <c r="D492">
        <v>10</v>
      </c>
      <c r="E492">
        <v>1E-4</v>
      </c>
      <c r="F492" t="s">
        <v>6</v>
      </c>
      <c r="G492" t="s">
        <v>4</v>
      </c>
      <c r="H492">
        <v>20</v>
      </c>
      <c r="I492">
        <v>50</v>
      </c>
      <c r="J492" t="s">
        <v>10</v>
      </c>
      <c r="K492">
        <v>0.24</v>
      </c>
      <c r="L492">
        <v>0.35</v>
      </c>
      <c r="M492">
        <v>0.23282</v>
      </c>
      <c r="N492">
        <v>0.34749000000000002</v>
      </c>
      <c r="O492" t="s">
        <v>1668</v>
      </c>
    </row>
    <row r="493" spans="1:15" x14ac:dyDescent="0.25">
      <c r="A493" t="s">
        <v>56</v>
      </c>
      <c r="B493" t="s">
        <v>8</v>
      </c>
      <c r="C493">
        <v>1</v>
      </c>
      <c r="D493">
        <v>10</v>
      </c>
      <c r="E493">
        <v>1E-4</v>
      </c>
      <c r="F493" t="s">
        <v>6</v>
      </c>
      <c r="G493" t="s">
        <v>4</v>
      </c>
      <c r="H493">
        <v>100</v>
      </c>
      <c r="I493">
        <v>300</v>
      </c>
      <c r="J493" t="s">
        <v>10</v>
      </c>
      <c r="K493">
        <v>1.2</v>
      </c>
      <c r="L493">
        <v>3.5</v>
      </c>
      <c r="M493">
        <v>1.1365000000000001</v>
      </c>
      <c r="N493">
        <v>3.4830000000000001</v>
      </c>
      <c r="O493" t="s">
        <v>1667</v>
      </c>
    </row>
    <row r="494" spans="1:15" x14ac:dyDescent="0.25">
      <c r="A494" t="s">
        <v>56</v>
      </c>
      <c r="B494" t="s">
        <v>8</v>
      </c>
      <c r="C494">
        <v>1</v>
      </c>
      <c r="D494">
        <v>10</v>
      </c>
      <c r="E494">
        <v>1E-3</v>
      </c>
      <c r="F494" t="s">
        <v>6</v>
      </c>
      <c r="G494" t="s">
        <v>4</v>
      </c>
      <c r="H494">
        <v>1E-3</v>
      </c>
      <c r="I494">
        <v>0.04</v>
      </c>
      <c r="J494" t="s">
        <v>10</v>
      </c>
      <c r="K494">
        <v>0.71618999999999999</v>
      </c>
      <c r="L494">
        <v>7.7546000000000004E-2</v>
      </c>
      <c r="M494">
        <v>0.71499000000000001</v>
      </c>
      <c r="N494">
        <v>7.7401999999999999E-2</v>
      </c>
      <c r="O494" t="s">
        <v>2592</v>
      </c>
    </row>
    <row r="495" spans="1:15" x14ac:dyDescent="0.25">
      <c r="A495" t="s">
        <v>56</v>
      </c>
      <c r="B495" t="s">
        <v>8</v>
      </c>
      <c r="C495">
        <v>1</v>
      </c>
      <c r="D495">
        <v>10</v>
      </c>
      <c r="E495">
        <v>1E-3</v>
      </c>
      <c r="F495" t="s">
        <v>6</v>
      </c>
      <c r="G495" t="s">
        <v>4</v>
      </c>
      <c r="H495">
        <v>300</v>
      </c>
      <c r="I495">
        <v>1000</v>
      </c>
      <c r="J495" t="s">
        <v>10</v>
      </c>
      <c r="K495">
        <v>0.84662999999999999</v>
      </c>
      <c r="L495">
        <v>11.986000000000001</v>
      </c>
      <c r="M495">
        <v>1.141</v>
      </c>
      <c r="N495">
        <v>11.686999999999999</v>
      </c>
      <c r="O495" t="s">
        <v>1673</v>
      </c>
    </row>
    <row r="496" spans="1:15" x14ac:dyDescent="0.25">
      <c r="A496" t="s">
        <v>56</v>
      </c>
      <c r="B496" t="s">
        <v>8</v>
      </c>
      <c r="C496">
        <v>1</v>
      </c>
      <c r="D496">
        <v>10</v>
      </c>
      <c r="E496">
        <v>1E-3</v>
      </c>
      <c r="F496" t="s">
        <v>6</v>
      </c>
      <c r="G496" t="s">
        <v>4</v>
      </c>
      <c r="H496">
        <v>1</v>
      </c>
      <c r="I496">
        <v>20</v>
      </c>
      <c r="J496" t="s">
        <v>10</v>
      </c>
      <c r="K496">
        <v>0.56386000000000003</v>
      </c>
      <c r="L496">
        <v>0.14001</v>
      </c>
      <c r="M496">
        <v>0.55818000000000001</v>
      </c>
      <c r="N496">
        <v>0.14005999999999999</v>
      </c>
      <c r="O496" t="s">
        <v>1676</v>
      </c>
    </row>
    <row r="497" spans="1:15" x14ac:dyDescent="0.25">
      <c r="A497" t="s">
        <v>56</v>
      </c>
      <c r="B497" t="s">
        <v>8</v>
      </c>
      <c r="C497">
        <v>1</v>
      </c>
      <c r="D497">
        <v>10</v>
      </c>
      <c r="E497">
        <v>1E-3</v>
      </c>
      <c r="F497" t="s">
        <v>6</v>
      </c>
      <c r="G497" t="s">
        <v>4</v>
      </c>
      <c r="H497">
        <v>50</v>
      </c>
      <c r="I497">
        <v>100</v>
      </c>
      <c r="J497" t="s">
        <v>10</v>
      </c>
      <c r="K497">
        <v>0.38941999999999999</v>
      </c>
      <c r="L497">
        <v>0.92691999999999997</v>
      </c>
      <c r="M497">
        <v>0.37412000000000001</v>
      </c>
      <c r="N497">
        <v>0.92813000000000001</v>
      </c>
      <c r="O497" t="s">
        <v>1670</v>
      </c>
    </row>
    <row r="498" spans="1:15" x14ac:dyDescent="0.25">
      <c r="A498" t="s">
        <v>56</v>
      </c>
      <c r="B498" t="s">
        <v>8</v>
      </c>
      <c r="C498">
        <v>1</v>
      </c>
      <c r="D498">
        <v>10</v>
      </c>
      <c r="E498">
        <v>1E-3</v>
      </c>
      <c r="F498" t="s">
        <v>6</v>
      </c>
      <c r="G498" t="s">
        <v>4</v>
      </c>
      <c r="H498">
        <v>8000</v>
      </c>
      <c r="I498">
        <v>10000</v>
      </c>
      <c r="J498" t="s">
        <v>10</v>
      </c>
      <c r="K498">
        <v>46</v>
      </c>
      <c r="L498">
        <v>170.12</v>
      </c>
      <c r="M498">
        <v>11.584</v>
      </c>
      <c r="N498">
        <v>173.35</v>
      </c>
      <c r="O498" t="s">
        <v>1671</v>
      </c>
    </row>
    <row r="499" spans="1:15" x14ac:dyDescent="0.25">
      <c r="A499" t="s">
        <v>56</v>
      </c>
      <c r="B499" t="s">
        <v>8</v>
      </c>
      <c r="C499">
        <v>1</v>
      </c>
      <c r="D499">
        <v>10</v>
      </c>
      <c r="E499">
        <v>1E-3</v>
      </c>
      <c r="F499" t="s">
        <v>6</v>
      </c>
      <c r="G499" t="s">
        <v>4</v>
      </c>
      <c r="H499">
        <v>20</v>
      </c>
      <c r="I499">
        <v>50</v>
      </c>
      <c r="J499" t="s">
        <v>10</v>
      </c>
      <c r="K499">
        <v>0.50358000000000003</v>
      </c>
      <c r="L499">
        <v>0.32533000000000001</v>
      </c>
      <c r="M499">
        <v>0.49042000000000002</v>
      </c>
      <c r="N499">
        <v>0.32615</v>
      </c>
      <c r="O499" t="s">
        <v>2593</v>
      </c>
    </row>
    <row r="500" spans="1:15" x14ac:dyDescent="0.25">
      <c r="A500" t="s">
        <v>56</v>
      </c>
      <c r="B500" t="s">
        <v>8</v>
      </c>
      <c r="C500">
        <v>1</v>
      </c>
      <c r="D500">
        <v>10</v>
      </c>
      <c r="E500">
        <v>1E-3</v>
      </c>
      <c r="F500" t="s">
        <v>6</v>
      </c>
      <c r="G500" t="s">
        <v>4</v>
      </c>
      <c r="H500">
        <v>2000</v>
      </c>
      <c r="I500">
        <v>4000</v>
      </c>
      <c r="J500" t="s">
        <v>10</v>
      </c>
      <c r="K500">
        <v>12</v>
      </c>
      <c r="L500">
        <v>46.037999999999997</v>
      </c>
      <c r="M500">
        <v>8.0602999999999998</v>
      </c>
      <c r="N500">
        <v>46.328000000000003</v>
      </c>
      <c r="O500" t="s">
        <v>1674</v>
      </c>
    </row>
    <row r="501" spans="1:15" x14ac:dyDescent="0.25">
      <c r="A501" t="s">
        <v>56</v>
      </c>
      <c r="B501" t="s">
        <v>8</v>
      </c>
      <c r="C501">
        <v>1</v>
      </c>
      <c r="D501">
        <v>10</v>
      </c>
      <c r="E501">
        <v>1E-3</v>
      </c>
      <c r="F501" t="s">
        <v>6</v>
      </c>
      <c r="G501" t="s">
        <v>4</v>
      </c>
      <c r="H501">
        <v>1000</v>
      </c>
      <c r="I501">
        <v>2000</v>
      </c>
      <c r="J501" t="s">
        <v>10</v>
      </c>
      <c r="K501">
        <v>6.1</v>
      </c>
      <c r="L501">
        <v>17.155999999999999</v>
      </c>
      <c r="M501">
        <v>1.1448</v>
      </c>
      <c r="N501">
        <v>17.486000000000001</v>
      </c>
      <c r="O501" t="s">
        <v>1675</v>
      </c>
    </row>
    <row r="502" spans="1:15" x14ac:dyDescent="0.25">
      <c r="A502" t="s">
        <v>56</v>
      </c>
      <c r="B502" t="s">
        <v>8</v>
      </c>
      <c r="C502">
        <v>1</v>
      </c>
      <c r="D502">
        <v>10</v>
      </c>
      <c r="E502">
        <v>1E-3</v>
      </c>
      <c r="F502" t="s">
        <v>6</v>
      </c>
      <c r="G502" t="s">
        <v>4</v>
      </c>
      <c r="H502">
        <v>100</v>
      </c>
      <c r="I502">
        <v>300</v>
      </c>
      <c r="J502" t="s">
        <v>10</v>
      </c>
      <c r="K502">
        <v>1.2</v>
      </c>
      <c r="L502">
        <v>3.5</v>
      </c>
      <c r="M502">
        <v>1.1754</v>
      </c>
      <c r="N502">
        <v>3.4796</v>
      </c>
      <c r="O502" t="s">
        <v>2591</v>
      </c>
    </row>
    <row r="503" spans="1:15" x14ac:dyDescent="0.25">
      <c r="A503" t="s">
        <v>56</v>
      </c>
      <c r="B503" t="s">
        <v>8</v>
      </c>
      <c r="C503">
        <v>1</v>
      </c>
      <c r="D503">
        <v>10</v>
      </c>
      <c r="E503">
        <v>1E-3</v>
      </c>
      <c r="F503" t="s">
        <v>6</v>
      </c>
      <c r="G503" t="s">
        <v>4</v>
      </c>
      <c r="H503">
        <v>0.04</v>
      </c>
      <c r="I503">
        <v>1</v>
      </c>
      <c r="J503" t="s">
        <v>10</v>
      </c>
      <c r="K503">
        <v>0.59428000000000003</v>
      </c>
      <c r="L503">
        <v>6.3506000000000007E-2</v>
      </c>
      <c r="M503">
        <v>0.59284000000000003</v>
      </c>
      <c r="N503">
        <v>6.3329999999999997E-2</v>
      </c>
      <c r="O503" t="s">
        <v>1672</v>
      </c>
    </row>
    <row r="504" spans="1:15" x14ac:dyDescent="0.25">
      <c r="A504" t="s">
        <v>56</v>
      </c>
      <c r="B504" t="s">
        <v>8</v>
      </c>
      <c r="C504">
        <v>1</v>
      </c>
      <c r="D504">
        <v>10</v>
      </c>
      <c r="E504">
        <v>1E-3</v>
      </c>
      <c r="F504" t="s">
        <v>6</v>
      </c>
      <c r="G504" t="s">
        <v>4</v>
      </c>
      <c r="H504">
        <v>4000</v>
      </c>
      <c r="I504">
        <v>8000</v>
      </c>
      <c r="J504" t="s">
        <v>10</v>
      </c>
      <c r="K504">
        <v>15</v>
      </c>
      <c r="L504">
        <v>46.325000000000003</v>
      </c>
      <c r="M504">
        <v>9.1658000000000008</v>
      </c>
      <c r="N504">
        <v>46.576000000000001</v>
      </c>
      <c r="O504" t="s">
        <v>1669</v>
      </c>
    </row>
    <row r="505" spans="1:15" x14ac:dyDescent="0.25">
      <c r="A505" t="s">
        <v>56</v>
      </c>
      <c r="B505" t="s">
        <v>8</v>
      </c>
      <c r="C505">
        <v>1</v>
      </c>
      <c r="D505">
        <v>10</v>
      </c>
      <c r="E505">
        <v>0.01</v>
      </c>
      <c r="F505" t="s">
        <v>6</v>
      </c>
      <c r="G505" t="s">
        <v>4</v>
      </c>
      <c r="H505">
        <v>100</v>
      </c>
      <c r="I505">
        <v>300</v>
      </c>
      <c r="J505" t="s">
        <v>10</v>
      </c>
      <c r="K505">
        <v>4.1894999999999998</v>
      </c>
      <c r="L505">
        <v>3.2244000000000002</v>
      </c>
      <c r="M505">
        <v>4.1679000000000004</v>
      </c>
      <c r="N505">
        <v>3.2259000000000002</v>
      </c>
      <c r="O505" t="s">
        <v>1684</v>
      </c>
    </row>
    <row r="506" spans="1:15" x14ac:dyDescent="0.25">
      <c r="A506" t="s">
        <v>56</v>
      </c>
      <c r="B506" t="s">
        <v>8</v>
      </c>
      <c r="C506">
        <v>1</v>
      </c>
      <c r="D506">
        <v>10</v>
      </c>
      <c r="E506">
        <v>0.01</v>
      </c>
      <c r="F506" t="s">
        <v>6</v>
      </c>
      <c r="G506" t="s">
        <v>4</v>
      </c>
      <c r="H506">
        <v>1000</v>
      </c>
      <c r="I506">
        <v>2000</v>
      </c>
      <c r="J506" t="s">
        <v>10</v>
      </c>
      <c r="K506">
        <v>6.1</v>
      </c>
      <c r="L506">
        <v>17.167000000000002</v>
      </c>
      <c r="M506">
        <v>2.0914999999999999</v>
      </c>
      <c r="N506">
        <v>17.401</v>
      </c>
      <c r="O506" t="s">
        <v>1681</v>
      </c>
    </row>
    <row r="507" spans="1:15" x14ac:dyDescent="0.25">
      <c r="A507" t="s">
        <v>56</v>
      </c>
      <c r="B507" t="s">
        <v>8</v>
      </c>
      <c r="C507">
        <v>1</v>
      </c>
      <c r="D507">
        <v>10</v>
      </c>
      <c r="E507">
        <v>0.01</v>
      </c>
      <c r="F507" t="s">
        <v>6</v>
      </c>
      <c r="G507" t="s">
        <v>4</v>
      </c>
      <c r="H507">
        <v>20</v>
      </c>
      <c r="I507">
        <v>50</v>
      </c>
      <c r="J507" t="s">
        <v>10</v>
      </c>
      <c r="K507">
        <v>5.6913</v>
      </c>
      <c r="L507">
        <v>0.11808</v>
      </c>
      <c r="M507">
        <v>5.6847000000000003</v>
      </c>
      <c r="N507">
        <v>0.11766</v>
      </c>
      <c r="O507" t="s">
        <v>1679</v>
      </c>
    </row>
    <row r="508" spans="1:15" x14ac:dyDescent="0.25">
      <c r="A508" t="s">
        <v>56</v>
      </c>
      <c r="B508" t="s">
        <v>8</v>
      </c>
      <c r="C508">
        <v>1</v>
      </c>
      <c r="D508">
        <v>10</v>
      </c>
      <c r="E508">
        <v>0.01</v>
      </c>
      <c r="F508" t="s">
        <v>6</v>
      </c>
      <c r="G508" t="s">
        <v>4</v>
      </c>
      <c r="H508">
        <v>1E-3</v>
      </c>
      <c r="I508">
        <v>0.04</v>
      </c>
      <c r="J508" t="s">
        <v>10</v>
      </c>
      <c r="K508">
        <v>5.7845000000000004</v>
      </c>
      <c r="L508">
        <v>1.5263000000000001E-2</v>
      </c>
      <c r="M508">
        <v>5.7839999999999998</v>
      </c>
      <c r="N508">
        <v>1.5049999999999999E-2</v>
      </c>
      <c r="O508" t="s">
        <v>1680</v>
      </c>
    </row>
    <row r="509" spans="1:15" x14ac:dyDescent="0.25">
      <c r="A509" t="s">
        <v>56</v>
      </c>
      <c r="B509" t="s">
        <v>8</v>
      </c>
      <c r="C509">
        <v>1</v>
      </c>
      <c r="D509">
        <v>10</v>
      </c>
      <c r="E509">
        <v>0.01</v>
      </c>
      <c r="F509" t="s">
        <v>6</v>
      </c>
      <c r="G509" t="s">
        <v>4</v>
      </c>
      <c r="H509">
        <v>0.04</v>
      </c>
      <c r="I509">
        <v>1</v>
      </c>
      <c r="J509" t="s">
        <v>10</v>
      </c>
      <c r="K509">
        <v>5.7723000000000004</v>
      </c>
      <c r="L509">
        <v>1.0442999999999999E-2</v>
      </c>
      <c r="M509">
        <v>5.7717000000000001</v>
      </c>
      <c r="N509">
        <v>1.0227E-2</v>
      </c>
      <c r="O509" t="s">
        <v>2594</v>
      </c>
    </row>
    <row r="510" spans="1:15" x14ac:dyDescent="0.25">
      <c r="A510" t="s">
        <v>56</v>
      </c>
      <c r="B510" t="s">
        <v>8</v>
      </c>
      <c r="C510">
        <v>1</v>
      </c>
      <c r="D510">
        <v>10</v>
      </c>
      <c r="E510">
        <v>0.01</v>
      </c>
      <c r="F510" t="s">
        <v>6</v>
      </c>
      <c r="G510" t="s">
        <v>4</v>
      </c>
      <c r="H510">
        <v>8000</v>
      </c>
      <c r="I510">
        <v>10000</v>
      </c>
      <c r="J510" t="s">
        <v>10</v>
      </c>
      <c r="K510">
        <v>46</v>
      </c>
      <c r="L510">
        <v>170.12</v>
      </c>
      <c r="M510">
        <v>11.629</v>
      </c>
      <c r="N510">
        <v>173.35</v>
      </c>
      <c r="O510" t="s">
        <v>1677</v>
      </c>
    </row>
    <row r="511" spans="1:15" x14ac:dyDescent="0.25">
      <c r="A511" t="s">
        <v>56</v>
      </c>
      <c r="B511" t="s">
        <v>8</v>
      </c>
      <c r="C511">
        <v>1</v>
      </c>
      <c r="D511">
        <v>10</v>
      </c>
      <c r="E511">
        <v>0.01</v>
      </c>
      <c r="F511" t="s">
        <v>6</v>
      </c>
      <c r="G511" t="s">
        <v>4</v>
      </c>
      <c r="H511">
        <v>50</v>
      </c>
      <c r="I511">
        <v>100</v>
      </c>
      <c r="J511" t="s">
        <v>10</v>
      </c>
      <c r="K511">
        <v>5.3091999999999997</v>
      </c>
      <c r="L511">
        <v>0.59367999999999999</v>
      </c>
      <c r="M511">
        <v>5.2965</v>
      </c>
      <c r="N511">
        <v>0.59386000000000005</v>
      </c>
      <c r="O511" t="s">
        <v>1683</v>
      </c>
    </row>
    <row r="512" spans="1:15" x14ac:dyDescent="0.25">
      <c r="A512" t="s">
        <v>56</v>
      </c>
      <c r="B512" t="s">
        <v>8</v>
      </c>
      <c r="C512">
        <v>1</v>
      </c>
      <c r="D512">
        <v>10</v>
      </c>
      <c r="E512">
        <v>0.01</v>
      </c>
      <c r="F512" t="s">
        <v>6</v>
      </c>
      <c r="G512" t="s">
        <v>4</v>
      </c>
      <c r="H512">
        <v>1</v>
      </c>
      <c r="I512">
        <v>20</v>
      </c>
      <c r="J512" t="s">
        <v>10</v>
      </c>
      <c r="K512">
        <v>5.7577999999999996</v>
      </c>
      <c r="L512">
        <v>3.1829000000000003E-2</v>
      </c>
      <c r="M512">
        <v>5.7554999999999996</v>
      </c>
      <c r="N512">
        <v>3.1387999999999999E-2</v>
      </c>
      <c r="O512" t="s">
        <v>1682</v>
      </c>
    </row>
    <row r="513" spans="1:15" x14ac:dyDescent="0.25">
      <c r="A513" t="s">
        <v>56</v>
      </c>
      <c r="B513" t="s">
        <v>8</v>
      </c>
      <c r="C513">
        <v>1</v>
      </c>
      <c r="D513">
        <v>10</v>
      </c>
      <c r="E513">
        <v>0.01</v>
      </c>
      <c r="F513" t="s">
        <v>6</v>
      </c>
      <c r="G513" t="s">
        <v>4</v>
      </c>
      <c r="H513">
        <v>4000</v>
      </c>
      <c r="I513">
        <v>8000</v>
      </c>
      <c r="J513" t="s">
        <v>10</v>
      </c>
      <c r="K513">
        <v>15</v>
      </c>
      <c r="L513">
        <v>46.329000000000001</v>
      </c>
      <c r="M513">
        <v>9.49</v>
      </c>
      <c r="N513">
        <v>46.546999999999997</v>
      </c>
      <c r="O513" t="s">
        <v>1686</v>
      </c>
    </row>
    <row r="514" spans="1:15" x14ac:dyDescent="0.25">
      <c r="A514" t="s">
        <v>56</v>
      </c>
      <c r="B514" t="s">
        <v>8</v>
      </c>
      <c r="C514">
        <v>1</v>
      </c>
      <c r="D514">
        <v>10</v>
      </c>
      <c r="E514">
        <v>0.01</v>
      </c>
      <c r="F514" t="s">
        <v>6</v>
      </c>
      <c r="G514" t="s">
        <v>4</v>
      </c>
      <c r="H514">
        <v>300</v>
      </c>
      <c r="I514">
        <v>1000</v>
      </c>
      <c r="J514" t="s">
        <v>10</v>
      </c>
      <c r="K514">
        <v>2.2239</v>
      </c>
      <c r="L514">
        <v>11.849</v>
      </c>
      <c r="M514">
        <v>2.4895999999999998</v>
      </c>
      <c r="N514">
        <v>11.566000000000001</v>
      </c>
      <c r="O514" t="s">
        <v>1685</v>
      </c>
    </row>
    <row r="515" spans="1:15" x14ac:dyDescent="0.25">
      <c r="A515" t="s">
        <v>56</v>
      </c>
      <c r="B515" t="s">
        <v>8</v>
      </c>
      <c r="C515">
        <v>1</v>
      </c>
      <c r="D515">
        <v>10</v>
      </c>
      <c r="E515">
        <v>0.01</v>
      </c>
      <c r="F515" t="s">
        <v>6</v>
      </c>
      <c r="G515" t="s">
        <v>4</v>
      </c>
      <c r="H515">
        <v>2000</v>
      </c>
      <c r="I515">
        <v>4000</v>
      </c>
      <c r="J515" t="s">
        <v>10</v>
      </c>
      <c r="K515">
        <v>12</v>
      </c>
      <c r="L515">
        <v>46.042000000000002</v>
      </c>
      <c r="M515">
        <v>8.3953000000000007</v>
      </c>
      <c r="N515">
        <v>46.298000000000002</v>
      </c>
      <c r="O515" t="s">
        <v>1678</v>
      </c>
    </row>
    <row r="516" spans="1:15" x14ac:dyDescent="0.25">
      <c r="A516" t="s">
        <v>56</v>
      </c>
      <c r="B516" t="s">
        <v>8</v>
      </c>
      <c r="C516">
        <v>1</v>
      </c>
      <c r="D516">
        <v>10</v>
      </c>
      <c r="E516">
        <v>0.1</v>
      </c>
      <c r="F516" t="s">
        <v>6</v>
      </c>
      <c r="G516" t="s">
        <v>4</v>
      </c>
      <c r="H516">
        <v>8000</v>
      </c>
      <c r="I516">
        <v>10000</v>
      </c>
      <c r="J516" t="s">
        <v>10</v>
      </c>
      <c r="K516">
        <v>46</v>
      </c>
      <c r="L516">
        <v>170.24</v>
      </c>
      <c r="M516">
        <v>20.344000000000001</v>
      </c>
      <c r="N516">
        <v>172.48</v>
      </c>
      <c r="O516" t="s">
        <v>1691</v>
      </c>
    </row>
    <row r="517" spans="1:15" x14ac:dyDescent="0.25">
      <c r="A517" t="s">
        <v>56</v>
      </c>
      <c r="B517" t="s">
        <v>8</v>
      </c>
      <c r="C517">
        <v>1</v>
      </c>
      <c r="D517">
        <v>10</v>
      </c>
      <c r="E517">
        <v>0.1</v>
      </c>
      <c r="F517" t="s">
        <v>6</v>
      </c>
      <c r="G517" t="s">
        <v>4</v>
      </c>
      <c r="H517">
        <v>1</v>
      </c>
      <c r="I517">
        <v>20</v>
      </c>
      <c r="J517" t="s">
        <v>10</v>
      </c>
      <c r="K517">
        <v>57.734999999999999</v>
      </c>
      <c r="L517">
        <v>3.4134999999999999E-3</v>
      </c>
      <c r="M517">
        <v>57.704999999999998</v>
      </c>
      <c r="N517">
        <v>3.222E-3</v>
      </c>
      <c r="O517" t="s">
        <v>2600</v>
      </c>
    </row>
    <row r="518" spans="1:15" x14ac:dyDescent="0.25">
      <c r="A518" t="s">
        <v>56</v>
      </c>
      <c r="B518" t="s">
        <v>8</v>
      </c>
      <c r="C518">
        <v>1</v>
      </c>
      <c r="D518">
        <v>10</v>
      </c>
      <c r="E518">
        <v>0.1</v>
      </c>
      <c r="F518" t="s">
        <v>6</v>
      </c>
      <c r="G518" t="s">
        <v>4</v>
      </c>
      <c r="H518">
        <v>300</v>
      </c>
      <c r="I518">
        <v>1000</v>
      </c>
      <c r="J518" t="s">
        <v>10</v>
      </c>
      <c r="K518">
        <v>51.131999999999998</v>
      </c>
      <c r="L518">
        <v>8.0251999999999999</v>
      </c>
      <c r="M518">
        <v>47.575000000000003</v>
      </c>
      <c r="N518">
        <v>8.0258000000000003</v>
      </c>
      <c r="O518" t="s">
        <v>1689</v>
      </c>
    </row>
    <row r="519" spans="1:15" x14ac:dyDescent="0.25">
      <c r="A519" t="s">
        <v>56</v>
      </c>
      <c r="B519" t="s">
        <v>8</v>
      </c>
      <c r="C519">
        <v>1</v>
      </c>
      <c r="D519">
        <v>10</v>
      </c>
      <c r="E519">
        <v>0.1</v>
      </c>
      <c r="F519" t="s">
        <v>6</v>
      </c>
      <c r="G519" t="s">
        <v>4</v>
      </c>
      <c r="H519">
        <v>100</v>
      </c>
      <c r="I519">
        <v>300</v>
      </c>
      <c r="J519" t="s">
        <v>10</v>
      </c>
      <c r="K519">
        <v>56.807000000000002</v>
      </c>
      <c r="L519">
        <v>1.1229</v>
      </c>
      <c r="M519">
        <v>54.694000000000003</v>
      </c>
      <c r="N519">
        <v>1.1224000000000001</v>
      </c>
      <c r="O519" t="s">
        <v>2598</v>
      </c>
    </row>
    <row r="520" spans="1:15" x14ac:dyDescent="0.25">
      <c r="A520" t="s">
        <v>56</v>
      </c>
      <c r="B520" t="s">
        <v>8</v>
      </c>
      <c r="C520">
        <v>1</v>
      </c>
      <c r="D520">
        <v>10</v>
      </c>
      <c r="E520">
        <v>0.1</v>
      </c>
      <c r="F520" t="s">
        <v>6</v>
      </c>
      <c r="G520" t="s">
        <v>4</v>
      </c>
      <c r="H520">
        <v>2000</v>
      </c>
      <c r="I520">
        <v>4000</v>
      </c>
      <c r="J520" t="s">
        <v>10</v>
      </c>
      <c r="K520">
        <v>35.390999999999998</v>
      </c>
      <c r="L520">
        <v>43.95</v>
      </c>
      <c r="M520">
        <v>33.018000000000001</v>
      </c>
      <c r="N520">
        <v>43.95</v>
      </c>
      <c r="O520" t="s">
        <v>1690</v>
      </c>
    </row>
    <row r="521" spans="1:15" x14ac:dyDescent="0.25">
      <c r="A521" t="s">
        <v>56</v>
      </c>
      <c r="B521" t="s">
        <v>8</v>
      </c>
      <c r="C521">
        <v>1</v>
      </c>
      <c r="D521">
        <v>10</v>
      </c>
      <c r="E521">
        <v>0.1</v>
      </c>
      <c r="F521" t="s">
        <v>6</v>
      </c>
      <c r="G521" t="s">
        <v>4</v>
      </c>
      <c r="H521">
        <v>50</v>
      </c>
      <c r="I521">
        <v>100</v>
      </c>
      <c r="J521" t="s">
        <v>10</v>
      </c>
      <c r="K521">
        <v>57.664999999999999</v>
      </c>
      <c r="L521">
        <v>8.7822999999999998E-2</v>
      </c>
      <c r="M521">
        <v>57.152999999999999</v>
      </c>
      <c r="N521">
        <v>8.7461999999999998E-2</v>
      </c>
      <c r="O521" t="s">
        <v>2596</v>
      </c>
    </row>
    <row r="522" spans="1:15" x14ac:dyDescent="0.25">
      <c r="A522" t="s">
        <v>56</v>
      </c>
      <c r="B522" t="s">
        <v>8</v>
      </c>
      <c r="C522">
        <v>1</v>
      </c>
      <c r="D522">
        <v>10</v>
      </c>
      <c r="E522">
        <v>0.1</v>
      </c>
      <c r="F522" t="s">
        <v>6</v>
      </c>
      <c r="G522" t="s">
        <v>4</v>
      </c>
      <c r="H522">
        <v>4000</v>
      </c>
      <c r="I522">
        <v>8000</v>
      </c>
      <c r="J522" t="s">
        <v>10</v>
      </c>
      <c r="K522">
        <v>36.033999999999999</v>
      </c>
      <c r="L522">
        <v>44.241</v>
      </c>
      <c r="M522">
        <v>33.704000000000001</v>
      </c>
      <c r="N522">
        <v>44.241</v>
      </c>
      <c r="O522" t="s">
        <v>1688</v>
      </c>
    </row>
    <row r="523" spans="1:15" x14ac:dyDescent="0.25">
      <c r="A523" t="s">
        <v>56</v>
      </c>
      <c r="B523" t="s">
        <v>8</v>
      </c>
      <c r="C523">
        <v>1</v>
      </c>
      <c r="D523">
        <v>10</v>
      </c>
      <c r="E523">
        <v>0.1</v>
      </c>
      <c r="F523" t="s">
        <v>6</v>
      </c>
      <c r="G523" t="s">
        <v>4</v>
      </c>
      <c r="H523">
        <v>1000</v>
      </c>
      <c r="I523">
        <v>2000</v>
      </c>
      <c r="J523" t="s">
        <v>10</v>
      </c>
      <c r="K523">
        <v>46.847000000000001</v>
      </c>
      <c r="L523">
        <v>13.84</v>
      </c>
      <c r="M523">
        <v>43.262</v>
      </c>
      <c r="N523">
        <v>13.840999999999999</v>
      </c>
      <c r="O523" t="s">
        <v>2597</v>
      </c>
    </row>
    <row r="524" spans="1:15" x14ac:dyDescent="0.25">
      <c r="A524" t="s">
        <v>56</v>
      </c>
      <c r="B524" t="s">
        <v>8</v>
      </c>
      <c r="C524">
        <v>1</v>
      </c>
      <c r="D524">
        <v>10</v>
      </c>
      <c r="E524">
        <v>0.1</v>
      </c>
      <c r="F524" t="s">
        <v>6</v>
      </c>
      <c r="G524" t="s">
        <v>4</v>
      </c>
      <c r="H524">
        <v>0.04</v>
      </c>
      <c r="I524">
        <v>1</v>
      </c>
      <c r="J524" t="s">
        <v>10</v>
      </c>
      <c r="K524">
        <v>57.735999999999997</v>
      </c>
      <c r="L524">
        <v>1.1207000000000001E-3</v>
      </c>
      <c r="M524">
        <v>57.725999999999999</v>
      </c>
      <c r="N524">
        <v>1.0323000000000001E-3</v>
      </c>
      <c r="O524" t="s">
        <v>2595</v>
      </c>
    </row>
    <row r="525" spans="1:15" x14ac:dyDescent="0.25">
      <c r="A525" t="s">
        <v>56</v>
      </c>
      <c r="B525" t="s">
        <v>8</v>
      </c>
      <c r="C525">
        <v>1</v>
      </c>
      <c r="D525">
        <v>10</v>
      </c>
      <c r="E525">
        <v>0.1</v>
      </c>
      <c r="F525" t="s">
        <v>6</v>
      </c>
      <c r="G525" t="s">
        <v>4</v>
      </c>
      <c r="H525">
        <v>1E-3</v>
      </c>
      <c r="I525">
        <v>0.04</v>
      </c>
      <c r="J525" t="s">
        <v>10</v>
      </c>
      <c r="K525">
        <v>57.737000000000002</v>
      </c>
      <c r="L525">
        <v>1.6174E-3</v>
      </c>
      <c r="M525">
        <v>57.722999999999999</v>
      </c>
      <c r="N525">
        <v>1.529E-3</v>
      </c>
      <c r="O525" t="s">
        <v>2599</v>
      </c>
    </row>
    <row r="526" spans="1:15" x14ac:dyDescent="0.25">
      <c r="A526" t="s">
        <v>56</v>
      </c>
      <c r="B526" t="s">
        <v>8</v>
      </c>
      <c r="C526">
        <v>1</v>
      </c>
      <c r="D526">
        <v>10</v>
      </c>
      <c r="E526">
        <v>0.1</v>
      </c>
      <c r="F526" t="s">
        <v>6</v>
      </c>
      <c r="G526" t="s">
        <v>4</v>
      </c>
      <c r="H526">
        <v>20</v>
      </c>
      <c r="I526">
        <v>50</v>
      </c>
      <c r="J526" t="s">
        <v>10</v>
      </c>
      <c r="K526">
        <v>57.728000000000002</v>
      </c>
      <c r="L526">
        <v>1.3146E-2</v>
      </c>
      <c r="M526">
        <v>57.621000000000002</v>
      </c>
      <c r="N526">
        <v>1.289E-2</v>
      </c>
      <c r="O526" t="s">
        <v>1687</v>
      </c>
    </row>
    <row r="527" spans="1:15" x14ac:dyDescent="0.25">
      <c r="A527" t="s">
        <v>56</v>
      </c>
      <c r="B527" t="s">
        <v>8</v>
      </c>
      <c r="C527">
        <v>10</v>
      </c>
      <c r="D527">
        <v>100</v>
      </c>
      <c r="E527">
        <v>1.0000000000000001E-5</v>
      </c>
      <c r="F527" t="s">
        <v>6</v>
      </c>
      <c r="G527" t="s">
        <v>4</v>
      </c>
      <c r="H527">
        <v>300</v>
      </c>
      <c r="I527">
        <v>1000</v>
      </c>
      <c r="J527" t="s">
        <v>10</v>
      </c>
      <c r="K527">
        <v>46</v>
      </c>
      <c r="L527">
        <v>17</v>
      </c>
      <c r="M527">
        <v>12.317</v>
      </c>
      <c r="N527">
        <v>17.334</v>
      </c>
      <c r="O527" t="s">
        <v>1694</v>
      </c>
    </row>
    <row r="528" spans="1:15" x14ac:dyDescent="0.25">
      <c r="A528" t="s">
        <v>56</v>
      </c>
      <c r="B528" t="s">
        <v>8</v>
      </c>
      <c r="C528">
        <v>10</v>
      </c>
      <c r="D528">
        <v>100</v>
      </c>
      <c r="E528">
        <v>1.0000000000000001E-5</v>
      </c>
      <c r="F528" t="s">
        <v>6</v>
      </c>
      <c r="G528" t="s">
        <v>4</v>
      </c>
      <c r="H528">
        <v>100</v>
      </c>
      <c r="I528">
        <v>300</v>
      </c>
      <c r="J528" t="s">
        <v>10</v>
      </c>
      <c r="K528">
        <v>15</v>
      </c>
      <c r="L528">
        <v>4.5999999999999996</v>
      </c>
      <c r="M528">
        <v>11.574999999999999</v>
      </c>
      <c r="N528">
        <v>4.6268000000000002</v>
      </c>
      <c r="O528" t="s">
        <v>1692</v>
      </c>
    </row>
    <row r="529" spans="1:15" x14ac:dyDescent="0.25">
      <c r="A529" t="s">
        <v>56</v>
      </c>
      <c r="B529" t="s">
        <v>8</v>
      </c>
      <c r="C529">
        <v>10</v>
      </c>
      <c r="D529">
        <v>20</v>
      </c>
      <c r="E529">
        <v>1.0000000000000001E-5</v>
      </c>
      <c r="F529" t="s">
        <v>6</v>
      </c>
      <c r="G529" t="s">
        <v>4</v>
      </c>
      <c r="H529">
        <v>100</v>
      </c>
      <c r="I529">
        <v>300</v>
      </c>
      <c r="J529" t="s">
        <v>10</v>
      </c>
      <c r="K529">
        <v>13</v>
      </c>
      <c r="L529">
        <v>4.5999999999999996</v>
      </c>
      <c r="M529">
        <v>11.573</v>
      </c>
      <c r="N529">
        <v>4.6268000000000002</v>
      </c>
      <c r="O529" t="s">
        <v>1699</v>
      </c>
    </row>
    <row r="530" spans="1:15" x14ac:dyDescent="0.25">
      <c r="A530" t="s">
        <v>56</v>
      </c>
      <c r="B530" t="s">
        <v>8</v>
      </c>
      <c r="C530">
        <v>10</v>
      </c>
      <c r="D530">
        <v>20</v>
      </c>
      <c r="E530">
        <v>1.0000000000000001E-5</v>
      </c>
      <c r="F530" t="s">
        <v>6</v>
      </c>
      <c r="G530" t="s">
        <v>4</v>
      </c>
      <c r="H530">
        <v>50</v>
      </c>
      <c r="I530">
        <v>100</v>
      </c>
      <c r="J530" t="s">
        <v>10</v>
      </c>
      <c r="K530">
        <v>2.4</v>
      </c>
      <c r="L530">
        <v>1.4</v>
      </c>
      <c r="M530">
        <v>2.3767</v>
      </c>
      <c r="N530">
        <v>1.3889</v>
      </c>
      <c r="O530" t="s">
        <v>1695</v>
      </c>
    </row>
    <row r="531" spans="1:15" x14ac:dyDescent="0.25">
      <c r="A531" t="s">
        <v>56</v>
      </c>
      <c r="B531" t="s">
        <v>8</v>
      </c>
      <c r="C531">
        <v>10</v>
      </c>
      <c r="D531">
        <v>20</v>
      </c>
      <c r="E531">
        <v>1.0000000000000001E-5</v>
      </c>
      <c r="F531" t="s">
        <v>6</v>
      </c>
      <c r="G531" t="s">
        <v>4</v>
      </c>
      <c r="H531">
        <v>1E-3</v>
      </c>
      <c r="I531">
        <v>0.04</v>
      </c>
      <c r="J531" t="s">
        <v>10</v>
      </c>
      <c r="K531">
        <v>4.7</v>
      </c>
      <c r="L531">
        <v>0.23</v>
      </c>
      <c r="M531">
        <v>4.6185999999999998</v>
      </c>
      <c r="N531">
        <v>0.23291000000000001</v>
      </c>
      <c r="O531" t="s">
        <v>1697</v>
      </c>
    </row>
    <row r="532" spans="1:15" x14ac:dyDescent="0.25">
      <c r="A532" t="s">
        <v>56</v>
      </c>
      <c r="B532" t="s">
        <v>8</v>
      </c>
      <c r="C532">
        <v>10</v>
      </c>
      <c r="D532">
        <v>20</v>
      </c>
      <c r="E532">
        <v>1.0000000000000001E-5</v>
      </c>
      <c r="F532" t="s">
        <v>6</v>
      </c>
      <c r="G532" t="s">
        <v>4</v>
      </c>
      <c r="H532">
        <v>300</v>
      </c>
      <c r="I532">
        <v>1000</v>
      </c>
      <c r="J532" t="s">
        <v>10</v>
      </c>
      <c r="K532">
        <v>19</v>
      </c>
      <c r="L532">
        <v>17</v>
      </c>
      <c r="M532">
        <v>12.388</v>
      </c>
      <c r="N532">
        <v>17.324000000000002</v>
      </c>
      <c r="O532" t="s">
        <v>1696</v>
      </c>
    </row>
    <row r="533" spans="1:15" x14ac:dyDescent="0.25">
      <c r="A533" t="s">
        <v>56</v>
      </c>
      <c r="B533" t="s">
        <v>8</v>
      </c>
      <c r="C533">
        <v>10</v>
      </c>
      <c r="D533">
        <v>20</v>
      </c>
      <c r="E533">
        <v>1.0000000000000001E-5</v>
      </c>
      <c r="F533" t="s">
        <v>6</v>
      </c>
      <c r="G533" t="s">
        <v>4</v>
      </c>
      <c r="H533">
        <v>1</v>
      </c>
      <c r="I533">
        <v>20</v>
      </c>
      <c r="J533" t="s">
        <v>10</v>
      </c>
      <c r="K533">
        <v>2.4</v>
      </c>
      <c r="L533">
        <v>0.23</v>
      </c>
      <c r="M533">
        <v>2.298</v>
      </c>
      <c r="N533">
        <v>0.23305999999999999</v>
      </c>
      <c r="O533" t="s">
        <v>1693</v>
      </c>
    </row>
    <row r="534" spans="1:15" x14ac:dyDescent="0.25">
      <c r="A534" t="s">
        <v>56</v>
      </c>
      <c r="B534" t="s">
        <v>8</v>
      </c>
      <c r="C534">
        <v>10</v>
      </c>
      <c r="D534">
        <v>20</v>
      </c>
      <c r="E534">
        <v>1.0000000000000001E-5</v>
      </c>
      <c r="F534" t="s">
        <v>6</v>
      </c>
      <c r="G534" t="s">
        <v>4</v>
      </c>
      <c r="H534">
        <v>0.04</v>
      </c>
      <c r="I534">
        <v>1</v>
      </c>
      <c r="J534" t="s">
        <v>10</v>
      </c>
      <c r="K534">
        <v>2.4</v>
      </c>
      <c r="L534">
        <v>0.23</v>
      </c>
      <c r="M534">
        <v>2.298</v>
      </c>
      <c r="N534">
        <v>0.23305999999999999</v>
      </c>
      <c r="O534" t="s">
        <v>1698</v>
      </c>
    </row>
    <row r="535" spans="1:15" x14ac:dyDescent="0.25">
      <c r="A535" t="s">
        <v>56</v>
      </c>
      <c r="B535" t="s">
        <v>8</v>
      </c>
      <c r="C535">
        <v>10</v>
      </c>
      <c r="D535">
        <v>20</v>
      </c>
      <c r="E535">
        <v>1.0000000000000001E-5</v>
      </c>
      <c r="F535" t="s">
        <v>6</v>
      </c>
      <c r="G535" t="s">
        <v>4</v>
      </c>
      <c r="H535">
        <v>20</v>
      </c>
      <c r="I535">
        <v>50</v>
      </c>
      <c r="J535" t="s">
        <v>10</v>
      </c>
      <c r="K535">
        <v>2.4</v>
      </c>
      <c r="L535">
        <v>0.41</v>
      </c>
      <c r="M535">
        <v>2.2656000000000001</v>
      </c>
      <c r="N535">
        <v>0.40923999999999999</v>
      </c>
      <c r="O535" t="s">
        <v>2601</v>
      </c>
    </row>
    <row r="536" spans="1:15" x14ac:dyDescent="0.25">
      <c r="A536" t="s">
        <v>56</v>
      </c>
      <c r="B536" t="s">
        <v>8</v>
      </c>
      <c r="C536">
        <v>10</v>
      </c>
      <c r="D536">
        <v>20</v>
      </c>
      <c r="E536">
        <v>1E-4</v>
      </c>
      <c r="F536" t="s">
        <v>6</v>
      </c>
      <c r="G536" t="s">
        <v>4</v>
      </c>
      <c r="H536">
        <v>50</v>
      </c>
      <c r="I536">
        <v>100</v>
      </c>
      <c r="J536" t="s">
        <v>10</v>
      </c>
      <c r="K536">
        <v>2.4</v>
      </c>
      <c r="L536">
        <v>1.4</v>
      </c>
      <c r="M536">
        <v>2.3769</v>
      </c>
      <c r="N536">
        <v>1.3889</v>
      </c>
      <c r="O536" t="s">
        <v>2607</v>
      </c>
    </row>
    <row r="537" spans="1:15" x14ac:dyDescent="0.25">
      <c r="A537" t="s">
        <v>56</v>
      </c>
      <c r="B537" t="s">
        <v>8</v>
      </c>
      <c r="C537">
        <v>10</v>
      </c>
      <c r="D537">
        <v>100</v>
      </c>
      <c r="E537">
        <v>1E-4</v>
      </c>
      <c r="F537" t="s">
        <v>6</v>
      </c>
      <c r="G537" t="s">
        <v>4</v>
      </c>
      <c r="H537">
        <v>100</v>
      </c>
      <c r="I537">
        <v>300</v>
      </c>
      <c r="J537" t="s">
        <v>10</v>
      </c>
      <c r="K537">
        <v>15</v>
      </c>
      <c r="L537">
        <v>4.6028000000000002</v>
      </c>
      <c r="M537">
        <v>11.574999999999999</v>
      </c>
      <c r="N537">
        <v>4.6268000000000002</v>
      </c>
      <c r="O537" t="s">
        <v>1702</v>
      </c>
    </row>
    <row r="538" spans="1:15" x14ac:dyDescent="0.25">
      <c r="A538" t="s">
        <v>56</v>
      </c>
      <c r="B538" t="s">
        <v>8</v>
      </c>
      <c r="C538">
        <v>10</v>
      </c>
      <c r="D538">
        <v>20</v>
      </c>
      <c r="E538">
        <v>1E-4</v>
      </c>
      <c r="F538" t="s">
        <v>6</v>
      </c>
      <c r="G538" t="s">
        <v>4</v>
      </c>
      <c r="H538">
        <v>1E-3</v>
      </c>
      <c r="I538">
        <v>0.04</v>
      </c>
      <c r="J538" t="s">
        <v>10</v>
      </c>
      <c r="K538">
        <v>4.7</v>
      </c>
      <c r="L538">
        <v>0.23</v>
      </c>
      <c r="M538">
        <v>4.6189999999999998</v>
      </c>
      <c r="N538">
        <v>0.2329</v>
      </c>
      <c r="O538" t="s">
        <v>2603</v>
      </c>
    </row>
    <row r="539" spans="1:15" x14ac:dyDescent="0.25">
      <c r="A539" t="s">
        <v>56</v>
      </c>
      <c r="B539" t="s">
        <v>8</v>
      </c>
      <c r="C539">
        <v>10</v>
      </c>
      <c r="D539">
        <v>20</v>
      </c>
      <c r="E539">
        <v>1E-4</v>
      </c>
      <c r="F539" t="s">
        <v>6</v>
      </c>
      <c r="G539" t="s">
        <v>4</v>
      </c>
      <c r="H539">
        <v>20</v>
      </c>
      <c r="I539">
        <v>50</v>
      </c>
      <c r="J539" t="s">
        <v>10</v>
      </c>
      <c r="K539">
        <v>2.4</v>
      </c>
      <c r="L539">
        <v>0.41</v>
      </c>
      <c r="M539">
        <v>2.266</v>
      </c>
      <c r="N539">
        <v>0.40922999999999998</v>
      </c>
      <c r="O539" t="s">
        <v>2606</v>
      </c>
    </row>
    <row r="540" spans="1:15" x14ac:dyDescent="0.25">
      <c r="A540" t="s">
        <v>56</v>
      </c>
      <c r="B540" t="s">
        <v>8</v>
      </c>
      <c r="C540">
        <v>10</v>
      </c>
      <c r="D540">
        <v>20</v>
      </c>
      <c r="E540">
        <v>1E-4</v>
      </c>
      <c r="F540" t="s">
        <v>6</v>
      </c>
      <c r="G540" t="s">
        <v>4</v>
      </c>
      <c r="H540">
        <v>100</v>
      </c>
      <c r="I540">
        <v>300</v>
      </c>
      <c r="J540" t="s">
        <v>10</v>
      </c>
      <c r="K540">
        <v>13</v>
      </c>
      <c r="L540">
        <v>4.6109</v>
      </c>
      <c r="M540">
        <v>11.574</v>
      </c>
      <c r="N540">
        <v>4.6268000000000002</v>
      </c>
      <c r="O540" t="s">
        <v>2605</v>
      </c>
    </row>
    <row r="541" spans="1:15" x14ac:dyDescent="0.25">
      <c r="A541" t="s">
        <v>56</v>
      </c>
      <c r="B541" t="s">
        <v>8</v>
      </c>
      <c r="C541">
        <v>10</v>
      </c>
      <c r="D541">
        <v>20</v>
      </c>
      <c r="E541">
        <v>1E-4</v>
      </c>
      <c r="F541" t="s">
        <v>6</v>
      </c>
      <c r="G541" t="s">
        <v>4</v>
      </c>
      <c r="H541">
        <v>0.04</v>
      </c>
      <c r="I541">
        <v>1</v>
      </c>
      <c r="J541" t="s">
        <v>10</v>
      </c>
      <c r="K541">
        <v>2.4</v>
      </c>
      <c r="L541">
        <v>0.23</v>
      </c>
      <c r="M541">
        <v>2.2985000000000002</v>
      </c>
      <c r="N541">
        <v>0.23305000000000001</v>
      </c>
      <c r="O541" t="s">
        <v>1700</v>
      </c>
    </row>
    <row r="542" spans="1:15" x14ac:dyDescent="0.25">
      <c r="A542" t="s">
        <v>56</v>
      </c>
      <c r="B542" t="s">
        <v>8</v>
      </c>
      <c r="C542">
        <v>10</v>
      </c>
      <c r="D542">
        <v>20</v>
      </c>
      <c r="E542">
        <v>1E-4</v>
      </c>
      <c r="F542" t="s">
        <v>6</v>
      </c>
      <c r="G542" t="s">
        <v>4</v>
      </c>
      <c r="H542">
        <v>1</v>
      </c>
      <c r="I542">
        <v>20</v>
      </c>
      <c r="J542" t="s">
        <v>10</v>
      </c>
      <c r="K542">
        <v>2.4</v>
      </c>
      <c r="L542">
        <v>0.23</v>
      </c>
      <c r="M542">
        <v>2.2985000000000002</v>
      </c>
      <c r="N542">
        <v>0.23305000000000001</v>
      </c>
      <c r="O542" t="s">
        <v>2602</v>
      </c>
    </row>
    <row r="543" spans="1:15" x14ac:dyDescent="0.25">
      <c r="A543" t="s">
        <v>56</v>
      </c>
      <c r="B543" t="s">
        <v>8</v>
      </c>
      <c r="C543">
        <v>10</v>
      </c>
      <c r="D543">
        <v>100</v>
      </c>
      <c r="E543">
        <v>1E-4</v>
      </c>
      <c r="F543" t="s">
        <v>6</v>
      </c>
      <c r="G543" t="s">
        <v>4</v>
      </c>
      <c r="H543">
        <v>300</v>
      </c>
      <c r="I543">
        <v>1000</v>
      </c>
      <c r="J543" t="s">
        <v>10</v>
      </c>
      <c r="K543">
        <v>46</v>
      </c>
      <c r="L543">
        <v>17.018999999999998</v>
      </c>
      <c r="M543">
        <v>12.318</v>
      </c>
      <c r="N543">
        <v>17.334</v>
      </c>
      <c r="O543" t="s">
        <v>1701</v>
      </c>
    </row>
    <row r="544" spans="1:15" x14ac:dyDescent="0.25">
      <c r="A544" t="s">
        <v>56</v>
      </c>
      <c r="B544" t="s">
        <v>8</v>
      </c>
      <c r="C544">
        <v>10</v>
      </c>
      <c r="D544">
        <v>20</v>
      </c>
      <c r="E544">
        <v>1E-4</v>
      </c>
      <c r="F544" t="s">
        <v>6</v>
      </c>
      <c r="G544" t="s">
        <v>4</v>
      </c>
      <c r="H544">
        <v>300</v>
      </c>
      <c r="I544">
        <v>1000</v>
      </c>
      <c r="J544" t="s">
        <v>10</v>
      </c>
      <c r="K544">
        <v>19</v>
      </c>
      <c r="L544">
        <v>17.087</v>
      </c>
      <c r="M544">
        <v>12.388999999999999</v>
      </c>
      <c r="N544">
        <v>17.324000000000002</v>
      </c>
      <c r="O544" t="s">
        <v>2604</v>
      </c>
    </row>
    <row r="545" spans="1:15" x14ac:dyDescent="0.25">
      <c r="A545" t="s">
        <v>56</v>
      </c>
      <c r="B545" t="s">
        <v>8</v>
      </c>
      <c r="C545">
        <v>10</v>
      </c>
      <c r="D545">
        <v>20</v>
      </c>
      <c r="E545">
        <v>1E-3</v>
      </c>
      <c r="F545" t="s">
        <v>6</v>
      </c>
      <c r="G545" t="s">
        <v>4</v>
      </c>
      <c r="H545">
        <v>1</v>
      </c>
      <c r="I545">
        <v>20</v>
      </c>
      <c r="J545" t="s">
        <v>10</v>
      </c>
      <c r="K545">
        <v>2.4</v>
      </c>
      <c r="L545">
        <v>0.23</v>
      </c>
      <c r="M545">
        <v>2.3458000000000001</v>
      </c>
      <c r="N545">
        <v>0.23186999999999999</v>
      </c>
      <c r="O545" t="s">
        <v>2608</v>
      </c>
    </row>
    <row r="546" spans="1:15" x14ac:dyDescent="0.25">
      <c r="A546" t="s">
        <v>56</v>
      </c>
      <c r="B546" t="s">
        <v>8</v>
      </c>
      <c r="C546">
        <v>10</v>
      </c>
      <c r="D546">
        <v>100</v>
      </c>
      <c r="E546">
        <v>1E-3</v>
      </c>
      <c r="F546" t="s">
        <v>6</v>
      </c>
      <c r="G546" t="s">
        <v>4</v>
      </c>
      <c r="H546">
        <v>300</v>
      </c>
      <c r="I546">
        <v>1000</v>
      </c>
      <c r="J546" t="s">
        <v>10</v>
      </c>
      <c r="K546">
        <v>46</v>
      </c>
      <c r="L546">
        <v>17.018999999999998</v>
      </c>
      <c r="M546">
        <v>12.318</v>
      </c>
      <c r="N546">
        <v>17.334</v>
      </c>
      <c r="O546" t="s">
        <v>1707</v>
      </c>
    </row>
    <row r="547" spans="1:15" x14ac:dyDescent="0.25">
      <c r="A547" t="s">
        <v>56</v>
      </c>
      <c r="B547" t="s">
        <v>8</v>
      </c>
      <c r="C547">
        <v>10</v>
      </c>
      <c r="D547">
        <v>100</v>
      </c>
      <c r="E547">
        <v>1E-3</v>
      </c>
      <c r="F547" t="s">
        <v>6</v>
      </c>
      <c r="G547" t="s">
        <v>4</v>
      </c>
      <c r="H547">
        <v>100</v>
      </c>
      <c r="I547">
        <v>300</v>
      </c>
      <c r="J547" t="s">
        <v>10</v>
      </c>
      <c r="K547">
        <v>15</v>
      </c>
      <c r="L547">
        <v>4.6028000000000002</v>
      </c>
      <c r="M547">
        <v>11.576000000000001</v>
      </c>
      <c r="N547">
        <v>4.6268000000000002</v>
      </c>
      <c r="O547" t="s">
        <v>1704</v>
      </c>
    </row>
    <row r="548" spans="1:15" x14ac:dyDescent="0.25">
      <c r="A548" t="s">
        <v>56</v>
      </c>
      <c r="B548" t="s">
        <v>8</v>
      </c>
      <c r="C548">
        <v>10</v>
      </c>
      <c r="D548">
        <v>20</v>
      </c>
      <c r="E548">
        <v>1E-3</v>
      </c>
      <c r="F548" t="s">
        <v>6</v>
      </c>
      <c r="G548" t="s">
        <v>4</v>
      </c>
      <c r="H548">
        <v>300</v>
      </c>
      <c r="I548">
        <v>1000</v>
      </c>
      <c r="J548" t="s">
        <v>10</v>
      </c>
      <c r="K548">
        <v>19</v>
      </c>
      <c r="L548">
        <v>17.087</v>
      </c>
      <c r="M548">
        <v>12.388999999999999</v>
      </c>
      <c r="N548">
        <v>17.324000000000002</v>
      </c>
      <c r="O548" t="s">
        <v>1706</v>
      </c>
    </row>
    <row r="549" spans="1:15" x14ac:dyDescent="0.25">
      <c r="A549" t="s">
        <v>56</v>
      </c>
      <c r="B549" t="s">
        <v>8</v>
      </c>
      <c r="C549">
        <v>10</v>
      </c>
      <c r="D549">
        <v>20</v>
      </c>
      <c r="E549">
        <v>1E-3</v>
      </c>
      <c r="F549" t="s">
        <v>6</v>
      </c>
      <c r="G549" t="s">
        <v>4</v>
      </c>
      <c r="H549">
        <v>20</v>
      </c>
      <c r="I549">
        <v>50</v>
      </c>
      <c r="J549" t="s">
        <v>10</v>
      </c>
      <c r="K549">
        <v>2.4</v>
      </c>
      <c r="L549">
        <v>0.41</v>
      </c>
      <c r="M549">
        <v>2.302</v>
      </c>
      <c r="N549">
        <v>0.40822000000000003</v>
      </c>
      <c r="O549" t="s">
        <v>1708</v>
      </c>
    </row>
    <row r="550" spans="1:15" x14ac:dyDescent="0.25">
      <c r="A550" t="s">
        <v>56</v>
      </c>
      <c r="B550" t="s">
        <v>8</v>
      </c>
      <c r="C550">
        <v>10</v>
      </c>
      <c r="D550">
        <v>20</v>
      </c>
      <c r="E550">
        <v>1E-3</v>
      </c>
      <c r="F550" t="s">
        <v>6</v>
      </c>
      <c r="G550" t="s">
        <v>4</v>
      </c>
      <c r="H550">
        <v>100</v>
      </c>
      <c r="I550">
        <v>300</v>
      </c>
      <c r="J550" t="s">
        <v>10</v>
      </c>
      <c r="K550">
        <v>13</v>
      </c>
      <c r="L550">
        <v>4.6111000000000004</v>
      </c>
      <c r="M550">
        <v>11.577</v>
      </c>
      <c r="N550">
        <v>4.6266999999999996</v>
      </c>
      <c r="O550" t="s">
        <v>2609</v>
      </c>
    </row>
    <row r="551" spans="1:15" x14ac:dyDescent="0.25">
      <c r="A551" t="s">
        <v>56</v>
      </c>
      <c r="B551" t="s">
        <v>8</v>
      </c>
      <c r="C551">
        <v>10</v>
      </c>
      <c r="D551">
        <v>20</v>
      </c>
      <c r="E551">
        <v>1E-3</v>
      </c>
      <c r="F551" t="s">
        <v>6</v>
      </c>
      <c r="G551" t="s">
        <v>4</v>
      </c>
      <c r="H551">
        <v>50</v>
      </c>
      <c r="I551">
        <v>100</v>
      </c>
      <c r="J551" t="s">
        <v>10</v>
      </c>
      <c r="K551">
        <v>2.4</v>
      </c>
      <c r="L551">
        <v>1.4</v>
      </c>
      <c r="M551">
        <v>2.3921999999999999</v>
      </c>
      <c r="N551">
        <v>1.3884000000000001</v>
      </c>
      <c r="O551" t="s">
        <v>1705</v>
      </c>
    </row>
    <row r="552" spans="1:15" x14ac:dyDescent="0.25">
      <c r="A552" t="s">
        <v>56</v>
      </c>
      <c r="B552" t="s">
        <v>8</v>
      </c>
      <c r="C552">
        <v>10</v>
      </c>
      <c r="D552">
        <v>20</v>
      </c>
      <c r="E552">
        <v>1E-3</v>
      </c>
      <c r="F552" t="s">
        <v>6</v>
      </c>
      <c r="G552" t="s">
        <v>4</v>
      </c>
      <c r="H552">
        <v>0.04</v>
      </c>
      <c r="I552">
        <v>1</v>
      </c>
      <c r="J552" t="s">
        <v>10</v>
      </c>
      <c r="K552">
        <v>2.4</v>
      </c>
      <c r="L552">
        <v>0.23</v>
      </c>
      <c r="M552">
        <v>2.3458000000000001</v>
      </c>
      <c r="N552">
        <v>0.23186999999999999</v>
      </c>
      <c r="O552" t="s">
        <v>2610</v>
      </c>
    </row>
    <row r="553" spans="1:15" x14ac:dyDescent="0.25">
      <c r="A553" t="s">
        <v>56</v>
      </c>
      <c r="B553" t="s">
        <v>8</v>
      </c>
      <c r="C553">
        <v>10</v>
      </c>
      <c r="D553">
        <v>20</v>
      </c>
      <c r="E553">
        <v>1E-3</v>
      </c>
      <c r="F553" t="s">
        <v>6</v>
      </c>
      <c r="G553" t="s">
        <v>4</v>
      </c>
      <c r="H553">
        <v>1E-3</v>
      </c>
      <c r="I553">
        <v>0.04</v>
      </c>
      <c r="J553" t="s">
        <v>10</v>
      </c>
      <c r="K553">
        <v>4.7</v>
      </c>
      <c r="L553">
        <v>0.23</v>
      </c>
      <c r="M553">
        <v>4.6486000000000001</v>
      </c>
      <c r="N553">
        <v>0.23230999999999999</v>
      </c>
      <c r="O553" t="s">
        <v>1703</v>
      </c>
    </row>
    <row r="554" spans="1:15" x14ac:dyDescent="0.25">
      <c r="A554" t="s">
        <v>56</v>
      </c>
      <c r="B554" t="s">
        <v>8</v>
      </c>
      <c r="C554">
        <v>10</v>
      </c>
      <c r="D554">
        <v>20</v>
      </c>
      <c r="E554">
        <v>0.01</v>
      </c>
      <c r="F554" t="s">
        <v>6</v>
      </c>
      <c r="G554" t="s">
        <v>4</v>
      </c>
      <c r="H554">
        <v>300</v>
      </c>
      <c r="I554">
        <v>1000</v>
      </c>
      <c r="J554" t="s">
        <v>10</v>
      </c>
      <c r="K554">
        <v>19</v>
      </c>
      <c r="L554">
        <v>17.091999999999999</v>
      </c>
      <c r="M554">
        <v>12.516999999999999</v>
      </c>
      <c r="N554">
        <v>17.32</v>
      </c>
      <c r="O554" t="s">
        <v>1711</v>
      </c>
    </row>
    <row r="555" spans="1:15" x14ac:dyDescent="0.25">
      <c r="A555" t="s">
        <v>56</v>
      </c>
      <c r="B555" t="s">
        <v>8</v>
      </c>
      <c r="C555">
        <v>10</v>
      </c>
      <c r="D555">
        <v>20</v>
      </c>
      <c r="E555">
        <v>0.01</v>
      </c>
      <c r="F555" t="s">
        <v>6</v>
      </c>
      <c r="G555" t="s">
        <v>4</v>
      </c>
      <c r="H555">
        <v>20</v>
      </c>
      <c r="I555">
        <v>50</v>
      </c>
      <c r="J555" t="s">
        <v>10</v>
      </c>
      <c r="K555">
        <v>5.2424999999999997</v>
      </c>
      <c r="L555">
        <v>0.33546999999999999</v>
      </c>
      <c r="M555">
        <v>5.2373000000000003</v>
      </c>
      <c r="N555">
        <v>0.33510000000000001</v>
      </c>
      <c r="O555" t="s">
        <v>1714</v>
      </c>
    </row>
    <row r="556" spans="1:15" x14ac:dyDescent="0.25">
      <c r="A556" t="s">
        <v>56</v>
      </c>
      <c r="B556" t="s">
        <v>8</v>
      </c>
      <c r="C556">
        <v>10</v>
      </c>
      <c r="D556">
        <v>20</v>
      </c>
      <c r="E556">
        <v>0.01</v>
      </c>
      <c r="F556" t="s">
        <v>6</v>
      </c>
      <c r="G556" t="s">
        <v>4</v>
      </c>
      <c r="H556">
        <v>1E-3</v>
      </c>
      <c r="I556">
        <v>0.04</v>
      </c>
      <c r="J556" t="s">
        <v>10</v>
      </c>
      <c r="K556">
        <v>7.1398999999999999</v>
      </c>
      <c r="L556">
        <v>0.18969</v>
      </c>
      <c r="M556">
        <v>7.1402999999999999</v>
      </c>
      <c r="N556">
        <v>0.18931999999999999</v>
      </c>
      <c r="O556" t="s">
        <v>1710</v>
      </c>
    </row>
    <row r="557" spans="1:15" x14ac:dyDescent="0.25">
      <c r="A557" t="s">
        <v>56</v>
      </c>
      <c r="B557" t="s">
        <v>8</v>
      </c>
      <c r="C557">
        <v>10</v>
      </c>
      <c r="D557">
        <v>20</v>
      </c>
      <c r="E557">
        <v>0.01</v>
      </c>
      <c r="F557" t="s">
        <v>6</v>
      </c>
      <c r="G557" t="s">
        <v>4</v>
      </c>
      <c r="H557">
        <v>1</v>
      </c>
      <c r="I557">
        <v>20</v>
      </c>
      <c r="J557" t="s">
        <v>10</v>
      </c>
      <c r="K557">
        <v>5.7568999999999999</v>
      </c>
      <c r="L557">
        <v>0.16470000000000001</v>
      </c>
      <c r="M557">
        <v>5.7573999999999996</v>
      </c>
      <c r="N557">
        <v>0.16425000000000001</v>
      </c>
      <c r="O557" t="s">
        <v>1715</v>
      </c>
    </row>
    <row r="558" spans="1:15" x14ac:dyDescent="0.25">
      <c r="A558" t="s">
        <v>56</v>
      </c>
      <c r="B558" t="s">
        <v>8</v>
      </c>
      <c r="C558">
        <v>10</v>
      </c>
      <c r="D558">
        <v>20</v>
      </c>
      <c r="E558">
        <v>0.01</v>
      </c>
      <c r="F558" t="s">
        <v>6</v>
      </c>
      <c r="G558" t="s">
        <v>4</v>
      </c>
      <c r="H558">
        <v>50</v>
      </c>
      <c r="I558">
        <v>100</v>
      </c>
      <c r="J558" t="s">
        <v>10</v>
      </c>
      <c r="K558">
        <v>3.8216999999999999</v>
      </c>
      <c r="L558">
        <v>1.3443000000000001</v>
      </c>
      <c r="M558">
        <v>3.8184</v>
      </c>
      <c r="N558">
        <v>1.3442000000000001</v>
      </c>
      <c r="O558" t="s">
        <v>1713</v>
      </c>
    </row>
    <row r="559" spans="1:15" x14ac:dyDescent="0.25">
      <c r="A559" t="s">
        <v>56</v>
      </c>
      <c r="B559" t="s">
        <v>8</v>
      </c>
      <c r="C559">
        <v>10</v>
      </c>
      <c r="D559">
        <v>20</v>
      </c>
      <c r="E559">
        <v>0.01</v>
      </c>
      <c r="F559" t="s">
        <v>6</v>
      </c>
      <c r="G559" t="s">
        <v>4</v>
      </c>
      <c r="H559">
        <v>0.04</v>
      </c>
      <c r="I559">
        <v>1</v>
      </c>
      <c r="J559" t="s">
        <v>10</v>
      </c>
      <c r="K559">
        <v>5.7568999999999999</v>
      </c>
      <c r="L559">
        <v>0.16470000000000001</v>
      </c>
      <c r="M559">
        <v>5.7573999999999996</v>
      </c>
      <c r="N559">
        <v>0.16425000000000001</v>
      </c>
      <c r="O559" t="s">
        <v>1709</v>
      </c>
    </row>
    <row r="560" spans="1:15" x14ac:dyDescent="0.25">
      <c r="A560" t="s">
        <v>56</v>
      </c>
      <c r="B560" t="s">
        <v>8</v>
      </c>
      <c r="C560">
        <v>10</v>
      </c>
      <c r="D560">
        <v>100</v>
      </c>
      <c r="E560">
        <v>0.01</v>
      </c>
      <c r="F560" t="s">
        <v>6</v>
      </c>
      <c r="G560" t="s">
        <v>4</v>
      </c>
      <c r="H560">
        <v>300</v>
      </c>
      <c r="I560">
        <v>1000</v>
      </c>
      <c r="J560" t="s">
        <v>10</v>
      </c>
      <c r="K560">
        <v>46</v>
      </c>
      <c r="L560">
        <v>17.018999999999998</v>
      </c>
      <c r="M560">
        <v>12.427</v>
      </c>
      <c r="N560">
        <v>17.332999999999998</v>
      </c>
      <c r="O560" t="s">
        <v>1712</v>
      </c>
    </row>
    <row r="561" spans="1:15" x14ac:dyDescent="0.25">
      <c r="A561" t="s">
        <v>56</v>
      </c>
      <c r="B561" t="s">
        <v>8</v>
      </c>
      <c r="C561">
        <v>10</v>
      </c>
      <c r="D561">
        <v>20</v>
      </c>
      <c r="E561">
        <v>0.01</v>
      </c>
      <c r="F561" t="s">
        <v>6</v>
      </c>
      <c r="G561" t="s">
        <v>4</v>
      </c>
      <c r="H561">
        <v>100</v>
      </c>
      <c r="I561">
        <v>300</v>
      </c>
      <c r="J561" t="s">
        <v>10</v>
      </c>
      <c r="K561">
        <v>13</v>
      </c>
      <c r="L561">
        <v>4.6140999999999996</v>
      </c>
      <c r="M561">
        <v>11.988</v>
      </c>
      <c r="N561">
        <v>4.6140999999999996</v>
      </c>
      <c r="O561" t="s">
        <v>2612</v>
      </c>
    </row>
    <row r="562" spans="1:15" x14ac:dyDescent="0.25">
      <c r="A562" t="s">
        <v>56</v>
      </c>
      <c r="B562" t="s">
        <v>8</v>
      </c>
      <c r="C562">
        <v>10</v>
      </c>
      <c r="D562">
        <v>100</v>
      </c>
      <c r="E562">
        <v>0.01</v>
      </c>
      <c r="F562" t="s">
        <v>6</v>
      </c>
      <c r="G562" t="s">
        <v>4</v>
      </c>
      <c r="H562">
        <v>100</v>
      </c>
      <c r="I562">
        <v>300</v>
      </c>
      <c r="J562" t="s">
        <v>10</v>
      </c>
      <c r="K562">
        <v>15</v>
      </c>
      <c r="L562">
        <v>4.6032999999999999</v>
      </c>
      <c r="M562">
        <v>11.89</v>
      </c>
      <c r="N562">
        <v>4.6239999999999997</v>
      </c>
      <c r="O562" t="s">
        <v>2611</v>
      </c>
    </row>
    <row r="563" spans="1:15" x14ac:dyDescent="0.25">
      <c r="A563" t="s">
        <v>56</v>
      </c>
      <c r="B563" t="s">
        <v>8</v>
      </c>
      <c r="C563">
        <v>10</v>
      </c>
      <c r="D563">
        <v>20</v>
      </c>
      <c r="E563">
        <v>0.1</v>
      </c>
      <c r="F563" t="s">
        <v>6</v>
      </c>
      <c r="G563" t="s">
        <v>4</v>
      </c>
      <c r="H563">
        <v>1</v>
      </c>
      <c r="I563">
        <v>20</v>
      </c>
      <c r="J563" t="s">
        <v>10</v>
      </c>
      <c r="K563">
        <v>57.686999999999998</v>
      </c>
      <c r="L563">
        <v>2.3591000000000001E-2</v>
      </c>
      <c r="M563">
        <v>57.688000000000002</v>
      </c>
      <c r="N563">
        <v>2.3266999999999999E-2</v>
      </c>
      <c r="O563" t="s">
        <v>2615</v>
      </c>
    </row>
    <row r="564" spans="1:15" x14ac:dyDescent="0.25">
      <c r="A564" t="s">
        <v>56</v>
      </c>
      <c r="B564" t="s">
        <v>8</v>
      </c>
      <c r="C564">
        <v>10</v>
      </c>
      <c r="D564">
        <v>20</v>
      </c>
      <c r="E564">
        <v>0.1</v>
      </c>
      <c r="F564" t="s">
        <v>6</v>
      </c>
      <c r="G564" t="s">
        <v>4</v>
      </c>
      <c r="H564">
        <v>0.04</v>
      </c>
      <c r="I564">
        <v>1</v>
      </c>
      <c r="J564" t="s">
        <v>10</v>
      </c>
      <c r="K564">
        <v>57.686999999999998</v>
      </c>
      <c r="L564">
        <v>2.3591000000000001E-2</v>
      </c>
      <c r="M564">
        <v>57.688000000000002</v>
      </c>
      <c r="N564">
        <v>2.3266999999999999E-2</v>
      </c>
      <c r="O564" t="s">
        <v>1717</v>
      </c>
    </row>
    <row r="565" spans="1:15" x14ac:dyDescent="0.25">
      <c r="A565" t="s">
        <v>56</v>
      </c>
      <c r="B565" t="s">
        <v>8</v>
      </c>
      <c r="C565">
        <v>10</v>
      </c>
      <c r="D565">
        <v>20</v>
      </c>
      <c r="E565">
        <v>0.1</v>
      </c>
      <c r="F565" t="s">
        <v>6</v>
      </c>
      <c r="G565" t="s">
        <v>4</v>
      </c>
      <c r="H565">
        <v>20</v>
      </c>
      <c r="I565">
        <v>50</v>
      </c>
      <c r="J565" t="s">
        <v>10</v>
      </c>
      <c r="K565">
        <v>57.496000000000002</v>
      </c>
      <c r="L565">
        <v>5.9412E-2</v>
      </c>
      <c r="M565">
        <v>57.494999999999997</v>
      </c>
      <c r="N565">
        <v>5.8915000000000002E-2</v>
      </c>
      <c r="O565" t="s">
        <v>1716</v>
      </c>
    </row>
    <row r="566" spans="1:15" x14ac:dyDescent="0.25">
      <c r="A566" t="s">
        <v>56</v>
      </c>
      <c r="B566" t="s">
        <v>8</v>
      </c>
      <c r="C566">
        <v>10</v>
      </c>
      <c r="D566">
        <v>20</v>
      </c>
      <c r="E566">
        <v>0.1</v>
      </c>
      <c r="F566" t="s">
        <v>6</v>
      </c>
      <c r="G566" t="s">
        <v>4</v>
      </c>
      <c r="H566">
        <v>1E-3</v>
      </c>
      <c r="I566">
        <v>0.04</v>
      </c>
      <c r="J566" t="s">
        <v>10</v>
      </c>
      <c r="K566">
        <v>57.826999999999998</v>
      </c>
      <c r="L566">
        <v>3.2722000000000001E-2</v>
      </c>
      <c r="M566">
        <v>57.828000000000003</v>
      </c>
      <c r="N566">
        <v>3.2399999999999998E-2</v>
      </c>
      <c r="O566" t="s">
        <v>2617</v>
      </c>
    </row>
    <row r="567" spans="1:15" x14ac:dyDescent="0.25">
      <c r="A567" t="s">
        <v>56</v>
      </c>
      <c r="B567" t="s">
        <v>8</v>
      </c>
      <c r="C567">
        <v>10</v>
      </c>
      <c r="D567">
        <v>100</v>
      </c>
      <c r="E567">
        <v>0.1</v>
      </c>
      <c r="F567" t="s">
        <v>6</v>
      </c>
      <c r="G567" t="s">
        <v>4</v>
      </c>
      <c r="H567">
        <v>100</v>
      </c>
      <c r="I567">
        <v>300</v>
      </c>
      <c r="J567" t="s">
        <v>10</v>
      </c>
      <c r="K567">
        <v>37.774999999999999</v>
      </c>
      <c r="L567">
        <v>4.4000000000000004</v>
      </c>
      <c r="M567">
        <v>37.725999999999999</v>
      </c>
      <c r="N567">
        <v>4.4002999999999997</v>
      </c>
      <c r="O567" t="s">
        <v>1719</v>
      </c>
    </row>
    <row r="568" spans="1:15" x14ac:dyDescent="0.25">
      <c r="A568" t="s">
        <v>56</v>
      </c>
      <c r="B568" t="s">
        <v>8</v>
      </c>
      <c r="C568">
        <v>10</v>
      </c>
      <c r="D568">
        <v>100</v>
      </c>
      <c r="E568">
        <v>0.1</v>
      </c>
      <c r="F568" t="s">
        <v>6</v>
      </c>
      <c r="G568" t="s">
        <v>4</v>
      </c>
      <c r="H568">
        <v>300</v>
      </c>
      <c r="I568">
        <v>1000</v>
      </c>
      <c r="J568" t="s">
        <v>10</v>
      </c>
      <c r="K568">
        <v>46</v>
      </c>
      <c r="L568">
        <v>17.03</v>
      </c>
      <c r="M568">
        <v>21.972000000000001</v>
      </c>
      <c r="N568">
        <v>17.247</v>
      </c>
      <c r="O568" t="s">
        <v>2613</v>
      </c>
    </row>
    <row r="569" spans="1:15" x14ac:dyDescent="0.25">
      <c r="A569" t="s">
        <v>56</v>
      </c>
      <c r="B569" t="s">
        <v>8</v>
      </c>
      <c r="C569">
        <v>10</v>
      </c>
      <c r="D569">
        <v>20</v>
      </c>
      <c r="E569">
        <v>0.1</v>
      </c>
      <c r="F569" t="s">
        <v>6</v>
      </c>
      <c r="G569" t="s">
        <v>4</v>
      </c>
      <c r="H569">
        <v>50</v>
      </c>
      <c r="I569">
        <v>100</v>
      </c>
      <c r="J569" t="s">
        <v>10</v>
      </c>
      <c r="K569">
        <v>54.831000000000003</v>
      </c>
      <c r="L569">
        <v>0.51571</v>
      </c>
      <c r="M569">
        <v>54.83</v>
      </c>
      <c r="N569">
        <v>0.51529000000000003</v>
      </c>
      <c r="O569" t="s">
        <v>1718</v>
      </c>
    </row>
    <row r="570" spans="1:15" x14ac:dyDescent="0.25">
      <c r="A570" t="s">
        <v>56</v>
      </c>
      <c r="B570" t="s">
        <v>8</v>
      </c>
      <c r="C570">
        <v>10</v>
      </c>
      <c r="D570">
        <v>20</v>
      </c>
      <c r="E570">
        <v>0.1</v>
      </c>
      <c r="F570" t="s">
        <v>6</v>
      </c>
      <c r="G570" t="s">
        <v>4</v>
      </c>
      <c r="H570">
        <v>300</v>
      </c>
      <c r="I570">
        <v>1000</v>
      </c>
      <c r="J570" t="s">
        <v>10</v>
      </c>
      <c r="K570">
        <v>25.324999999999999</v>
      </c>
      <c r="L570">
        <v>16.908000000000001</v>
      </c>
      <c r="M570">
        <v>25.323</v>
      </c>
      <c r="N570">
        <v>16.908000000000001</v>
      </c>
      <c r="O570" t="s">
        <v>2614</v>
      </c>
    </row>
    <row r="571" spans="1:15" x14ac:dyDescent="0.25">
      <c r="A571" t="s">
        <v>56</v>
      </c>
      <c r="B571" t="s">
        <v>8</v>
      </c>
      <c r="C571">
        <v>10</v>
      </c>
      <c r="D571">
        <v>20</v>
      </c>
      <c r="E571">
        <v>0.1</v>
      </c>
      <c r="F571" t="s">
        <v>6</v>
      </c>
      <c r="G571" t="s">
        <v>4</v>
      </c>
      <c r="H571">
        <v>100</v>
      </c>
      <c r="I571">
        <v>300</v>
      </c>
      <c r="J571" t="s">
        <v>10</v>
      </c>
      <c r="K571">
        <v>44.405999999999999</v>
      </c>
      <c r="L571">
        <v>3.7323</v>
      </c>
      <c r="M571">
        <v>44.402999999999999</v>
      </c>
      <c r="N571">
        <v>3.7322000000000002</v>
      </c>
      <c r="O571" t="s">
        <v>2616</v>
      </c>
    </row>
    <row r="572" spans="1:15" x14ac:dyDescent="0.25">
      <c r="A572" t="s">
        <v>56</v>
      </c>
      <c r="B572" t="s">
        <v>8</v>
      </c>
      <c r="C572">
        <v>10</v>
      </c>
      <c r="D572">
        <v>20</v>
      </c>
      <c r="E572">
        <v>1</v>
      </c>
      <c r="F572" t="s">
        <v>6</v>
      </c>
      <c r="G572" t="s">
        <v>4</v>
      </c>
      <c r="H572">
        <v>300</v>
      </c>
      <c r="I572">
        <v>1000</v>
      </c>
      <c r="J572" t="s">
        <v>10</v>
      </c>
      <c r="K572">
        <v>533.13</v>
      </c>
      <c r="L572">
        <v>7.3338000000000001</v>
      </c>
      <c r="M572">
        <v>437.38</v>
      </c>
      <c r="N572">
        <v>7.3335999999999997</v>
      </c>
      <c r="O572" t="s">
        <v>2619</v>
      </c>
    </row>
    <row r="573" spans="1:15" x14ac:dyDescent="0.25">
      <c r="A573" t="s">
        <v>56</v>
      </c>
      <c r="B573" t="s">
        <v>8</v>
      </c>
      <c r="C573">
        <v>10</v>
      </c>
      <c r="D573">
        <v>100</v>
      </c>
      <c r="E573">
        <v>1</v>
      </c>
      <c r="F573" t="s">
        <v>6</v>
      </c>
      <c r="G573" t="s">
        <v>4</v>
      </c>
      <c r="H573">
        <v>300</v>
      </c>
      <c r="I573">
        <v>1000</v>
      </c>
      <c r="J573" t="s">
        <v>10</v>
      </c>
      <c r="K573">
        <v>469.61</v>
      </c>
      <c r="L573">
        <v>13.691000000000001</v>
      </c>
      <c r="M573">
        <v>433.99</v>
      </c>
      <c r="N573">
        <v>13.692</v>
      </c>
      <c r="O573" t="s">
        <v>1720</v>
      </c>
    </row>
    <row r="574" spans="1:15" x14ac:dyDescent="0.25">
      <c r="A574" t="s">
        <v>56</v>
      </c>
      <c r="B574" t="s">
        <v>8</v>
      </c>
      <c r="C574">
        <v>10</v>
      </c>
      <c r="D574">
        <v>20</v>
      </c>
      <c r="E574">
        <v>1</v>
      </c>
      <c r="F574" t="s">
        <v>6</v>
      </c>
      <c r="G574" t="s">
        <v>4</v>
      </c>
      <c r="H574">
        <v>1E-3</v>
      </c>
      <c r="I574">
        <v>0.04</v>
      </c>
      <c r="J574" t="s">
        <v>10</v>
      </c>
      <c r="K574">
        <v>577.36</v>
      </c>
      <c r="L574">
        <v>3.4030000000000002E-3</v>
      </c>
      <c r="M574">
        <v>577.07000000000005</v>
      </c>
      <c r="N574">
        <v>3.2721999999999998E-3</v>
      </c>
      <c r="O574" t="s">
        <v>1723</v>
      </c>
    </row>
    <row r="575" spans="1:15" x14ac:dyDescent="0.25">
      <c r="A575" t="s">
        <v>56</v>
      </c>
      <c r="B575" t="s">
        <v>8</v>
      </c>
      <c r="C575">
        <v>10</v>
      </c>
      <c r="D575">
        <v>20</v>
      </c>
      <c r="E575">
        <v>1</v>
      </c>
      <c r="F575" t="s">
        <v>6</v>
      </c>
      <c r="G575" t="s">
        <v>4</v>
      </c>
      <c r="H575">
        <v>1</v>
      </c>
      <c r="I575">
        <v>20</v>
      </c>
      <c r="J575" t="s">
        <v>10</v>
      </c>
      <c r="K575">
        <v>577.35</v>
      </c>
      <c r="L575">
        <v>2.4694999999999999E-3</v>
      </c>
      <c r="M575">
        <v>577.14</v>
      </c>
      <c r="N575">
        <v>2.3387E-3</v>
      </c>
      <c r="O575" t="s">
        <v>1721</v>
      </c>
    </row>
    <row r="576" spans="1:15" x14ac:dyDescent="0.25">
      <c r="A576" t="s">
        <v>56</v>
      </c>
      <c r="B576" t="s">
        <v>8</v>
      </c>
      <c r="C576">
        <v>10</v>
      </c>
      <c r="D576">
        <v>20</v>
      </c>
      <c r="E576">
        <v>1</v>
      </c>
      <c r="F576" t="s">
        <v>6</v>
      </c>
      <c r="G576" t="s">
        <v>4</v>
      </c>
      <c r="H576">
        <v>0.04</v>
      </c>
      <c r="I576">
        <v>1</v>
      </c>
      <c r="J576" t="s">
        <v>10</v>
      </c>
      <c r="K576">
        <v>577.35</v>
      </c>
      <c r="L576">
        <v>2.4694999999999999E-3</v>
      </c>
      <c r="M576">
        <v>577.14</v>
      </c>
      <c r="N576">
        <v>2.3387E-3</v>
      </c>
      <c r="O576" t="s">
        <v>1726</v>
      </c>
    </row>
    <row r="577" spans="1:15" x14ac:dyDescent="0.25">
      <c r="A577" t="s">
        <v>56</v>
      </c>
      <c r="B577" t="s">
        <v>8</v>
      </c>
      <c r="C577">
        <v>10</v>
      </c>
      <c r="D577">
        <v>20</v>
      </c>
      <c r="E577">
        <v>1</v>
      </c>
      <c r="F577" t="s">
        <v>6</v>
      </c>
      <c r="G577" t="s">
        <v>4</v>
      </c>
      <c r="H577">
        <v>100</v>
      </c>
      <c r="I577">
        <v>300</v>
      </c>
      <c r="J577" t="s">
        <v>10</v>
      </c>
      <c r="K577">
        <v>573.82000000000005</v>
      </c>
      <c r="L577">
        <v>0.64234000000000002</v>
      </c>
      <c r="M577">
        <v>542.91999999999996</v>
      </c>
      <c r="N577">
        <v>0.64214000000000004</v>
      </c>
      <c r="O577" t="s">
        <v>1722</v>
      </c>
    </row>
    <row r="578" spans="1:15" x14ac:dyDescent="0.25">
      <c r="A578" t="s">
        <v>56</v>
      </c>
      <c r="B578" t="s">
        <v>8</v>
      </c>
      <c r="C578">
        <v>10</v>
      </c>
      <c r="D578">
        <v>20</v>
      </c>
      <c r="E578">
        <v>1</v>
      </c>
      <c r="F578" t="s">
        <v>6</v>
      </c>
      <c r="G578" t="s">
        <v>4</v>
      </c>
      <c r="H578">
        <v>50</v>
      </c>
      <c r="I578">
        <v>100</v>
      </c>
      <c r="J578" t="s">
        <v>10</v>
      </c>
      <c r="K578">
        <v>577.03</v>
      </c>
      <c r="L578">
        <v>5.5989999999999998E-2</v>
      </c>
      <c r="M578">
        <v>572.42999999999995</v>
      </c>
      <c r="N578">
        <v>5.5786000000000002E-2</v>
      </c>
      <c r="O578" t="s">
        <v>1725</v>
      </c>
    </row>
    <row r="579" spans="1:15" x14ac:dyDescent="0.25">
      <c r="A579" t="s">
        <v>56</v>
      </c>
      <c r="B579" t="s">
        <v>8</v>
      </c>
      <c r="C579">
        <v>10</v>
      </c>
      <c r="D579">
        <v>20</v>
      </c>
      <c r="E579">
        <v>1</v>
      </c>
      <c r="F579" t="s">
        <v>6</v>
      </c>
      <c r="G579" t="s">
        <v>4</v>
      </c>
      <c r="H579">
        <v>20</v>
      </c>
      <c r="I579">
        <v>50</v>
      </c>
      <c r="J579" t="s">
        <v>10</v>
      </c>
      <c r="K579">
        <v>577.33000000000004</v>
      </c>
      <c r="L579">
        <v>6.1608000000000001E-3</v>
      </c>
      <c r="M579">
        <v>576.79999999999995</v>
      </c>
      <c r="N579">
        <v>5.9565E-3</v>
      </c>
      <c r="O579" t="s">
        <v>1724</v>
      </c>
    </row>
    <row r="580" spans="1:15" x14ac:dyDescent="0.25">
      <c r="A580" t="s">
        <v>56</v>
      </c>
      <c r="B580" t="s">
        <v>8</v>
      </c>
      <c r="C580">
        <v>10</v>
      </c>
      <c r="D580">
        <v>100</v>
      </c>
      <c r="E580">
        <v>1</v>
      </c>
      <c r="F580" t="s">
        <v>6</v>
      </c>
      <c r="G580" t="s">
        <v>4</v>
      </c>
      <c r="H580">
        <v>100</v>
      </c>
      <c r="I580">
        <v>300</v>
      </c>
      <c r="J580" t="s">
        <v>10</v>
      </c>
      <c r="K580">
        <v>561.72</v>
      </c>
      <c r="L580">
        <v>1.8549</v>
      </c>
      <c r="M580">
        <v>536.24</v>
      </c>
      <c r="N580">
        <v>1.8547</v>
      </c>
      <c r="O580" t="s">
        <v>2618</v>
      </c>
    </row>
    <row r="581" spans="1:15" x14ac:dyDescent="0.25">
      <c r="A581" t="s">
        <v>56</v>
      </c>
      <c r="B581" t="s">
        <v>8</v>
      </c>
      <c r="C581">
        <v>20</v>
      </c>
      <c r="D581">
        <v>100</v>
      </c>
      <c r="E581">
        <v>1.0000000000000001E-5</v>
      </c>
      <c r="F581" t="s">
        <v>6</v>
      </c>
      <c r="G581" t="s">
        <v>4</v>
      </c>
      <c r="H581">
        <v>20</v>
      </c>
      <c r="I581">
        <v>50</v>
      </c>
      <c r="J581" t="s">
        <v>10</v>
      </c>
      <c r="K581">
        <v>6.8</v>
      </c>
      <c r="L581">
        <v>0.37</v>
      </c>
      <c r="M581">
        <v>6.7323000000000004</v>
      </c>
      <c r="N581">
        <v>0.36645</v>
      </c>
      <c r="O581" t="s">
        <v>2620</v>
      </c>
    </row>
    <row r="582" spans="1:15" x14ac:dyDescent="0.25">
      <c r="A582" t="s">
        <v>56</v>
      </c>
      <c r="B582" t="s">
        <v>8</v>
      </c>
      <c r="C582">
        <v>20</v>
      </c>
      <c r="D582">
        <v>100</v>
      </c>
      <c r="E582">
        <v>1.0000000000000001E-5</v>
      </c>
      <c r="F582" t="s">
        <v>6</v>
      </c>
      <c r="G582" t="s">
        <v>4</v>
      </c>
      <c r="H582">
        <v>1E-3</v>
      </c>
      <c r="I582">
        <v>0.04</v>
      </c>
      <c r="J582" t="s">
        <v>10</v>
      </c>
      <c r="K582">
        <v>5</v>
      </c>
      <c r="L582">
        <v>0.23</v>
      </c>
      <c r="M582">
        <v>4.6009000000000002</v>
      </c>
      <c r="N582">
        <v>0.23351</v>
      </c>
      <c r="O582" t="s">
        <v>1728</v>
      </c>
    </row>
    <row r="583" spans="1:15" x14ac:dyDescent="0.25">
      <c r="A583" t="s">
        <v>56</v>
      </c>
      <c r="B583" t="s">
        <v>8</v>
      </c>
      <c r="C583">
        <v>20</v>
      </c>
      <c r="D583">
        <v>100</v>
      </c>
      <c r="E583">
        <v>1.0000000000000001E-5</v>
      </c>
      <c r="F583" t="s">
        <v>6</v>
      </c>
      <c r="G583" t="s">
        <v>4</v>
      </c>
      <c r="H583">
        <v>0.04</v>
      </c>
      <c r="I583">
        <v>1</v>
      </c>
      <c r="J583" t="s">
        <v>10</v>
      </c>
      <c r="K583">
        <v>2.7</v>
      </c>
      <c r="L583">
        <v>0.23</v>
      </c>
      <c r="M583">
        <v>2.2757999999999998</v>
      </c>
      <c r="N583">
        <v>0.23386000000000001</v>
      </c>
      <c r="O583" t="s">
        <v>2621</v>
      </c>
    </row>
    <row r="584" spans="1:15" x14ac:dyDescent="0.25">
      <c r="A584" t="s">
        <v>56</v>
      </c>
      <c r="B584" t="s">
        <v>8</v>
      </c>
      <c r="C584">
        <v>20</v>
      </c>
      <c r="D584">
        <v>100</v>
      </c>
      <c r="E584">
        <v>1.0000000000000001E-5</v>
      </c>
      <c r="F584" t="s">
        <v>6</v>
      </c>
      <c r="G584" t="s">
        <v>4</v>
      </c>
      <c r="H584">
        <v>1</v>
      </c>
      <c r="I584">
        <v>20</v>
      </c>
      <c r="J584" t="s">
        <v>10</v>
      </c>
      <c r="K584">
        <v>4.9000000000000004</v>
      </c>
      <c r="L584">
        <v>0.21</v>
      </c>
      <c r="M584">
        <v>4.8563999999999998</v>
      </c>
      <c r="N584">
        <v>0.20787</v>
      </c>
      <c r="O584" t="s">
        <v>1727</v>
      </c>
    </row>
    <row r="585" spans="1:15" x14ac:dyDescent="0.25">
      <c r="A585" t="s">
        <v>56</v>
      </c>
      <c r="B585" t="s">
        <v>8</v>
      </c>
      <c r="C585">
        <v>20</v>
      </c>
      <c r="D585">
        <v>100</v>
      </c>
      <c r="E585">
        <v>1.0000000000000001E-5</v>
      </c>
      <c r="F585" t="s">
        <v>6</v>
      </c>
      <c r="G585" t="s">
        <v>4</v>
      </c>
      <c r="H585">
        <v>50</v>
      </c>
      <c r="I585">
        <v>100</v>
      </c>
      <c r="J585" t="s">
        <v>10</v>
      </c>
      <c r="K585">
        <v>22</v>
      </c>
      <c r="L585">
        <v>1.2</v>
      </c>
      <c r="M585">
        <v>17.722000000000001</v>
      </c>
      <c r="N585">
        <v>1.2358</v>
      </c>
      <c r="O585" t="s">
        <v>1729</v>
      </c>
    </row>
    <row r="586" spans="1:15" x14ac:dyDescent="0.25">
      <c r="A586" t="s">
        <v>56</v>
      </c>
      <c r="B586" t="s">
        <v>8</v>
      </c>
      <c r="C586">
        <v>20</v>
      </c>
      <c r="D586">
        <v>100</v>
      </c>
      <c r="E586">
        <v>1E-4</v>
      </c>
      <c r="F586" t="s">
        <v>6</v>
      </c>
      <c r="G586" t="s">
        <v>4</v>
      </c>
      <c r="H586">
        <v>50</v>
      </c>
      <c r="I586">
        <v>100</v>
      </c>
      <c r="J586" t="s">
        <v>10</v>
      </c>
      <c r="K586">
        <v>22</v>
      </c>
      <c r="L586">
        <v>1.2034</v>
      </c>
      <c r="M586">
        <v>17.722999999999999</v>
      </c>
      <c r="N586">
        <v>1.2358</v>
      </c>
      <c r="O586" t="s">
        <v>1731</v>
      </c>
    </row>
    <row r="587" spans="1:15" x14ac:dyDescent="0.25">
      <c r="A587" t="s">
        <v>56</v>
      </c>
      <c r="B587" t="s">
        <v>8</v>
      </c>
      <c r="C587">
        <v>20</v>
      </c>
      <c r="D587">
        <v>100</v>
      </c>
      <c r="E587">
        <v>1E-4</v>
      </c>
      <c r="F587" t="s">
        <v>6</v>
      </c>
      <c r="G587" t="s">
        <v>4</v>
      </c>
      <c r="H587">
        <v>1E-3</v>
      </c>
      <c r="I587">
        <v>0.04</v>
      </c>
      <c r="J587" t="s">
        <v>10</v>
      </c>
      <c r="K587">
        <v>5</v>
      </c>
      <c r="L587">
        <v>0.23166999999999999</v>
      </c>
      <c r="M587">
        <v>4.6010999999999997</v>
      </c>
      <c r="N587">
        <v>0.23351</v>
      </c>
      <c r="O587" t="s">
        <v>1732</v>
      </c>
    </row>
    <row r="588" spans="1:15" x14ac:dyDescent="0.25">
      <c r="A588" t="s">
        <v>56</v>
      </c>
      <c r="B588" t="s">
        <v>8</v>
      </c>
      <c r="C588">
        <v>20</v>
      </c>
      <c r="D588">
        <v>100</v>
      </c>
      <c r="E588">
        <v>1E-4</v>
      </c>
      <c r="F588" t="s">
        <v>6</v>
      </c>
      <c r="G588" t="s">
        <v>4</v>
      </c>
      <c r="H588">
        <v>0.04</v>
      </c>
      <c r="I588">
        <v>1</v>
      </c>
      <c r="J588" t="s">
        <v>10</v>
      </c>
      <c r="K588">
        <v>2.7</v>
      </c>
      <c r="L588">
        <v>0.23180000000000001</v>
      </c>
      <c r="M588">
        <v>2.2759999999999998</v>
      </c>
      <c r="N588">
        <v>0.23386000000000001</v>
      </c>
      <c r="O588" t="s">
        <v>1730</v>
      </c>
    </row>
    <row r="589" spans="1:15" x14ac:dyDescent="0.25">
      <c r="A589" t="s">
        <v>56</v>
      </c>
      <c r="B589" t="s">
        <v>8</v>
      </c>
      <c r="C589">
        <v>20</v>
      </c>
      <c r="D589">
        <v>100</v>
      </c>
      <c r="E589">
        <v>1E-4</v>
      </c>
      <c r="F589" t="s">
        <v>6</v>
      </c>
      <c r="G589" t="s">
        <v>4</v>
      </c>
      <c r="H589">
        <v>20</v>
      </c>
      <c r="I589">
        <v>50</v>
      </c>
      <c r="J589" t="s">
        <v>10</v>
      </c>
      <c r="K589">
        <v>6.8</v>
      </c>
      <c r="L589">
        <v>0.36642000000000002</v>
      </c>
      <c r="M589">
        <v>6.7324000000000002</v>
      </c>
      <c r="N589">
        <v>0.36645</v>
      </c>
      <c r="O589" t="s">
        <v>2622</v>
      </c>
    </row>
    <row r="590" spans="1:15" x14ac:dyDescent="0.25">
      <c r="A590" t="s">
        <v>56</v>
      </c>
      <c r="B590" t="s">
        <v>8</v>
      </c>
      <c r="C590">
        <v>20</v>
      </c>
      <c r="D590">
        <v>100</v>
      </c>
      <c r="E590">
        <v>1E-4</v>
      </c>
      <c r="F590" t="s">
        <v>6</v>
      </c>
      <c r="G590" t="s">
        <v>4</v>
      </c>
      <c r="H590">
        <v>1</v>
      </c>
      <c r="I590">
        <v>20</v>
      </c>
      <c r="J590" t="s">
        <v>10</v>
      </c>
      <c r="K590">
        <v>4.9000000000000004</v>
      </c>
      <c r="L590">
        <v>0.21</v>
      </c>
      <c r="M590">
        <v>4.8564999999999996</v>
      </c>
      <c r="N590">
        <v>0.20787</v>
      </c>
      <c r="O590" t="s">
        <v>1733</v>
      </c>
    </row>
    <row r="591" spans="1:15" x14ac:dyDescent="0.25">
      <c r="A591" t="s">
        <v>56</v>
      </c>
      <c r="B591" t="s">
        <v>8</v>
      </c>
      <c r="C591">
        <v>20</v>
      </c>
      <c r="D591">
        <v>100</v>
      </c>
      <c r="E591">
        <v>1E-3</v>
      </c>
      <c r="F591" t="s">
        <v>6</v>
      </c>
      <c r="G591" t="s">
        <v>4</v>
      </c>
      <c r="H591">
        <v>20</v>
      </c>
      <c r="I591">
        <v>50</v>
      </c>
      <c r="J591" t="s">
        <v>10</v>
      </c>
      <c r="K591">
        <v>6.8</v>
      </c>
      <c r="L591">
        <v>0.36631000000000002</v>
      </c>
      <c r="M591">
        <v>6.7495000000000003</v>
      </c>
      <c r="N591">
        <v>0.36631999999999998</v>
      </c>
      <c r="O591" t="s">
        <v>2623</v>
      </c>
    </row>
    <row r="592" spans="1:15" x14ac:dyDescent="0.25">
      <c r="A592" t="s">
        <v>56</v>
      </c>
      <c r="B592" t="s">
        <v>8</v>
      </c>
      <c r="C592">
        <v>20</v>
      </c>
      <c r="D592">
        <v>100</v>
      </c>
      <c r="E592">
        <v>1E-3</v>
      </c>
      <c r="F592" t="s">
        <v>6</v>
      </c>
      <c r="G592" t="s">
        <v>4</v>
      </c>
      <c r="H592">
        <v>50</v>
      </c>
      <c r="I592">
        <v>100</v>
      </c>
      <c r="J592" t="s">
        <v>10</v>
      </c>
      <c r="K592">
        <v>22</v>
      </c>
      <c r="L592">
        <v>1.2034</v>
      </c>
      <c r="M592">
        <v>17.724</v>
      </c>
      <c r="N592">
        <v>1.2358</v>
      </c>
      <c r="O592" t="s">
        <v>1736</v>
      </c>
    </row>
    <row r="593" spans="1:15" x14ac:dyDescent="0.25">
      <c r="A593" t="s">
        <v>56</v>
      </c>
      <c r="B593" t="s">
        <v>8</v>
      </c>
      <c r="C593">
        <v>20</v>
      </c>
      <c r="D593">
        <v>100</v>
      </c>
      <c r="E593">
        <v>1E-3</v>
      </c>
      <c r="F593" t="s">
        <v>6</v>
      </c>
      <c r="G593" t="s">
        <v>4</v>
      </c>
      <c r="H593">
        <v>1</v>
      </c>
      <c r="I593">
        <v>20</v>
      </c>
      <c r="J593" t="s">
        <v>10</v>
      </c>
      <c r="K593">
        <v>4.9000000000000004</v>
      </c>
      <c r="L593">
        <v>0.21</v>
      </c>
      <c r="M593">
        <v>4.8819999999999997</v>
      </c>
      <c r="N593">
        <v>0.20768</v>
      </c>
      <c r="O593" t="s">
        <v>1737</v>
      </c>
    </row>
    <row r="594" spans="1:15" x14ac:dyDescent="0.25">
      <c r="A594" t="s">
        <v>56</v>
      </c>
      <c r="B594" t="s">
        <v>8</v>
      </c>
      <c r="C594">
        <v>20</v>
      </c>
      <c r="D594">
        <v>100</v>
      </c>
      <c r="E594">
        <v>1E-3</v>
      </c>
      <c r="F594" t="s">
        <v>6</v>
      </c>
      <c r="G594" t="s">
        <v>4</v>
      </c>
      <c r="H594">
        <v>0.04</v>
      </c>
      <c r="I594">
        <v>1</v>
      </c>
      <c r="J594" t="s">
        <v>10</v>
      </c>
      <c r="K594">
        <v>2.7</v>
      </c>
      <c r="L594">
        <v>0.23188</v>
      </c>
      <c r="M594">
        <v>2.2997999999999998</v>
      </c>
      <c r="N594">
        <v>0.23363999999999999</v>
      </c>
      <c r="O594" t="s">
        <v>1735</v>
      </c>
    </row>
    <row r="595" spans="1:15" x14ac:dyDescent="0.25">
      <c r="A595" t="s">
        <v>56</v>
      </c>
      <c r="B595" t="s">
        <v>8</v>
      </c>
      <c r="C595">
        <v>20</v>
      </c>
      <c r="D595">
        <v>100</v>
      </c>
      <c r="E595">
        <v>1E-3</v>
      </c>
      <c r="F595" t="s">
        <v>6</v>
      </c>
      <c r="G595" t="s">
        <v>4</v>
      </c>
      <c r="H595">
        <v>1E-3</v>
      </c>
      <c r="I595">
        <v>0.04</v>
      </c>
      <c r="J595" t="s">
        <v>10</v>
      </c>
      <c r="K595">
        <v>5</v>
      </c>
      <c r="L595">
        <v>0.23175000000000001</v>
      </c>
      <c r="M595">
        <v>4.6195000000000004</v>
      </c>
      <c r="N595">
        <v>0.23336000000000001</v>
      </c>
      <c r="O595" t="s">
        <v>1734</v>
      </c>
    </row>
    <row r="596" spans="1:15" x14ac:dyDescent="0.25">
      <c r="A596" t="s">
        <v>56</v>
      </c>
      <c r="B596" t="s">
        <v>8</v>
      </c>
      <c r="C596">
        <v>20</v>
      </c>
      <c r="D596">
        <v>100</v>
      </c>
      <c r="E596">
        <v>0.01</v>
      </c>
      <c r="F596" t="s">
        <v>6</v>
      </c>
      <c r="G596" t="s">
        <v>4</v>
      </c>
      <c r="H596">
        <v>50</v>
      </c>
      <c r="I596">
        <v>100</v>
      </c>
      <c r="J596" t="s">
        <v>10</v>
      </c>
      <c r="K596">
        <v>22</v>
      </c>
      <c r="L596">
        <v>1.2047000000000001</v>
      </c>
      <c r="M596">
        <v>18.315000000000001</v>
      </c>
      <c r="N596">
        <v>1.2311000000000001</v>
      </c>
      <c r="O596" t="s">
        <v>1739</v>
      </c>
    </row>
    <row r="597" spans="1:15" x14ac:dyDescent="0.25">
      <c r="A597" t="s">
        <v>56</v>
      </c>
      <c r="B597" t="s">
        <v>8</v>
      </c>
      <c r="C597">
        <v>20</v>
      </c>
      <c r="D597">
        <v>100</v>
      </c>
      <c r="E597">
        <v>0.01</v>
      </c>
      <c r="F597" t="s">
        <v>6</v>
      </c>
      <c r="G597" t="s">
        <v>4</v>
      </c>
      <c r="H597">
        <v>20</v>
      </c>
      <c r="I597">
        <v>50</v>
      </c>
      <c r="J597" t="s">
        <v>10</v>
      </c>
      <c r="K597">
        <v>8.3577999999999992</v>
      </c>
      <c r="L597">
        <v>0.35409000000000002</v>
      </c>
      <c r="M597">
        <v>8.3518000000000008</v>
      </c>
      <c r="N597">
        <v>0.35408000000000001</v>
      </c>
      <c r="O597" t="s">
        <v>1742</v>
      </c>
    </row>
    <row r="598" spans="1:15" x14ac:dyDescent="0.25">
      <c r="A598" t="s">
        <v>56</v>
      </c>
      <c r="B598" t="s">
        <v>8</v>
      </c>
      <c r="C598">
        <v>20</v>
      </c>
      <c r="D598">
        <v>100</v>
      </c>
      <c r="E598">
        <v>0.01</v>
      </c>
      <c r="F598" t="s">
        <v>6</v>
      </c>
      <c r="G598" t="s">
        <v>4</v>
      </c>
      <c r="H598">
        <v>1E-3</v>
      </c>
      <c r="I598">
        <v>0.04</v>
      </c>
      <c r="J598" t="s">
        <v>10</v>
      </c>
      <c r="K598">
        <v>6.5042</v>
      </c>
      <c r="L598">
        <v>0.22022</v>
      </c>
      <c r="M598">
        <v>6.5015000000000001</v>
      </c>
      <c r="N598">
        <v>0.22022</v>
      </c>
      <c r="O598" t="s">
        <v>1738</v>
      </c>
    </row>
    <row r="599" spans="1:15" x14ac:dyDescent="0.25">
      <c r="A599" t="s">
        <v>56</v>
      </c>
      <c r="B599" t="s">
        <v>8</v>
      </c>
      <c r="C599">
        <v>20</v>
      </c>
      <c r="D599">
        <v>100</v>
      </c>
      <c r="E599">
        <v>0.01</v>
      </c>
      <c r="F599" t="s">
        <v>6</v>
      </c>
      <c r="G599" t="s">
        <v>4</v>
      </c>
      <c r="H599">
        <v>0.04</v>
      </c>
      <c r="I599">
        <v>1</v>
      </c>
      <c r="J599" t="s">
        <v>10</v>
      </c>
      <c r="K599">
        <v>4.7115</v>
      </c>
      <c r="L599">
        <v>0.21576999999999999</v>
      </c>
      <c r="M599">
        <v>4.7084000000000001</v>
      </c>
      <c r="N599">
        <v>0.21576999999999999</v>
      </c>
      <c r="O599" t="s">
        <v>1740</v>
      </c>
    </row>
    <row r="600" spans="1:15" x14ac:dyDescent="0.25">
      <c r="A600" t="s">
        <v>56</v>
      </c>
      <c r="B600" t="s">
        <v>8</v>
      </c>
      <c r="C600">
        <v>20</v>
      </c>
      <c r="D600">
        <v>100</v>
      </c>
      <c r="E600">
        <v>0.01</v>
      </c>
      <c r="F600" t="s">
        <v>6</v>
      </c>
      <c r="G600" t="s">
        <v>4</v>
      </c>
      <c r="H600">
        <v>1</v>
      </c>
      <c r="I600">
        <v>20</v>
      </c>
      <c r="J600" t="s">
        <v>10</v>
      </c>
      <c r="K600">
        <v>7.1093000000000002</v>
      </c>
      <c r="L600">
        <v>0.19178999999999999</v>
      </c>
      <c r="M600">
        <v>7.1055999999999999</v>
      </c>
      <c r="N600">
        <v>0.1918</v>
      </c>
      <c r="O600" t="s">
        <v>1741</v>
      </c>
    </row>
    <row r="601" spans="1:15" x14ac:dyDescent="0.25">
      <c r="A601" t="s">
        <v>56</v>
      </c>
      <c r="B601" t="s">
        <v>8</v>
      </c>
      <c r="C601">
        <v>20</v>
      </c>
      <c r="D601">
        <v>100</v>
      </c>
      <c r="E601">
        <v>0.1</v>
      </c>
      <c r="F601" t="s">
        <v>6</v>
      </c>
      <c r="G601" t="s">
        <v>4</v>
      </c>
      <c r="H601">
        <v>0.04</v>
      </c>
      <c r="I601">
        <v>1</v>
      </c>
      <c r="J601" t="s">
        <v>10</v>
      </c>
      <c r="K601">
        <v>56.896000000000001</v>
      </c>
      <c r="L601">
        <v>6.2831999999999999E-2</v>
      </c>
      <c r="M601">
        <v>56.895000000000003</v>
      </c>
      <c r="N601">
        <v>6.2796000000000005E-2</v>
      </c>
      <c r="O601" t="s">
        <v>1743</v>
      </c>
    </row>
    <row r="602" spans="1:15" x14ac:dyDescent="0.25">
      <c r="A602" t="s">
        <v>56</v>
      </c>
      <c r="B602" t="s">
        <v>8</v>
      </c>
      <c r="C602">
        <v>20</v>
      </c>
      <c r="D602">
        <v>100</v>
      </c>
      <c r="E602">
        <v>0.1</v>
      </c>
      <c r="F602" t="s">
        <v>6</v>
      </c>
      <c r="G602" t="s">
        <v>4</v>
      </c>
      <c r="H602">
        <v>50</v>
      </c>
      <c r="I602">
        <v>100</v>
      </c>
      <c r="J602" t="s">
        <v>10</v>
      </c>
      <c r="K602">
        <v>55.390999999999998</v>
      </c>
      <c r="L602">
        <v>0.97270000000000001</v>
      </c>
      <c r="M602">
        <v>55.372999999999998</v>
      </c>
      <c r="N602">
        <v>0.97270000000000001</v>
      </c>
      <c r="O602" t="s">
        <v>1746</v>
      </c>
    </row>
    <row r="603" spans="1:15" x14ac:dyDescent="0.25">
      <c r="A603" t="s">
        <v>56</v>
      </c>
      <c r="B603" t="s">
        <v>8</v>
      </c>
      <c r="C603">
        <v>20</v>
      </c>
      <c r="D603">
        <v>100</v>
      </c>
      <c r="E603">
        <v>0.1</v>
      </c>
      <c r="F603" t="s">
        <v>6</v>
      </c>
      <c r="G603" t="s">
        <v>4</v>
      </c>
      <c r="H603">
        <v>1</v>
      </c>
      <c r="I603">
        <v>20</v>
      </c>
      <c r="J603" t="s">
        <v>10</v>
      </c>
      <c r="K603">
        <v>57.594000000000001</v>
      </c>
      <c r="L603">
        <v>5.5849999999999997E-2</v>
      </c>
      <c r="M603">
        <v>57.591999999999999</v>
      </c>
      <c r="N603">
        <v>5.5819000000000001E-2</v>
      </c>
      <c r="O603" t="s">
        <v>1745</v>
      </c>
    </row>
    <row r="604" spans="1:15" x14ac:dyDescent="0.25">
      <c r="A604" t="s">
        <v>56</v>
      </c>
      <c r="B604" t="s">
        <v>8</v>
      </c>
      <c r="C604">
        <v>20</v>
      </c>
      <c r="D604">
        <v>100</v>
      </c>
      <c r="E604">
        <v>0.1</v>
      </c>
      <c r="F604" t="s">
        <v>6</v>
      </c>
      <c r="G604" t="s">
        <v>4</v>
      </c>
      <c r="H604">
        <v>1E-3</v>
      </c>
      <c r="I604">
        <v>0.04</v>
      </c>
      <c r="J604" t="s">
        <v>10</v>
      </c>
      <c r="K604">
        <v>57.057000000000002</v>
      </c>
      <c r="L604">
        <v>7.0854E-2</v>
      </c>
      <c r="M604">
        <v>57.055999999999997</v>
      </c>
      <c r="N604">
        <v>7.0818999999999993E-2</v>
      </c>
      <c r="O604" t="s">
        <v>2624</v>
      </c>
    </row>
    <row r="605" spans="1:15" x14ac:dyDescent="0.25">
      <c r="A605" t="s">
        <v>56</v>
      </c>
      <c r="B605" t="s">
        <v>8</v>
      </c>
      <c r="C605">
        <v>20</v>
      </c>
      <c r="D605">
        <v>100</v>
      </c>
      <c r="E605">
        <v>0.1</v>
      </c>
      <c r="F605" t="s">
        <v>6</v>
      </c>
      <c r="G605" t="s">
        <v>4</v>
      </c>
      <c r="H605">
        <v>20</v>
      </c>
      <c r="I605">
        <v>50</v>
      </c>
      <c r="J605" t="s">
        <v>10</v>
      </c>
      <c r="K605">
        <v>57.162999999999997</v>
      </c>
      <c r="L605">
        <v>0.15068999999999999</v>
      </c>
      <c r="M605">
        <v>57.158999999999999</v>
      </c>
      <c r="N605">
        <v>0.15056</v>
      </c>
      <c r="O605" t="s">
        <v>1744</v>
      </c>
    </row>
    <row r="606" spans="1:15" x14ac:dyDescent="0.25">
      <c r="A606" t="s">
        <v>56</v>
      </c>
      <c r="B606" t="s">
        <v>8</v>
      </c>
      <c r="C606">
        <v>20</v>
      </c>
      <c r="D606">
        <v>100</v>
      </c>
      <c r="E606">
        <v>1</v>
      </c>
      <c r="F606" t="s">
        <v>6</v>
      </c>
      <c r="G606" t="s">
        <v>4</v>
      </c>
      <c r="H606">
        <v>50</v>
      </c>
      <c r="I606">
        <v>100</v>
      </c>
      <c r="J606" t="s">
        <v>10</v>
      </c>
      <c r="K606">
        <v>576.34</v>
      </c>
      <c r="L606">
        <v>0.18074999999999999</v>
      </c>
      <c r="M606">
        <v>568.41</v>
      </c>
      <c r="N606">
        <v>0.18063000000000001</v>
      </c>
      <c r="O606" t="s">
        <v>2626</v>
      </c>
    </row>
    <row r="607" spans="1:15" x14ac:dyDescent="0.25">
      <c r="A607" t="s">
        <v>56</v>
      </c>
      <c r="B607" t="s">
        <v>8</v>
      </c>
      <c r="C607">
        <v>20</v>
      </c>
      <c r="D607">
        <v>100</v>
      </c>
      <c r="E607">
        <v>1</v>
      </c>
      <c r="F607" t="s">
        <v>6</v>
      </c>
      <c r="G607" t="s">
        <v>4</v>
      </c>
      <c r="H607">
        <v>20</v>
      </c>
      <c r="I607">
        <v>50</v>
      </c>
      <c r="J607" t="s">
        <v>10</v>
      </c>
      <c r="K607">
        <v>577.28</v>
      </c>
      <c r="L607">
        <v>1.7106E-2</v>
      </c>
      <c r="M607">
        <v>575.94000000000005</v>
      </c>
      <c r="N607">
        <v>1.704E-2</v>
      </c>
      <c r="O607" t="s">
        <v>1747</v>
      </c>
    </row>
    <row r="608" spans="1:15" x14ac:dyDescent="0.25">
      <c r="A608" t="s">
        <v>56</v>
      </c>
      <c r="B608" t="s">
        <v>8</v>
      </c>
      <c r="C608">
        <v>20</v>
      </c>
      <c r="D608">
        <v>100</v>
      </c>
      <c r="E608">
        <v>1</v>
      </c>
      <c r="F608" t="s">
        <v>6</v>
      </c>
      <c r="G608" t="s">
        <v>4</v>
      </c>
      <c r="H608">
        <v>1</v>
      </c>
      <c r="I608">
        <v>20</v>
      </c>
      <c r="J608" t="s">
        <v>10</v>
      </c>
      <c r="K608">
        <v>577.34</v>
      </c>
      <c r="L608">
        <v>5.8763000000000001E-3</v>
      </c>
      <c r="M608">
        <v>576.84</v>
      </c>
      <c r="N608">
        <v>5.8618000000000003E-3</v>
      </c>
      <c r="O608" t="s">
        <v>1748</v>
      </c>
    </row>
    <row r="609" spans="1:15" x14ac:dyDescent="0.25">
      <c r="A609" t="s">
        <v>56</v>
      </c>
      <c r="B609" t="s">
        <v>8</v>
      </c>
      <c r="C609">
        <v>20</v>
      </c>
      <c r="D609">
        <v>100</v>
      </c>
      <c r="E609">
        <v>1</v>
      </c>
      <c r="F609" t="s">
        <v>6</v>
      </c>
      <c r="G609" t="s">
        <v>4</v>
      </c>
      <c r="H609">
        <v>0.04</v>
      </c>
      <c r="I609">
        <v>1</v>
      </c>
      <c r="J609" t="s">
        <v>10</v>
      </c>
      <c r="K609">
        <v>577.27</v>
      </c>
      <c r="L609">
        <v>6.6108E-3</v>
      </c>
      <c r="M609">
        <v>576.14</v>
      </c>
      <c r="N609">
        <v>6.5944999999999997E-3</v>
      </c>
      <c r="O609" t="s">
        <v>2625</v>
      </c>
    </row>
    <row r="610" spans="1:15" x14ac:dyDescent="0.25">
      <c r="A610" t="s">
        <v>56</v>
      </c>
      <c r="B610" t="s">
        <v>8</v>
      </c>
      <c r="C610">
        <v>20</v>
      </c>
      <c r="D610">
        <v>100</v>
      </c>
      <c r="E610">
        <v>1</v>
      </c>
      <c r="F610" t="s">
        <v>6</v>
      </c>
      <c r="G610" t="s">
        <v>4</v>
      </c>
      <c r="H610">
        <v>1E-3</v>
      </c>
      <c r="I610">
        <v>0.04</v>
      </c>
      <c r="J610" t="s">
        <v>10</v>
      </c>
      <c r="K610">
        <v>577.28</v>
      </c>
      <c r="L610">
        <v>7.5312E-3</v>
      </c>
      <c r="M610">
        <v>576.01</v>
      </c>
      <c r="N610">
        <v>7.5148999999999997E-3</v>
      </c>
      <c r="O610" t="s">
        <v>1749</v>
      </c>
    </row>
    <row r="611" spans="1:15" x14ac:dyDescent="0.25">
      <c r="A611" t="s">
        <v>56</v>
      </c>
      <c r="B611" t="s">
        <v>8</v>
      </c>
      <c r="C611">
        <v>100</v>
      </c>
      <c r="D611">
        <v>1000</v>
      </c>
      <c r="E611">
        <v>1E-4</v>
      </c>
      <c r="F611" t="s">
        <v>6</v>
      </c>
      <c r="G611" t="s">
        <v>4</v>
      </c>
      <c r="H611">
        <v>1</v>
      </c>
      <c r="I611">
        <v>20</v>
      </c>
      <c r="J611" t="s">
        <v>10</v>
      </c>
      <c r="K611">
        <v>23</v>
      </c>
      <c r="L611">
        <v>0.7</v>
      </c>
      <c r="M611">
        <v>23.055</v>
      </c>
      <c r="N611">
        <v>0.69386999999999999</v>
      </c>
      <c r="O611" t="s">
        <v>1753</v>
      </c>
    </row>
    <row r="612" spans="1:15" x14ac:dyDescent="0.25">
      <c r="A612" t="s">
        <v>56</v>
      </c>
      <c r="B612" t="s">
        <v>8</v>
      </c>
      <c r="C612">
        <v>100</v>
      </c>
      <c r="D612">
        <v>1000</v>
      </c>
      <c r="E612">
        <v>1E-4</v>
      </c>
      <c r="F612" t="s">
        <v>6</v>
      </c>
      <c r="G612" t="s">
        <v>4</v>
      </c>
      <c r="H612">
        <v>50</v>
      </c>
      <c r="I612">
        <v>100</v>
      </c>
      <c r="J612" t="s">
        <v>10</v>
      </c>
      <c r="K612">
        <v>23</v>
      </c>
      <c r="L612">
        <v>3.5</v>
      </c>
      <c r="M612">
        <v>23.116</v>
      </c>
      <c r="N612">
        <v>3.4655999999999998</v>
      </c>
      <c r="O612" t="s">
        <v>1752</v>
      </c>
    </row>
    <row r="613" spans="1:15" x14ac:dyDescent="0.25">
      <c r="A613" t="s">
        <v>56</v>
      </c>
      <c r="B613" t="s">
        <v>8</v>
      </c>
      <c r="C613">
        <v>100</v>
      </c>
      <c r="D613">
        <v>330</v>
      </c>
      <c r="E613">
        <v>1E-4</v>
      </c>
      <c r="F613" t="s">
        <v>6</v>
      </c>
      <c r="G613" t="s">
        <v>4</v>
      </c>
      <c r="H613">
        <v>20</v>
      </c>
      <c r="I613">
        <v>50</v>
      </c>
      <c r="J613" t="s">
        <v>10</v>
      </c>
      <c r="K613">
        <v>23</v>
      </c>
      <c r="L613">
        <v>1.4</v>
      </c>
      <c r="M613">
        <v>23.053000000000001</v>
      </c>
      <c r="N613">
        <v>1.3878999999999999</v>
      </c>
      <c r="O613" t="s">
        <v>1751</v>
      </c>
    </row>
    <row r="614" spans="1:15" x14ac:dyDescent="0.25">
      <c r="A614" t="s">
        <v>56</v>
      </c>
      <c r="B614" t="s">
        <v>8</v>
      </c>
      <c r="C614">
        <v>100</v>
      </c>
      <c r="D614">
        <v>330</v>
      </c>
      <c r="E614">
        <v>1E-4</v>
      </c>
      <c r="F614" t="s">
        <v>6</v>
      </c>
      <c r="G614" t="s">
        <v>4</v>
      </c>
      <c r="H614">
        <v>0.04</v>
      </c>
      <c r="I614">
        <v>1</v>
      </c>
      <c r="J614" t="s">
        <v>10</v>
      </c>
      <c r="K614">
        <v>25</v>
      </c>
      <c r="L614">
        <v>0.46</v>
      </c>
      <c r="M614">
        <v>23.033999999999999</v>
      </c>
      <c r="N614">
        <v>0.46337</v>
      </c>
      <c r="O614" t="s">
        <v>2628</v>
      </c>
    </row>
    <row r="615" spans="1:15" x14ac:dyDescent="0.25">
      <c r="A615" t="s">
        <v>56</v>
      </c>
      <c r="B615" t="s">
        <v>8</v>
      </c>
      <c r="C615">
        <v>100</v>
      </c>
      <c r="D615">
        <v>330</v>
      </c>
      <c r="E615">
        <v>1E-4</v>
      </c>
      <c r="F615" t="s">
        <v>6</v>
      </c>
      <c r="G615" t="s">
        <v>4</v>
      </c>
      <c r="H615">
        <v>50</v>
      </c>
      <c r="I615">
        <v>100</v>
      </c>
      <c r="J615" t="s">
        <v>10</v>
      </c>
      <c r="K615">
        <v>23</v>
      </c>
      <c r="L615">
        <v>3.5</v>
      </c>
      <c r="M615">
        <v>23.11</v>
      </c>
      <c r="N615">
        <v>3.4655999999999998</v>
      </c>
      <c r="O615" t="s">
        <v>2629</v>
      </c>
    </row>
    <row r="616" spans="1:15" x14ac:dyDescent="0.25">
      <c r="A616" t="s">
        <v>56</v>
      </c>
      <c r="B616" t="s">
        <v>8</v>
      </c>
      <c r="C616">
        <v>100</v>
      </c>
      <c r="D616">
        <v>330</v>
      </c>
      <c r="E616">
        <v>1E-4</v>
      </c>
      <c r="F616" t="s">
        <v>6</v>
      </c>
      <c r="G616" t="s">
        <v>4</v>
      </c>
      <c r="H616">
        <v>1E-3</v>
      </c>
      <c r="I616">
        <v>0.04</v>
      </c>
      <c r="J616" t="s">
        <v>10</v>
      </c>
      <c r="K616">
        <v>48</v>
      </c>
      <c r="L616">
        <v>0.46</v>
      </c>
      <c r="M616">
        <v>46.118000000000002</v>
      </c>
      <c r="N616">
        <v>0.46325</v>
      </c>
      <c r="O616" t="s">
        <v>1754</v>
      </c>
    </row>
    <row r="617" spans="1:15" x14ac:dyDescent="0.25">
      <c r="A617" t="s">
        <v>56</v>
      </c>
      <c r="B617" t="s">
        <v>8</v>
      </c>
      <c r="C617">
        <v>100</v>
      </c>
      <c r="D617">
        <v>330</v>
      </c>
      <c r="E617">
        <v>1E-4</v>
      </c>
      <c r="F617" t="s">
        <v>6</v>
      </c>
      <c r="G617" t="s">
        <v>4</v>
      </c>
      <c r="H617">
        <v>1</v>
      </c>
      <c r="I617">
        <v>20</v>
      </c>
      <c r="J617" t="s">
        <v>10</v>
      </c>
      <c r="K617">
        <v>23</v>
      </c>
      <c r="L617">
        <v>0.7</v>
      </c>
      <c r="M617">
        <v>23.059000000000001</v>
      </c>
      <c r="N617">
        <v>0.69384000000000001</v>
      </c>
      <c r="O617" t="s">
        <v>1750</v>
      </c>
    </row>
    <row r="618" spans="1:15" x14ac:dyDescent="0.25">
      <c r="A618" t="s">
        <v>56</v>
      </c>
      <c r="B618" t="s">
        <v>8</v>
      </c>
      <c r="C618">
        <v>100</v>
      </c>
      <c r="D618">
        <v>1000</v>
      </c>
      <c r="E618">
        <v>1E-4</v>
      </c>
      <c r="F618" t="s">
        <v>6</v>
      </c>
      <c r="G618" t="s">
        <v>4</v>
      </c>
      <c r="H618">
        <v>20</v>
      </c>
      <c r="I618">
        <v>50</v>
      </c>
      <c r="J618" t="s">
        <v>10</v>
      </c>
      <c r="K618">
        <v>23</v>
      </c>
      <c r="L618">
        <v>1.4</v>
      </c>
      <c r="M618">
        <v>22.895</v>
      </c>
      <c r="N618">
        <v>1.3895999999999999</v>
      </c>
      <c r="O618" t="s">
        <v>2627</v>
      </c>
    </row>
    <row r="619" spans="1:15" x14ac:dyDescent="0.25">
      <c r="A619" t="s">
        <v>56</v>
      </c>
      <c r="B619" t="s">
        <v>8</v>
      </c>
      <c r="C619">
        <v>100</v>
      </c>
      <c r="D619">
        <v>330</v>
      </c>
      <c r="E619">
        <v>1E-3</v>
      </c>
      <c r="F619" t="s">
        <v>6</v>
      </c>
      <c r="G619" t="s">
        <v>4</v>
      </c>
      <c r="H619">
        <v>50</v>
      </c>
      <c r="I619">
        <v>100</v>
      </c>
      <c r="J619" t="s">
        <v>10</v>
      </c>
      <c r="K619">
        <v>23</v>
      </c>
      <c r="L619">
        <v>3.5</v>
      </c>
      <c r="M619">
        <v>23.111000000000001</v>
      </c>
      <c r="N619">
        <v>3.4655999999999998</v>
      </c>
      <c r="O619" t="s">
        <v>1759</v>
      </c>
    </row>
    <row r="620" spans="1:15" x14ac:dyDescent="0.25">
      <c r="A620" t="s">
        <v>56</v>
      </c>
      <c r="B620" t="s">
        <v>8</v>
      </c>
      <c r="C620">
        <v>100</v>
      </c>
      <c r="D620">
        <v>330</v>
      </c>
      <c r="E620">
        <v>1E-3</v>
      </c>
      <c r="F620" t="s">
        <v>6</v>
      </c>
      <c r="G620" t="s">
        <v>4</v>
      </c>
      <c r="H620">
        <v>20</v>
      </c>
      <c r="I620">
        <v>50</v>
      </c>
      <c r="J620" t="s">
        <v>10</v>
      </c>
      <c r="K620">
        <v>23</v>
      </c>
      <c r="L620">
        <v>1.4</v>
      </c>
      <c r="M620">
        <v>23.053999999999998</v>
      </c>
      <c r="N620">
        <v>1.3878999999999999</v>
      </c>
      <c r="O620" t="s">
        <v>1756</v>
      </c>
    </row>
    <row r="621" spans="1:15" x14ac:dyDescent="0.25">
      <c r="A621" t="s">
        <v>56</v>
      </c>
      <c r="B621" t="s">
        <v>8</v>
      </c>
      <c r="C621">
        <v>100</v>
      </c>
      <c r="D621">
        <v>330</v>
      </c>
      <c r="E621">
        <v>1E-3</v>
      </c>
      <c r="F621" t="s">
        <v>6</v>
      </c>
      <c r="G621" t="s">
        <v>4</v>
      </c>
      <c r="H621">
        <v>1</v>
      </c>
      <c r="I621">
        <v>20</v>
      </c>
      <c r="J621" t="s">
        <v>10</v>
      </c>
      <c r="K621">
        <v>23</v>
      </c>
      <c r="L621">
        <v>0.7</v>
      </c>
      <c r="M621">
        <v>23.061</v>
      </c>
      <c r="N621">
        <v>0.69384000000000001</v>
      </c>
      <c r="O621" t="s">
        <v>1755</v>
      </c>
    </row>
    <row r="622" spans="1:15" x14ac:dyDescent="0.25">
      <c r="A622" t="s">
        <v>56</v>
      </c>
      <c r="B622" t="s">
        <v>8</v>
      </c>
      <c r="C622">
        <v>100</v>
      </c>
      <c r="D622">
        <v>330</v>
      </c>
      <c r="E622">
        <v>1E-3</v>
      </c>
      <c r="F622" t="s">
        <v>6</v>
      </c>
      <c r="G622" t="s">
        <v>4</v>
      </c>
      <c r="H622">
        <v>1E-3</v>
      </c>
      <c r="I622">
        <v>0.04</v>
      </c>
      <c r="J622" t="s">
        <v>10</v>
      </c>
      <c r="K622">
        <v>48</v>
      </c>
      <c r="L622">
        <v>0.46085999999999999</v>
      </c>
      <c r="M622">
        <v>46.12</v>
      </c>
      <c r="N622">
        <v>0.46325</v>
      </c>
      <c r="O622" t="s">
        <v>1760</v>
      </c>
    </row>
    <row r="623" spans="1:15" x14ac:dyDescent="0.25">
      <c r="A623" t="s">
        <v>56</v>
      </c>
      <c r="B623" t="s">
        <v>8</v>
      </c>
      <c r="C623">
        <v>100</v>
      </c>
      <c r="D623">
        <v>330</v>
      </c>
      <c r="E623">
        <v>1E-3</v>
      </c>
      <c r="F623" t="s">
        <v>6</v>
      </c>
      <c r="G623" t="s">
        <v>4</v>
      </c>
      <c r="H623">
        <v>0.04</v>
      </c>
      <c r="I623">
        <v>1</v>
      </c>
      <c r="J623" t="s">
        <v>10</v>
      </c>
      <c r="K623">
        <v>25</v>
      </c>
      <c r="L623">
        <v>0.46067000000000002</v>
      </c>
      <c r="M623">
        <v>23.036999999999999</v>
      </c>
      <c r="N623">
        <v>0.46337</v>
      </c>
      <c r="O623" t="s">
        <v>1761</v>
      </c>
    </row>
    <row r="624" spans="1:15" x14ac:dyDescent="0.25">
      <c r="A624" t="s">
        <v>56</v>
      </c>
      <c r="B624" t="s">
        <v>8</v>
      </c>
      <c r="C624">
        <v>100</v>
      </c>
      <c r="D624">
        <v>1000</v>
      </c>
      <c r="E624">
        <v>1E-3</v>
      </c>
      <c r="F624" t="s">
        <v>6</v>
      </c>
      <c r="G624" t="s">
        <v>4</v>
      </c>
      <c r="H624">
        <v>50</v>
      </c>
      <c r="I624">
        <v>100</v>
      </c>
      <c r="J624" t="s">
        <v>10</v>
      </c>
      <c r="K624">
        <v>23</v>
      </c>
      <c r="L624">
        <v>3.5</v>
      </c>
      <c r="M624">
        <v>23.117000000000001</v>
      </c>
      <c r="N624">
        <v>3.4655999999999998</v>
      </c>
      <c r="O624" t="s">
        <v>1758</v>
      </c>
    </row>
    <row r="625" spans="1:15" x14ac:dyDescent="0.25">
      <c r="A625" t="s">
        <v>56</v>
      </c>
      <c r="B625" t="s">
        <v>8</v>
      </c>
      <c r="C625">
        <v>100</v>
      </c>
      <c r="D625">
        <v>1000</v>
      </c>
      <c r="E625">
        <v>1E-3</v>
      </c>
      <c r="F625" t="s">
        <v>6</v>
      </c>
      <c r="G625" t="s">
        <v>4</v>
      </c>
      <c r="H625">
        <v>1</v>
      </c>
      <c r="I625">
        <v>20</v>
      </c>
      <c r="J625" t="s">
        <v>10</v>
      </c>
      <c r="K625">
        <v>23</v>
      </c>
      <c r="L625">
        <v>0.7</v>
      </c>
      <c r="M625">
        <v>23.062999999999999</v>
      </c>
      <c r="N625">
        <v>0.69386000000000003</v>
      </c>
      <c r="O625" t="s">
        <v>2630</v>
      </c>
    </row>
    <row r="626" spans="1:15" x14ac:dyDescent="0.25">
      <c r="A626" t="s">
        <v>56</v>
      </c>
      <c r="B626" t="s">
        <v>8</v>
      </c>
      <c r="C626">
        <v>100</v>
      </c>
      <c r="D626">
        <v>1000</v>
      </c>
      <c r="E626">
        <v>1E-3</v>
      </c>
      <c r="F626" t="s">
        <v>6</v>
      </c>
      <c r="G626" t="s">
        <v>4</v>
      </c>
      <c r="H626">
        <v>20</v>
      </c>
      <c r="I626">
        <v>50</v>
      </c>
      <c r="J626" t="s">
        <v>10</v>
      </c>
      <c r="K626">
        <v>23</v>
      </c>
      <c r="L626">
        <v>1.4</v>
      </c>
      <c r="M626">
        <v>22.896000000000001</v>
      </c>
      <c r="N626">
        <v>1.3895999999999999</v>
      </c>
      <c r="O626" t="s">
        <v>1757</v>
      </c>
    </row>
    <row r="627" spans="1:15" x14ac:dyDescent="0.25">
      <c r="A627" t="s">
        <v>56</v>
      </c>
      <c r="B627" t="s">
        <v>8</v>
      </c>
      <c r="C627">
        <v>100</v>
      </c>
      <c r="D627">
        <v>1000</v>
      </c>
      <c r="E627">
        <v>0.01</v>
      </c>
      <c r="F627" t="s">
        <v>6</v>
      </c>
      <c r="G627" t="s">
        <v>4</v>
      </c>
      <c r="H627">
        <v>50</v>
      </c>
      <c r="I627">
        <v>100</v>
      </c>
      <c r="J627" t="s">
        <v>10</v>
      </c>
      <c r="K627">
        <v>23</v>
      </c>
      <c r="L627">
        <v>3.5</v>
      </c>
      <c r="M627">
        <v>23.152999999999999</v>
      </c>
      <c r="N627">
        <v>3.4655999999999998</v>
      </c>
      <c r="O627" t="s">
        <v>2633</v>
      </c>
    </row>
    <row r="628" spans="1:15" x14ac:dyDescent="0.25">
      <c r="A628" t="s">
        <v>56</v>
      </c>
      <c r="B628" t="s">
        <v>8</v>
      </c>
      <c r="C628">
        <v>100</v>
      </c>
      <c r="D628">
        <v>330</v>
      </c>
      <c r="E628">
        <v>0.01</v>
      </c>
      <c r="F628" t="s">
        <v>6</v>
      </c>
      <c r="G628" t="s">
        <v>4</v>
      </c>
      <c r="H628">
        <v>1E-3</v>
      </c>
      <c r="I628">
        <v>0.04</v>
      </c>
      <c r="J628" t="s">
        <v>10</v>
      </c>
      <c r="K628">
        <v>48</v>
      </c>
      <c r="L628">
        <v>0.46128999999999998</v>
      </c>
      <c r="M628">
        <v>46.341000000000001</v>
      </c>
      <c r="N628">
        <v>0.46283000000000002</v>
      </c>
      <c r="O628" t="s">
        <v>1765</v>
      </c>
    </row>
    <row r="629" spans="1:15" x14ac:dyDescent="0.25">
      <c r="A629" t="s">
        <v>56</v>
      </c>
      <c r="B629" t="s">
        <v>8</v>
      </c>
      <c r="C629">
        <v>100</v>
      </c>
      <c r="D629">
        <v>1000</v>
      </c>
      <c r="E629">
        <v>0.01</v>
      </c>
      <c r="F629" t="s">
        <v>6</v>
      </c>
      <c r="G629" t="s">
        <v>4</v>
      </c>
      <c r="H629">
        <v>1</v>
      </c>
      <c r="I629">
        <v>20</v>
      </c>
      <c r="J629" t="s">
        <v>10</v>
      </c>
      <c r="K629">
        <v>23</v>
      </c>
      <c r="L629">
        <v>0.7</v>
      </c>
      <c r="M629">
        <v>23.256</v>
      </c>
      <c r="N629">
        <v>0.69369000000000003</v>
      </c>
      <c r="O629" t="s">
        <v>2631</v>
      </c>
    </row>
    <row r="630" spans="1:15" x14ac:dyDescent="0.25">
      <c r="A630" t="s">
        <v>56</v>
      </c>
      <c r="B630" t="s">
        <v>8</v>
      </c>
      <c r="C630">
        <v>100</v>
      </c>
      <c r="D630">
        <v>330</v>
      </c>
      <c r="E630">
        <v>0.01</v>
      </c>
      <c r="F630" t="s">
        <v>6</v>
      </c>
      <c r="G630" t="s">
        <v>4</v>
      </c>
      <c r="H630">
        <v>20</v>
      </c>
      <c r="I630">
        <v>50</v>
      </c>
      <c r="J630" t="s">
        <v>10</v>
      </c>
      <c r="K630">
        <v>23</v>
      </c>
      <c r="L630">
        <v>1.4</v>
      </c>
      <c r="M630">
        <v>23.187999999999999</v>
      </c>
      <c r="N630">
        <v>1.3875999999999999</v>
      </c>
      <c r="O630" t="s">
        <v>1766</v>
      </c>
    </row>
    <row r="631" spans="1:15" x14ac:dyDescent="0.25">
      <c r="A631" t="s">
        <v>56</v>
      </c>
      <c r="B631" t="s">
        <v>8</v>
      </c>
      <c r="C631">
        <v>100</v>
      </c>
      <c r="D631">
        <v>1000</v>
      </c>
      <c r="E631">
        <v>0.01</v>
      </c>
      <c r="F631" t="s">
        <v>6</v>
      </c>
      <c r="G631" t="s">
        <v>4</v>
      </c>
      <c r="H631">
        <v>20</v>
      </c>
      <c r="I631">
        <v>50</v>
      </c>
      <c r="J631" t="s">
        <v>10</v>
      </c>
      <c r="K631">
        <v>23</v>
      </c>
      <c r="L631">
        <v>1.4</v>
      </c>
      <c r="M631">
        <v>23.007000000000001</v>
      </c>
      <c r="N631">
        <v>1.3895</v>
      </c>
      <c r="O631" t="s">
        <v>1762</v>
      </c>
    </row>
    <row r="632" spans="1:15" x14ac:dyDescent="0.25">
      <c r="A632" t="s">
        <v>56</v>
      </c>
      <c r="B632" t="s">
        <v>8</v>
      </c>
      <c r="C632">
        <v>100</v>
      </c>
      <c r="D632">
        <v>330</v>
      </c>
      <c r="E632">
        <v>0.01</v>
      </c>
      <c r="F632" t="s">
        <v>6</v>
      </c>
      <c r="G632" t="s">
        <v>4</v>
      </c>
      <c r="H632">
        <v>50</v>
      </c>
      <c r="I632">
        <v>100</v>
      </c>
      <c r="J632" t="s">
        <v>10</v>
      </c>
      <c r="K632">
        <v>23</v>
      </c>
      <c r="L632">
        <v>3.5</v>
      </c>
      <c r="M632">
        <v>23.164000000000001</v>
      </c>
      <c r="N632">
        <v>3.4655</v>
      </c>
      <c r="O632" t="s">
        <v>1763</v>
      </c>
    </row>
    <row r="633" spans="1:15" x14ac:dyDescent="0.25">
      <c r="A633" t="s">
        <v>56</v>
      </c>
      <c r="B633" t="s">
        <v>8</v>
      </c>
      <c r="C633">
        <v>100</v>
      </c>
      <c r="D633">
        <v>330</v>
      </c>
      <c r="E633">
        <v>0.01</v>
      </c>
      <c r="F633" t="s">
        <v>6</v>
      </c>
      <c r="G633" t="s">
        <v>4</v>
      </c>
      <c r="H633">
        <v>0.04</v>
      </c>
      <c r="I633">
        <v>1</v>
      </c>
      <c r="J633" t="s">
        <v>10</v>
      </c>
      <c r="K633">
        <v>25</v>
      </c>
      <c r="L633">
        <v>0.46116000000000001</v>
      </c>
      <c r="M633">
        <v>23.338000000000001</v>
      </c>
      <c r="N633">
        <v>0.46273999999999998</v>
      </c>
      <c r="O633" t="s">
        <v>2632</v>
      </c>
    </row>
    <row r="634" spans="1:15" x14ac:dyDescent="0.25">
      <c r="A634" t="s">
        <v>56</v>
      </c>
      <c r="B634" t="s">
        <v>8</v>
      </c>
      <c r="C634">
        <v>100</v>
      </c>
      <c r="D634">
        <v>330</v>
      </c>
      <c r="E634">
        <v>0.01</v>
      </c>
      <c r="F634" t="s">
        <v>6</v>
      </c>
      <c r="G634" t="s">
        <v>4</v>
      </c>
      <c r="H634">
        <v>1</v>
      </c>
      <c r="I634">
        <v>20</v>
      </c>
      <c r="J634" t="s">
        <v>10</v>
      </c>
      <c r="K634">
        <v>23</v>
      </c>
      <c r="L634">
        <v>0.7</v>
      </c>
      <c r="M634">
        <v>23.291</v>
      </c>
      <c r="N634">
        <v>0.69333999999999996</v>
      </c>
      <c r="O634" t="s">
        <v>1764</v>
      </c>
    </row>
    <row r="635" spans="1:15" x14ac:dyDescent="0.25">
      <c r="A635" t="s">
        <v>56</v>
      </c>
      <c r="B635" t="s">
        <v>8</v>
      </c>
      <c r="C635">
        <v>100</v>
      </c>
      <c r="D635">
        <v>330</v>
      </c>
      <c r="E635">
        <v>0.1</v>
      </c>
      <c r="F635" t="s">
        <v>6</v>
      </c>
      <c r="G635" t="s">
        <v>4</v>
      </c>
      <c r="H635">
        <v>20</v>
      </c>
      <c r="I635">
        <v>50</v>
      </c>
      <c r="J635" t="s">
        <v>10</v>
      </c>
      <c r="K635">
        <v>35.929000000000002</v>
      </c>
      <c r="L635">
        <v>1.3608</v>
      </c>
      <c r="M635">
        <v>35.878</v>
      </c>
      <c r="N635">
        <v>1.3594999999999999</v>
      </c>
      <c r="O635" t="s">
        <v>1773</v>
      </c>
    </row>
    <row r="636" spans="1:15" x14ac:dyDescent="0.25">
      <c r="A636" t="s">
        <v>56</v>
      </c>
      <c r="B636" t="s">
        <v>8</v>
      </c>
      <c r="C636">
        <v>100</v>
      </c>
      <c r="D636">
        <v>1000</v>
      </c>
      <c r="E636">
        <v>0.1</v>
      </c>
      <c r="F636" t="s">
        <v>6</v>
      </c>
      <c r="G636" t="s">
        <v>4</v>
      </c>
      <c r="H636">
        <v>20</v>
      </c>
      <c r="I636">
        <v>50</v>
      </c>
      <c r="J636" t="s">
        <v>10</v>
      </c>
      <c r="K636">
        <v>33.01</v>
      </c>
      <c r="L636">
        <v>1.39</v>
      </c>
      <c r="M636">
        <v>33.875</v>
      </c>
      <c r="N636">
        <v>1.3797999999999999</v>
      </c>
      <c r="O636" t="s">
        <v>1770</v>
      </c>
    </row>
    <row r="637" spans="1:15" x14ac:dyDescent="0.25">
      <c r="A637" t="s">
        <v>56</v>
      </c>
      <c r="B637" t="s">
        <v>8</v>
      </c>
      <c r="C637">
        <v>100</v>
      </c>
      <c r="D637">
        <v>330</v>
      </c>
      <c r="E637">
        <v>0.1</v>
      </c>
      <c r="F637" t="s">
        <v>6</v>
      </c>
      <c r="G637" t="s">
        <v>4</v>
      </c>
      <c r="H637">
        <v>50</v>
      </c>
      <c r="I637">
        <v>100</v>
      </c>
      <c r="J637" t="s">
        <v>10</v>
      </c>
      <c r="K637">
        <v>24.914000000000001</v>
      </c>
      <c r="L637">
        <v>3.4942000000000002</v>
      </c>
      <c r="M637">
        <v>28.927</v>
      </c>
      <c r="N637">
        <v>3.4523000000000001</v>
      </c>
      <c r="O637" t="s">
        <v>1768</v>
      </c>
    </row>
    <row r="638" spans="1:15" x14ac:dyDescent="0.25">
      <c r="A638" t="s">
        <v>56</v>
      </c>
      <c r="B638" t="s">
        <v>8</v>
      </c>
      <c r="C638">
        <v>100</v>
      </c>
      <c r="D638">
        <v>330</v>
      </c>
      <c r="E638">
        <v>0.1</v>
      </c>
      <c r="F638" t="s">
        <v>6</v>
      </c>
      <c r="G638" t="s">
        <v>4</v>
      </c>
      <c r="H638">
        <v>1</v>
      </c>
      <c r="I638">
        <v>20</v>
      </c>
      <c r="J638" t="s">
        <v>10</v>
      </c>
      <c r="K638">
        <v>44.082999999999998</v>
      </c>
      <c r="L638">
        <v>0.65012000000000003</v>
      </c>
      <c r="M638">
        <v>43.963000000000001</v>
      </c>
      <c r="N638">
        <v>0.65027999999999997</v>
      </c>
      <c r="O638" t="s">
        <v>1769</v>
      </c>
    </row>
    <row r="639" spans="1:15" x14ac:dyDescent="0.25">
      <c r="A639" t="s">
        <v>56</v>
      </c>
      <c r="B639" t="s">
        <v>8</v>
      </c>
      <c r="C639">
        <v>100</v>
      </c>
      <c r="D639">
        <v>1000</v>
      </c>
      <c r="E639">
        <v>0.1</v>
      </c>
      <c r="F639" t="s">
        <v>6</v>
      </c>
      <c r="G639" t="s">
        <v>4</v>
      </c>
      <c r="H639">
        <v>1</v>
      </c>
      <c r="I639">
        <v>20</v>
      </c>
      <c r="J639" t="s">
        <v>10</v>
      </c>
      <c r="K639">
        <v>40.883000000000003</v>
      </c>
      <c r="L639">
        <v>0.68211999999999995</v>
      </c>
      <c r="M639">
        <v>41.185000000000002</v>
      </c>
      <c r="N639">
        <v>0.67806</v>
      </c>
      <c r="O639" t="s">
        <v>1767</v>
      </c>
    </row>
    <row r="640" spans="1:15" x14ac:dyDescent="0.25">
      <c r="A640" t="s">
        <v>56</v>
      </c>
      <c r="B640" t="s">
        <v>8</v>
      </c>
      <c r="C640">
        <v>100</v>
      </c>
      <c r="D640">
        <v>330</v>
      </c>
      <c r="E640">
        <v>0.1</v>
      </c>
      <c r="F640" t="s">
        <v>6</v>
      </c>
      <c r="G640" t="s">
        <v>4</v>
      </c>
      <c r="H640">
        <v>0.04</v>
      </c>
      <c r="I640">
        <v>1</v>
      </c>
      <c r="J640" t="s">
        <v>10</v>
      </c>
      <c r="K640">
        <v>49.031999999999996</v>
      </c>
      <c r="L640">
        <v>0.41284999999999999</v>
      </c>
      <c r="M640">
        <v>48.982999999999997</v>
      </c>
      <c r="N640">
        <v>0.41271000000000002</v>
      </c>
      <c r="O640" t="s">
        <v>1772</v>
      </c>
    </row>
    <row r="641" spans="1:15" x14ac:dyDescent="0.25">
      <c r="A641" t="s">
        <v>56</v>
      </c>
      <c r="B641" t="s">
        <v>8</v>
      </c>
      <c r="C641">
        <v>100</v>
      </c>
      <c r="D641">
        <v>330</v>
      </c>
      <c r="E641">
        <v>0.1</v>
      </c>
      <c r="F641" t="s">
        <v>6</v>
      </c>
      <c r="G641" t="s">
        <v>4</v>
      </c>
      <c r="H641">
        <v>1E-3</v>
      </c>
      <c r="I641">
        <v>0.04</v>
      </c>
      <c r="J641" t="s">
        <v>10</v>
      </c>
      <c r="K641">
        <v>66.331999999999994</v>
      </c>
      <c r="L641">
        <v>0.42712</v>
      </c>
      <c r="M641">
        <v>66.293999999999997</v>
      </c>
      <c r="N641">
        <v>0.42698000000000003</v>
      </c>
      <c r="O641" t="s">
        <v>1771</v>
      </c>
    </row>
    <row r="642" spans="1:15" x14ac:dyDescent="0.25">
      <c r="A642" t="s">
        <v>56</v>
      </c>
      <c r="B642" t="s">
        <v>8</v>
      </c>
      <c r="C642">
        <v>100</v>
      </c>
      <c r="D642">
        <v>1000</v>
      </c>
      <c r="E642">
        <v>0.1</v>
      </c>
      <c r="F642" t="s">
        <v>6</v>
      </c>
      <c r="G642" t="s">
        <v>4</v>
      </c>
      <c r="H642">
        <v>50</v>
      </c>
      <c r="I642">
        <v>100</v>
      </c>
      <c r="J642" t="s">
        <v>10</v>
      </c>
      <c r="K642">
        <v>24.483000000000001</v>
      </c>
      <c r="L642">
        <v>3.4984999999999999</v>
      </c>
      <c r="M642">
        <v>28.03</v>
      </c>
      <c r="N642">
        <v>3.4611999999999998</v>
      </c>
      <c r="O642" t="s">
        <v>2634</v>
      </c>
    </row>
    <row r="643" spans="1:15" x14ac:dyDescent="0.25">
      <c r="A643" t="s">
        <v>56</v>
      </c>
      <c r="B643" t="s">
        <v>8</v>
      </c>
      <c r="C643">
        <v>100</v>
      </c>
      <c r="D643">
        <v>1000</v>
      </c>
      <c r="E643">
        <v>1</v>
      </c>
      <c r="F643" t="s">
        <v>6</v>
      </c>
      <c r="G643" t="s">
        <v>4</v>
      </c>
      <c r="H643">
        <v>20</v>
      </c>
      <c r="I643">
        <v>50</v>
      </c>
      <c r="J643" t="s">
        <v>10</v>
      </c>
      <c r="K643">
        <v>496.92</v>
      </c>
      <c r="L643">
        <v>1.0291999999999999</v>
      </c>
      <c r="M643">
        <v>496.68</v>
      </c>
      <c r="N643">
        <v>1.0293000000000001</v>
      </c>
      <c r="O643" t="s">
        <v>1775</v>
      </c>
    </row>
    <row r="644" spans="1:15" x14ac:dyDescent="0.25">
      <c r="A644" t="s">
        <v>56</v>
      </c>
      <c r="B644" t="s">
        <v>8</v>
      </c>
      <c r="C644">
        <v>100</v>
      </c>
      <c r="D644">
        <v>330</v>
      </c>
      <c r="E644">
        <v>1</v>
      </c>
      <c r="F644" t="s">
        <v>6</v>
      </c>
      <c r="G644" t="s">
        <v>4</v>
      </c>
      <c r="H644">
        <v>1E-3</v>
      </c>
      <c r="I644">
        <v>0.04</v>
      </c>
      <c r="J644" t="s">
        <v>10</v>
      </c>
      <c r="K644">
        <v>573.41999999999996</v>
      </c>
      <c r="L644">
        <v>0.11327</v>
      </c>
      <c r="M644">
        <v>573.41999999999996</v>
      </c>
      <c r="N644">
        <v>0.11294</v>
      </c>
      <c r="O644" t="s">
        <v>1778</v>
      </c>
    </row>
    <row r="645" spans="1:15" x14ac:dyDescent="0.25">
      <c r="A645" t="s">
        <v>56</v>
      </c>
      <c r="B645" t="s">
        <v>8</v>
      </c>
      <c r="C645">
        <v>100</v>
      </c>
      <c r="D645">
        <v>1000</v>
      </c>
      <c r="E645">
        <v>1</v>
      </c>
      <c r="F645" t="s">
        <v>6</v>
      </c>
      <c r="G645" t="s">
        <v>4</v>
      </c>
      <c r="H645">
        <v>50</v>
      </c>
      <c r="I645">
        <v>100</v>
      </c>
      <c r="J645" t="s">
        <v>10</v>
      </c>
      <c r="K645">
        <v>369.25</v>
      </c>
      <c r="L645">
        <v>3.1671</v>
      </c>
      <c r="M645">
        <v>368.87</v>
      </c>
      <c r="N645">
        <v>3.1673</v>
      </c>
      <c r="O645" t="s">
        <v>2635</v>
      </c>
    </row>
    <row r="646" spans="1:15" x14ac:dyDescent="0.25">
      <c r="A646" t="s">
        <v>56</v>
      </c>
      <c r="B646" t="s">
        <v>8</v>
      </c>
      <c r="C646">
        <v>100</v>
      </c>
      <c r="D646">
        <v>1000</v>
      </c>
      <c r="E646">
        <v>1</v>
      </c>
      <c r="F646" t="s">
        <v>6</v>
      </c>
      <c r="G646" t="s">
        <v>4</v>
      </c>
      <c r="H646">
        <v>1</v>
      </c>
      <c r="I646">
        <v>20</v>
      </c>
      <c r="J646" t="s">
        <v>10</v>
      </c>
      <c r="K646">
        <v>547.47</v>
      </c>
      <c r="L646">
        <v>0.37317</v>
      </c>
      <c r="M646">
        <v>547.4</v>
      </c>
      <c r="N646">
        <v>0.37309999999999999</v>
      </c>
      <c r="O646" t="s">
        <v>1776</v>
      </c>
    </row>
    <row r="647" spans="1:15" x14ac:dyDescent="0.25">
      <c r="A647" t="s">
        <v>56</v>
      </c>
      <c r="B647" t="s">
        <v>8</v>
      </c>
      <c r="C647">
        <v>100</v>
      </c>
      <c r="D647">
        <v>330</v>
      </c>
      <c r="E647">
        <v>1</v>
      </c>
      <c r="F647" t="s">
        <v>6</v>
      </c>
      <c r="G647" t="s">
        <v>4</v>
      </c>
      <c r="H647">
        <v>50</v>
      </c>
      <c r="I647">
        <v>100</v>
      </c>
      <c r="J647" t="s">
        <v>10</v>
      </c>
      <c r="K647">
        <v>418.09</v>
      </c>
      <c r="L647">
        <v>2.6787000000000001</v>
      </c>
      <c r="M647">
        <v>417.63</v>
      </c>
      <c r="N647">
        <v>2.6793</v>
      </c>
      <c r="O647" t="s">
        <v>1774</v>
      </c>
    </row>
    <row r="648" spans="1:15" x14ac:dyDescent="0.25">
      <c r="A648" t="s">
        <v>56</v>
      </c>
      <c r="B648" t="s">
        <v>8</v>
      </c>
      <c r="C648">
        <v>100</v>
      </c>
      <c r="D648">
        <v>330</v>
      </c>
      <c r="E648">
        <v>1</v>
      </c>
      <c r="F648" t="s">
        <v>6</v>
      </c>
      <c r="G648" t="s">
        <v>4</v>
      </c>
      <c r="H648">
        <v>1</v>
      </c>
      <c r="I648">
        <v>20</v>
      </c>
      <c r="J648" t="s">
        <v>10</v>
      </c>
      <c r="K648">
        <v>565.1</v>
      </c>
      <c r="L648">
        <v>0.19691</v>
      </c>
      <c r="M648">
        <v>565.03</v>
      </c>
      <c r="N648">
        <v>0.19677</v>
      </c>
      <c r="O648" t="s">
        <v>1777</v>
      </c>
    </row>
    <row r="649" spans="1:15" x14ac:dyDescent="0.25">
      <c r="A649" t="s">
        <v>56</v>
      </c>
      <c r="B649" t="s">
        <v>8</v>
      </c>
      <c r="C649">
        <v>100</v>
      </c>
      <c r="D649">
        <v>330</v>
      </c>
      <c r="E649">
        <v>1</v>
      </c>
      <c r="F649" t="s">
        <v>6</v>
      </c>
      <c r="G649" t="s">
        <v>4</v>
      </c>
      <c r="H649">
        <v>0.04</v>
      </c>
      <c r="I649">
        <v>1</v>
      </c>
      <c r="J649" t="s">
        <v>10</v>
      </c>
      <c r="K649">
        <v>571.91999999999996</v>
      </c>
      <c r="L649">
        <v>9.6252000000000004E-2</v>
      </c>
      <c r="M649">
        <v>571.91999999999996</v>
      </c>
      <c r="N649">
        <v>9.5921000000000006E-2</v>
      </c>
      <c r="O649" t="s">
        <v>2636</v>
      </c>
    </row>
    <row r="650" spans="1:15" x14ac:dyDescent="0.25">
      <c r="A650" t="s">
        <v>56</v>
      </c>
      <c r="B650" t="s">
        <v>8</v>
      </c>
      <c r="C650">
        <v>100</v>
      </c>
      <c r="D650">
        <v>330</v>
      </c>
      <c r="E650">
        <v>1</v>
      </c>
      <c r="F650" t="s">
        <v>6</v>
      </c>
      <c r="G650" t="s">
        <v>4</v>
      </c>
      <c r="H650">
        <v>20</v>
      </c>
      <c r="I650">
        <v>50</v>
      </c>
      <c r="J650" t="s">
        <v>10</v>
      </c>
      <c r="K650">
        <v>533.77</v>
      </c>
      <c r="L650">
        <v>0.66047</v>
      </c>
      <c r="M650">
        <v>533.57000000000005</v>
      </c>
      <c r="N650">
        <v>0.66042000000000001</v>
      </c>
      <c r="O650" t="s">
        <v>2637</v>
      </c>
    </row>
    <row r="651" spans="1:15" x14ac:dyDescent="0.25">
      <c r="A651" t="s">
        <v>56</v>
      </c>
      <c r="B651" t="s">
        <v>8</v>
      </c>
      <c r="C651">
        <v>330</v>
      </c>
      <c r="D651">
        <v>1000</v>
      </c>
      <c r="E651">
        <v>1E-4</v>
      </c>
      <c r="F651" t="s">
        <v>6</v>
      </c>
      <c r="G651" t="s">
        <v>4</v>
      </c>
      <c r="H651">
        <v>1E-3</v>
      </c>
      <c r="I651">
        <v>0.04</v>
      </c>
      <c r="J651" t="s">
        <v>10</v>
      </c>
      <c r="K651">
        <v>50</v>
      </c>
      <c r="L651">
        <v>0.46</v>
      </c>
      <c r="M651">
        <v>46.106999999999999</v>
      </c>
      <c r="N651">
        <v>0.46338000000000001</v>
      </c>
      <c r="O651" t="s">
        <v>1780</v>
      </c>
    </row>
    <row r="652" spans="1:15" x14ac:dyDescent="0.25">
      <c r="A652" t="s">
        <v>56</v>
      </c>
      <c r="B652" t="s">
        <v>8</v>
      </c>
      <c r="C652">
        <v>330</v>
      </c>
      <c r="D652">
        <v>1000</v>
      </c>
      <c r="E652">
        <v>1E-4</v>
      </c>
      <c r="F652" t="s">
        <v>6</v>
      </c>
      <c r="G652" t="s">
        <v>4</v>
      </c>
      <c r="H652">
        <v>0.04</v>
      </c>
      <c r="I652">
        <v>1</v>
      </c>
      <c r="J652" t="s">
        <v>10</v>
      </c>
      <c r="K652">
        <v>27</v>
      </c>
      <c r="L652">
        <v>0.46</v>
      </c>
      <c r="M652">
        <v>23.030999999999999</v>
      </c>
      <c r="N652">
        <v>0.46343000000000001</v>
      </c>
      <c r="O652" t="s">
        <v>1781</v>
      </c>
    </row>
    <row r="653" spans="1:15" x14ac:dyDescent="0.25">
      <c r="A653" t="s">
        <v>56</v>
      </c>
      <c r="B653" t="s">
        <v>8</v>
      </c>
      <c r="C653">
        <v>330</v>
      </c>
      <c r="D653">
        <v>1000</v>
      </c>
      <c r="E653">
        <v>1E-4</v>
      </c>
      <c r="F653" t="s">
        <v>6</v>
      </c>
      <c r="G653" t="s">
        <v>4</v>
      </c>
      <c r="H653">
        <v>1</v>
      </c>
      <c r="I653">
        <v>10</v>
      </c>
      <c r="J653" t="s">
        <v>10</v>
      </c>
      <c r="K653">
        <v>23</v>
      </c>
      <c r="L653">
        <v>0.7</v>
      </c>
      <c r="M653">
        <v>23.056000000000001</v>
      </c>
      <c r="N653">
        <v>0.69386999999999999</v>
      </c>
      <c r="O653" t="s">
        <v>1779</v>
      </c>
    </row>
    <row r="654" spans="1:15" x14ac:dyDescent="0.25">
      <c r="A654" t="s">
        <v>56</v>
      </c>
      <c r="B654" t="s">
        <v>8</v>
      </c>
      <c r="C654">
        <v>330</v>
      </c>
      <c r="D654">
        <v>1000</v>
      </c>
      <c r="E654">
        <v>1E-3</v>
      </c>
      <c r="F654" t="s">
        <v>6</v>
      </c>
      <c r="G654" t="s">
        <v>4</v>
      </c>
      <c r="H654">
        <v>1</v>
      </c>
      <c r="I654">
        <v>10</v>
      </c>
      <c r="J654" t="s">
        <v>10</v>
      </c>
      <c r="K654">
        <v>23</v>
      </c>
      <c r="L654">
        <v>0.7</v>
      </c>
      <c r="M654">
        <v>23.062999999999999</v>
      </c>
      <c r="N654">
        <v>0.69386000000000003</v>
      </c>
      <c r="O654" t="s">
        <v>2638</v>
      </c>
    </row>
    <row r="655" spans="1:15" x14ac:dyDescent="0.25">
      <c r="A655" t="s">
        <v>56</v>
      </c>
      <c r="B655" t="s">
        <v>8</v>
      </c>
      <c r="C655">
        <v>330</v>
      </c>
      <c r="D655">
        <v>1000</v>
      </c>
      <c r="E655">
        <v>1E-3</v>
      </c>
      <c r="F655" t="s">
        <v>6</v>
      </c>
      <c r="G655" t="s">
        <v>4</v>
      </c>
      <c r="H655">
        <v>1E-3</v>
      </c>
      <c r="I655">
        <v>0.04</v>
      </c>
      <c r="J655" t="s">
        <v>10</v>
      </c>
      <c r="K655">
        <v>50</v>
      </c>
      <c r="L655">
        <v>0.46054</v>
      </c>
      <c r="M655">
        <v>46.107999999999997</v>
      </c>
      <c r="N655">
        <v>0.46338000000000001</v>
      </c>
      <c r="O655" t="s">
        <v>1783</v>
      </c>
    </row>
    <row r="656" spans="1:15" x14ac:dyDescent="0.25">
      <c r="A656" t="s">
        <v>56</v>
      </c>
      <c r="B656" t="s">
        <v>8</v>
      </c>
      <c r="C656">
        <v>330</v>
      </c>
      <c r="D656">
        <v>1000</v>
      </c>
      <c r="E656">
        <v>1E-3</v>
      </c>
      <c r="F656" t="s">
        <v>6</v>
      </c>
      <c r="G656" t="s">
        <v>4</v>
      </c>
      <c r="H656">
        <v>0.04</v>
      </c>
      <c r="I656">
        <v>1</v>
      </c>
      <c r="J656" t="s">
        <v>10</v>
      </c>
      <c r="K656">
        <v>27</v>
      </c>
      <c r="L656">
        <v>0.46050999999999997</v>
      </c>
      <c r="M656">
        <v>23.032</v>
      </c>
      <c r="N656">
        <v>0.46343000000000001</v>
      </c>
      <c r="O656" t="s">
        <v>1782</v>
      </c>
    </row>
    <row r="657" spans="1:15" x14ac:dyDescent="0.25">
      <c r="A657" t="s">
        <v>56</v>
      </c>
      <c r="B657" t="s">
        <v>8</v>
      </c>
      <c r="C657">
        <v>330</v>
      </c>
      <c r="D657">
        <v>1000</v>
      </c>
      <c r="E657">
        <v>0.01</v>
      </c>
      <c r="F657" t="s">
        <v>6</v>
      </c>
      <c r="G657" t="s">
        <v>4</v>
      </c>
      <c r="H657">
        <v>1</v>
      </c>
      <c r="I657">
        <v>10</v>
      </c>
      <c r="J657" t="s">
        <v>10</v>
      </c>
      <c r="K657">
        <v>23</v>
      </c>
      <c r="L657">
        <v>0.7</v>
      </c>
      <c r="M657">
        <v>23.256</v>
      </c>
      <c r="N657">
        <v>0.69369000000000003</v>
      </c>
      <c r="O657" t="s">
        <v>1785</v>
      </c>
    </row>
    <row r="658" spans="1:15" x14ac:dyDescent="0.25">
      <c r="A658" t="s">
        <v>56</v>
      </c>
      <c r="B658" t="s">
        <v>8</v>
      </c>
      <c r="C658">
        <v>330</v>
      </c>
      <c r="D658">
        <v>1000</v>
      </c>
      <c r="E658">
        <v>0.01</v>
      </c>
      <c r="F658" t="s">
        <v>6</v>
      </c>
      <c r="G658" t="s">
        <v>4</v>
      </c>
      <c r="H658">
        <v>0.04</v>
      </c>
      <c r="I658">
        <v>1</v>
      </c>
      <c r="J658" t="s">
        <v>10</v>
      </c>
      <c r="K658">
        <v>27</v>
      </c>
      <c r="L658">
        <v>0.46056000000000002</v>
      </c>
      <c r="M658">
        <v>23.29</v>
      </c>
      <c r="N658">
        <v>0.46321000000000001</v>
      </c>
      <c r="O658" t="s">
        <v>1784</v>
      </c>
    </row>
    <row r="659" spans="1:15" x14ac:dyDescent="0.25">
      <c r="A659" t="s">
        <v>56</v>
      </c>
      <c r="B659" t="s">
        <v>8</v>
      </c>
      <c r="C659">
        <v>330</v>
      </c>
      <c r="D659">
        <v>1000</v>
      </c>
      <c r="E659">
        <v>0.01</v>
      </c>
      <c r="F659" t="s">
        <v>6</v>
      </c>
      <c r="G659" t="s">
        <v>4</v>
      </c>
      <c r="H659">
        <v>1E-3</v>
      </c>
      <c r="I659">
        <v>0.04</v>
      </c>
      <c r="J659" t="s">
        <v>10</v>
      </c>
      <c r="K659">
        <v>50</v>
      </c>
      <c r="L659">
        <v>0.46059</v>
      </c>
      <c r="M659">
        <v>46.301000000000002</v>
      </c>
      <c r="N659">
        <v>0.46322000000000002</v>
      </c>
      <c r="O659" t="s">
        <v>2639</v>
      </c>
    </row>
    <row r="660" spans="1:15" x14ac:dyDescent="0.25">
      <c r="A660" t="s">
        <v>56</v>
      </c>
      <c r="B660" t="s">
        <v>8</v>
      </c>
      <c r="C660">
        <v>330</v>
      </c>
      <c r="D660">
        <v>1000</v>
      </c>
      <c r="E660">
        <v>0.1</v>
      </c>
      <c r="F660" t="s">
        <v>6</v>
      </c>
      <c r="G660" t="s">
        <v>4</v>
      </c>
      <c r="H660">
        <v>0.04</v>
      </c>
      <c r="I660">
        <v>1</v>
      </c>
      <c r="J660" t="s">
        <v>10</v>
      </c>
      <c r="K660">
        <v>45.920999999999999</v>
      </c>
      <c r="L660">
        <v>0.44399</v>
      </c>
      <c r="M660">
        <v>45.854999999999997</v>
      </c>
      <c r="N660">
        <v>0.44402000000000003</v>
      </c>
      <c r="O660" t="s">
        <v>1788</v>
      </c>
    </row>
    <row r="661" spans="1:15" x14ac:dyDescent="0.25">
      <c r="A661" t="s">
        <v>56</v>
      </c>
      <c r="B661" t="s">
        <v>8</v>
      </c>
      <c r="C661">
        <v>330</v>
      </c>
      <c r="D661">
        <v>1000</v>
      </c>
      <c r="E661">
        <v>0.1</v>
      </c>
      <c r="F661" t="s">
        <v>6</v>
      </c>
      <c r="G661" t="s">
        <v>4</v>
      </c>
      <c r="H661">
        <v>1</v>
      </c>
      <c r="I661">
        <v>10</v>
      </c>
      <c r="J661" t="s">
        <v>10</v>
      </c>
      <c r="K661">
        <v>40.883000000000003</v>
      </c>
      <c r="L661">
        <v>0.68211999999999995</v>
      </c>
      <c r="M661">
        <v>41.185000000000002</v>
      </c>
      <c r="N661">
        <v>0.67806</v>
      </c>
      <c r="O661" t="s">
        <v>1786</v>
      </c>
    </row>
    <row r="662" spans="1:15" x14ac:dyDescent="0.25">
      <c r="A662" t="s">
        <v>56</v>
      </c>
      <c r="B662" t="s">
        <v>8</v>
      </c>
      <c r="C662">
        <v>330</v>
      </c>
      <c r="D662">
        <v>1000</v>
      </c>
      <c r="E662">
        <v>0.1</v>
      </c>
      <c r="F662" t="s">
        <v>6</v>
      </c>
      <c r="G662" t="s">
        <v>4</v>
      </c>
      <c r="H662">
        <v>1E-3</v>
      </c>
      <c r="I662">
        <v>0.04</v>
      </c>
      <c r="J662" t="s">
        <v>10</v>
      </c>
      <c r="K662">
        <v>64.183999999999997</v>
      </c>
      <c r="L662">
        <v>0.4486</v>
      </c>
      <c r="M662">
        <v>64.129000000000005</v>
      </c>
      <c r="N662">
        <v>0.44862000000000002</v>
      </c>
      <c r="O662" t="s">
        <v>1787</v>
      </c>
    </row>
    <row r="663" spans="1:15" x14ac:dyDescent="0.25">
      <c r="A663" t="s">
        <v>56</v>
      </c>
      <c r="B663" t="s">
        <v>8</v>
      </c>
      <c r="C663">
        <v>330</v>
      </c>
      <c r="D663">
        <v>1000</v>
      </c>
      <c r="E663">
        <v>1</v>
      </c>
      <c r="F663" t="s">
        <v>6</v>
      </c>
      <c r="G663" t="s">
        <v>4</v>
      </c>
      <c r="H663">
        <v>1</v>
      </c>
      <c r="I663">
        <v>10</v>
      </c>
      <c r="J663" t="s">
        <v>10</v>
      </c>
      <c r="K663">
        <v>547.47</v>
      </c>
      <c r="L663">
        <v>0.37317</v>
      </c>
      <c r="M663">
        <v>547.4</v>
      </c>
      <c r="N663">
        <v>0.37309999999999999</v>
      </c>
      <c r="O663" t="s">
        <v>1789</v>
      </c>
    </row>
    <row r="664" spans="1:15" x14ac:dyDescent="0.25">
      <c r="A664" t="s">
        <v>56</v>
      </c>
      <c r="B664" t="s">
        <v>8</v>
      </c>
      <c r="C664">
        <v>330</v>
      </c>
      <c r="D664">
        <v>1000</v>
      </c>
      <c r="E664">
        <v>1</v>
      </c>
      <c r="F664" t="s">
        <v>6</v>
      </c>
      <c r="G664" t="s">
        <v>4</v>
      </c>
      <c r="H664">
        <v>1E-3</v>
      </c>
      <c r="I664">
        <v>0.04</v>
      </c>
      <c r="J664" t="s">
        <v>10</v>
      </c>
      <c r="K664">
        <v>564.15</v>
      </c>
      <c r="L664">
        <v>0.20594999999999999</v>
      </c>
      <c r="M664">
        <v>564.12</v>
      </c>
      <c r="N664">
        <v>0.20588999999999999</v>
      </c>
      <c r="O664" t="s">
        <v>2640</v>
      </c>
    </row>
    <row r="665" spans="1:15" x14ac:dyDescent="0.25">
      <c r="A665" t="s">
        <v>56</v>
      </c>
      <c r="B665" t="s">
        <v>8</v>
      </c>
      <c r="C665">
        <v>330</v>
      </c>
      <c r="D665">
        <v>1000</v>
      </c>
      <c r="E665">
        <v>1</v>
      </c>
      <c r="F665" t="s">
        <v>6</v>
      </c>
      <c r="G665" t="s">
        <v>4</v>
      </c>
      <c r="H665">
        <v>0.04</v>
      </c>
      <c r="I665">
        <v>1</v>
      </c>
      <c r="J665" t="s">
        <v>10</v>
      </c>
      <c r="K665">
        <v>562.27</v>
      </c>
      <c r="L665">
        <v>0.1928</v>
      </c>
      <c r="M665">
        <v>562.23</v>
      </c>
      <c r="N665">
        <v>0.19273999999999999</v>
      </c>
      <c r="O665" t="s">
        <v>1790</v>
      </c>
    </row>
    <row r="666" spans="1:15" x14ac:dyDescent="0.25">
      <c r="A666" t="s">
        <v>56</v>
      </c>
      <c r="B666" t="s">
        <v>93</v>
      </c>
      <c r="C666">
        <v>-270</v>
      </c>
      <c r="D666">
        <v>149</v>
      </c>
      <c r="E666">
        <v>0.1</v>
      </c>
      <c r="F666" t="s">
        <v>23</v>
      </c>
      <c r="G666" t="s">
        <v>23</v>
      </c>
      <c r="H666">
        <v>0</v>
      </c>
      <c r="I666">
        <v>0</v>
      </c>
      <c r="K666">
        <v>8.0416114999999996E-2</v>
      </c>
      <c r="L666">
        <v>0</v>
      </c>
      <c r="M666">
        <v>6.7383358000000004E-2</v>
      </c>
      <c r="N666">
        <v>0</v>
      </c>
      <c r="O666" t="s">
        <v>623</v>
      </c>
    </row>
    <row r="667" spans="1:15" x14ac:dyDescent="0.25">
      <c r="A667" t="s">
        <v>56</v>
      </c>
      <c r="B667" t="s">
        <v>93</v>
      </c>
      <c r="C667">
        <v>-270</v>
      </c>
      <c r="D667">
        <v>149</v>
      </c>
      <c r="E667">
        <v>1</v>
      </c>
      <c r="F667" t="s">
        <v>23</v>
      </c>
      <c r="G667" t="s">
        <v>23</v>
      </c>
      <c r="H667">
        <v>0</v>
      </c>
      <c r="I667">
        <v>0</v>
      </c>
      <c r="K667">
        <v>0.585017483</v>
      </c>
      <c r="L667">
        <v>0</v>
      </c>
      <c r="M667">
        <v>0.578394776</v>
      </c>
      <c r="N667">
        <v>0</v>
      </c>
      <c r="O667" t="s">
        <v>624</v>
      </c>
    </row>
    <row r="668" spans="1:15" x14ac:dyDescent="0.25">
      <c r="A668" t="s">
        <v>56</v>
      </c>
      <c r="B668" t="s">
        <v>93</v>
      </c>
      <c r="C668">
        <v>149.001</v>
      </c>
      <c r="D668">
        <v>593</v>
      </c>
      <c r="E668">
        <v>0.1</v>
      </c>
      <c r="F668" t="s">
        <v>23</v>
      </c>
      <c r="G668" t="s">
        <v>23</v>
      </c>
      <c r="H668">
        <v>0</v>
      </c>
      <c r="I668">
        <v>0</v>
      </c>
      <c r="K668">
        <v>6.9131376999999994E-2</v>
      </c>
      <c r="L668">
        <v>0</v>
      </c>
      <c r="M668">
        <v>6.7565681000000002E-2</v>
      </c>
      <c r="N668">
        <v>0</v>
      </c>
      <c r="O668" t="s">
        <v>625</v>
      </c>
    </row>
    <row r="669" spans="1:15" x14ac:dyDescent="0.25">
      <c r="A669" t="s">
        <v>56</v>
      </c>
      <c r="B669" t="s">
        <v>93</v>
      </c>
      <c r="C669">
        <v>149.001</v>
      </c>
      <c r="D669">
        <v>593</v>
      </c>
      <c r="E669">
        <v>1</v>
      </c>
      <c r="F669" t="s">
        <v>23</v>
      </c>
      <c r="G669" t="s">
        <v>23</v>
      </c>
      <c r="H669">
        <v>0</v>
      </c>
      <c r="I669">
        <v>0</v>
      </c>
      <c r="K669">
        <v>0.57915561400000004</v>
      </c>
      <c r="L669">
        <v>0</v>
      </c>
      <c r="M669">
        <v>0.57841604499999999</v>
      </c>
      <c r="N669">
        <v>0</v>
      </c>
      <c r="O669" t="s">
        <v>626</v>
      </c>
    </row>
    <row r="670" spans="1:15" x14ac:dyDescent="0.25">
      <c r="A670" t="s">
        <v>56</v>
      </c>
      <c r="B670" t="s">
        <v>93</v>
      </c>
      <c r="C670">
        <v>593.00099999999998</v>
      </c>
      <c r="D670">
        <v>1000</v>
      </c>
      <c r="E670">
        <v>0.1</v>
      </c>
      <c r="F670" t="s">
        <v>23</v>
      </c>
      <c r="G670" t="s">
        <v>23</v>
      </c>
      <c r="H670">
        <v>0</v>
      </c>
      <c r="I670">
        <v>0</v>
      </c>
      <c r="K670">
        <v>7.1535916000000005E-2</v>
      </c>
      <c r="L670">
        <v>0</v>
      </c>
      <c r="M670">
        <v>7.0024005E-2</v>
      </c>
      <c r="N670">
        <v>0</v>
      </c>
      <c r="O670" t="s">
        <v>627</v>
      </c>
    </row>
    <row r="671" spans="1:15" x14ac:dyDescent="0.25">
      <c r="A671" t="s">
        <v>56</v>
      </c>
      <c r="B671" t="s">
        <v>93</v>
      </c>
      <c r="C671">
        <v>593.00099999999998</v>
      </c>
      <c r="D671">
        <v>1000</v>
      </c>
      <c r="E671">
        <v>1</v>
      </c>
      <c r="F671" t="s">
        <v>23</v>
      </c>
      <c r="G671" t="s">
        <v>23</v>
      </c>
      <c r="H671">
        <v>0</v>
      </c>
      <c r="I671">
        <v>0</v>
      </c>
      <c r="K671">
        <v>0.57944755199999998</v>
      </c>
      <c r="L671">
        <v>0</v>
      </c>
      <c r="M671">
        <v>0.57870835600000003</v>
      </c>
      <c r="N671">
        <v>0</v>
      </c>
      <c r="O671" t="s">
        <v>628</v>
      </c>
    </row>
    <row r="672" spans="1:15" x14ac:dyDescent="0.25">
      <c r="A672" t="s">
        <v>56</v>
      </c>
      <c r="B672" t="s">
        <v>92</v>
      </c>
      <c r="C672">
        <v>-210</v>
      </c>
      <c r="D672">
        <v>259.99900000000002</v>
      </c>
      <c r="E672">
        <v>0.1</v>
      </c>
      <c r="F672" t="s">
        <v>23</v>
      </c>
      <c r="G672" t="s">
        <v>23</v>
      </c>
      <c r="H672">
        <v>0</v>
      </c>
      <c r="I672">
        <v>0</v>
      </c>
      <c r="K672">
        <v>9.1700324999999999E-2</v>
      </c>
      <c r="L672">
        <v>0</v>
      </c>
      <c r="M672">
        <v>7.0601223000000005E-2</v>
      </c>
      <c r="N672">
        <v>0</v>
      </c>
      <c r="O672" t="s">
        <v>617</v>
      </c>
    </row>
    <row r="673" spans="1:15" x14ac:dyDescent="0.25">
      <c r="A673" t="s">
        <v>56</v>
      </c>
      <c r="B673" t="s">
        <v>92</v>
      </c>
      <c r="C673">
        <v>-210</v>
      </c>
      <c r="D673">
        <v>259.99900000000002</v>
      </c>
      <c r="E673">
        <v>1</v>
      </c>
      <c r="F673" t="s">
        <v>23</v>
      </c>
      <c r="G673" t="s">
        <v>23</v>
      </c>
      <c r="H673">
        <v>0</v>
      </c>
      <c r="I673">
        <v>0</v>
      </c>
      <c r="K673">
        <v>0.59049318399999995</v>
      </c>
      <c r="L673">
        <v>0</v>
      </c>
      <c r="M673">
        <v>0.57877848300000001</v>
      </c>
      <c r="N673">
        <v>0</v>
      </c>
      <c r="O673" t="s">
        <v>618</v>
      </c>
    </row>
    <row r="674" spans="1:15" x14ac:dyDescent="0.25">
      <c r="A674" t="s">
        <v>56</v>
      </c>
      <c r="B674" t="s">
        <v>92</v>
      </c>
      <c r="C674">
        <v>260</v>
      </c>
      <c r="D674">
        <v>732</v>
      </c>
      <c r="E674">
        <v>0.1</v>
      </c>
      <c r="F674" t="s">
        <v>23</v>
      </c>
      <c r="G674" t="s">
        <v>23</v>
      </c>
      <c r="H674">
        <v>0</v>
      </c>
      <c r="I674">
        <v>0</v>
      </c>
      <c r="K674">
        <v>7.3715325999999998E-2</v>
      </c>
      <c r="L674">
        <v>0</v>
      </c>
      <c r="M674">
        <v>6.8215379000000007E-2</v>
      </c>
      <c r="N674">
        <v>0</v>
      </c>
      <c r="O674" t="s">
        <v>619</v>
      </c>
    </row>
    <row r="675" spans="1:15" x14ac:dyDescent="0.25">
      <c r="A675" t="s">
        <v>56</v>
      </c>
      <c r="B675" t="s">
        <v>92</v>
      </c>
      <c r="C675">
        <v>260</v>
      </c>
      <c r="D675">
        <v>732</v>
      </c>
      <c r="E675">
        <v>1</v>
      </c>
      <c r="F675" t="s">
        <v>23</v>
      </c>
      <c r="G675" t="s">
        <v>23</v>
      </c>
      <c r="H675">
        <v>0</v>
      </c>
      <c r="I675">
        <v>0</v>
      </c>
      <c r="K675">
        <v>0.58165565500000005</v>
      </c>
      <c r="L675">
        <v>0</v>
      </c>
      <c r="M675">
        <v>0.57849229700000004</v>
      </c>
      <c r="N675">
        <v>0</v>
      </c>
      <c r="O675" t="s">
        <v>620</v>
      </c>
    </row>
    <row r="676" spans="1:15" x14ac:dyDescent="0.25">
      <c r="A676" t="s">
        <v>56</v>
      </c>
      <c r="B676" t="s">
        <v>92</v>
      </c>
      <c r="C676">
        <v>732.00099999999998</v>
      </c>
      <c r="D676">
        <v>1200</v>
      </c>
      <c r="E676">
        <v>0.1</v>
      </c>
      <c r="F676" t="s">
        <v>23</v>
      </c>
      <c r="G676" t="s">
        <v>23</v>
      </c>
      <c r="H676">
        <v>0</v>
      </c>
      <c r="I676">
        <v>0</v>
      </c>
      <c r="K676">
        <v>7.6446990000000006E-2</v>
      </c>
      <c r="L676">
        <v>0</v>
      </c>
      <c r="M676">
        <v>7.1753449999999996E-2</v>
      </c>
      <c r="N676">
        <v>0</v>
      </c>
      <c r="O676" t="s">
        <v>621</v>
      </c>
    </row>
    <row r="677" spans="1:15" x14ac:dyDescent="0.25">
      <c r="A677" t="s">
        <v>56</v>
      </c>
      <c r="B677" t="s">
        <v>92</v>
      </c>
      <c r="C677">
        <v>732.00099999999998</v>
      </c>
      <c r="D677">
        <v>1200</v>
      </c>
      <c r="E677">
        <v>1</v>
      </c>
      <c r="F677" t="s">
        <v>23</v>
      </c>
      <c r="G677" t="s">
        <v>23</v>
      </c>
      <c r="H677">
        <v>0</v>
      </c>
      <c r="I677">
        <v>0</v>
      </c>
      <c r="K677">
        <v>0.58131823999999999</v>
      </c>
      <c r="L677">
        <v>0</v>
      </c>
      <c r="M677">
        <v>0.57892016499999999</v>
      </c>
      <c r="N677">
        <v>0</v>
      </c>
      <c r="O677" t="s">
        <v>622</v>
      </c>
    </row>
    <row r="678" spans="1:15" x14ac:dyDescent="0.25">
      <c r="A678" t="s">
        <v>56</v>
      </c>
      <c r="B678" t="s">
        <v>91</v>
      </c>
      <c r="C678">
        <v>-270</v>
      </c>
      <c r="D678">
        <v>-240.001</v>
      </c>
      <c r="E678">
        <v>0.1</v>
      </c>
      <c r="F678" t="s">
        <v>23</v>
      </c>
      <c r="G678" t="s">
        <v>23</v>
      </c>
      <c r="H678">
        <v>0</v>
      </c>
      <c r="I678">
        <v>0</v>
      </c>
      <c r="K678">
        <v>0.45662971600000002</v>
      </c>
      <c r="L678">
        <v>0</v>
      </c>
      <c r="M678">
        <v>0.45079213899999998</v>
      </c>
      <c r="N678">
        <v>0</v>
      </c>
      <c r="O678" t="s">
        <v>609</v>
      </c>
    </row>
    <row r="679" spans="1:15" x14ac:dyDescent="0.25">
      <c r="A679" t="s">
        <v>56</v>
      </c>
      <c r="B679" t="s">
        <v>91</v>
      </c>
      <c r="C679">
        <v>-270</v>
      </c>
      <c r="D679">
        <v>-240.001</v>
      </c>
      <c r="E679">
        <v>1</v>
      </c>
      <c r="F679" t="s">
        <v>23</v>
      </c>
      <c r="G679" t="s">
        <v>23</v>
      </c>
      <c r="H679">
        <v>0</v>
      </c>
      <c r="I679">
        <v>0</v>
      </c>
      <c r="K679">
        <v>0.74458185099999996</v>
      </c>
      <c r="L679">
        <v>0</v>
      </c>
      <c r="M679">
        <v>0.73021473000000003</v>
      </c>
      <c r="N679">
        <v>0</v>
      </c>
      <c r="O679" t="s">
        <v>610</v>
      </c>
    </row>
    <row r="680" spans="1:15" x14ac:dyDescent="0.25">
      <c r="A680" t="s">
        <v>56</v>
      </c>
      <c r="B680" t="s">
        <v>91</v>
      </c>
      <c r="C680">
        <v>-240</v>
      </c>
      <c r="D680">
        <v>259.99900000000002</v>
      </c>
      <c r="E680">
        <v>0.1</v>
      </c>
      <c r="F680" t="s">
        <v>23</v>
      </c>
      <c r="G680" t="s">
        <v>23</v>
      </c>
      <c r="H680">
        <v>0</v>
      </c>
      <c r="I680">
        <v>0</v>
      </c>
      <c r="K680">
        <v>0.113916513</v>
      </c>
      <c r="L680">
        <v>0</v>
      </c>
      <c r="M680">
        <v>9.1809138999999998E-2</v>
      </c>
      <c r="N680">
        <v>0</v>
      </c>
      <c r="O680" t="s">
        <v>611</v>
      </c>
    </row>
    <row r="681" spans="1:15" x14ac:dyDescent="0.25">
      <c r="A681" t="s">
        <v>56</v>
      </c>
      <c r="B681" t="s">
        <v>91</v>
      </c>
      <c r="C681">
        <v>-240</v>
      </c>
      <c r="D681">
        <v>259.99900000000002</v>
      </c>
      <c r="E681">
        <v>1</v>
      </c>
      <c r="F681" t="s">
        <v>23</v>
      </c>
      <c r="G681" t="s">
        <v>23</v>
      </c>
      <c r="H681">
        <v>0</v>
      </c>
      <c r="I681">
        <v>0</v>
      </c>
      <c r="K681">
        <v>0.59717763999999995</v>
      </c>
      <c r="L681">
        <v>0</v>
      </c>
      <c r="M681">
        <v>0.58174643800000003</v>
      </c>
      <c r="N681">
        <v>0</v>
      </c>
      <c r="O681" t="s">
        <v>612</v>
      </c>
    </row>
    <row r="682" spans="1:15" x14ac:dyDescent="0.25">
      <c r="A682" t="s">
        <v>56</v>
      </c>
      <c r="B682" t="s">
        <v>91</v>
      </c>
      <c r="C682">
        <v>260</v>
      </c>
      <c r="D682">
        <v>816</v>
      </c>
      <c r="E682">
        <v>0.1</v>
      </c>
      <c r="F682" t="s">
        <v>23</v>
      </c>
      <c r="G682" t="s">
        <v>23</v>
      </c>
      <c r="H682">
        <v>0</v>
      </c>
      <c r="I682">
        <v>0</v>
      </c>
      <c r="K682">
        <v>8.0979847999999993E-2</v>
      </c>
      <c r="L682">
        <v>0</v>
      </c>
      <c r="M682">
        <v>6.9993098000000004E-2</v>
      </c>
      <c r="N682">
        <v>0</v>
      </c>
      <c r="O682" t="s">
        <v>613</v>
      </c>
    </row>
    <row r="683" spans="1:15" x14ac:dyDescent="0.25">
      <c r="A683" t="s">
        <v>56</v>
      </c>
      <c r="B683" t="s">
        <v>91</v>
      </c>
      <c r="C683">
        <v>260</v>
      </c>
      <c r="D683">
        <v>816</v>
      </c>
      <c r="E683">
        <v>1</v>
      </c>
      <c r="F683" t="s">
        <v>23</v>
      </c>
      <c r="G683" t="s">
        <v>23</v>
      </c>
      <c r="H683">
        <v>0</v>
      </c>
      <c r="I683">
        <v>0</v>
      </c>
      <c r="K683">
        <v>0.58440896799999997</v>
      </c>
      <c r="L683">
        <v>0</v>
      </c>
      <c r="M683">
        <v>0.57870461699999998</v>
      </c>
      <c r="N683">
        <v>0</v>
      </c>
      <c r="O683" t="s">
        <v>614</v>
      </c>
    </row>
    <row r="684" spans="1:15" x14ac:dyDescent="0.25">
      <c r="A684" t="s">
        <v>56</v>
      </c>
      <c r="B684" t="s">
        <v>91</v>
      </c>
      <c r="C684">
        <v>816.00099999999998</v>
      </c>
      <c r="D684">
        <v>1371</v>
      </c>
      <c r="E684">
        <v>0.1</v>
      </c>
      <c r="F684" t="s">
        <v>23</v>
      </c>
      <c r="G684" t="s">
        <v>23</v>
      </c>
      <c r="H684">
        <v>0</v>
      </c>
      <c r="I684">
        <v>0</v>
      </c>
      <c r="K684">
        <v>9.0471350000000006E-2</v>
      </c>
      <c r="L684">
        <v>0</v>
      </c>
      <c r="M684">
        <v>7.6709093000000006E-2</v>
      </c>
      <c r="N684">
        <v>0</v>
      </c>
      <c r="O684" t="s">
        <v>615</v>
      </c>
    </row>
    <row r="685" spans="1:15" x14ac:dyDescent="0.25">
      <c r="A685" t="s">
        <v>56</v>
      </c>
      <c r="B685" t="s">
        <v>91</v>
      </c>
      <c r="C685">
        <v>816.00099999999998</v>
      </c>
      <c r="D685">
        <v>1371</v>
      </c>
      <c r="E685">
        <v>1</v>
      </c>
      <c r="F685" t="s">
        <v>23</v>
      </c>
      <c r="G685" t="s">
        <v>23</v>
      </c>
      <c r="H685">
        <v>0</v>
      </c>
      <c r="I685">
        <v>0</v>
      </c>
      <c r="K685">
        <v>0.58744140600000005</v>
      </c>
      <c r="L685">
        <v>0</v>
      </c>
      <c r="M685">
        <v>0.57955524800000002</v>
      </c>
      <c r="N685">
        <v>0</v>
      </c>
      <c r="O685" t="s">
        <v>616</v>
      </c>
    </row>
    <row r="686" spans="1:15" x14ac:dyDescent="0.25">
      <c r="A686" t="s">
        <v>56</v>
      </c>
      <c r="B686" t="s">
        <v>94</v>
      </c>
      <c r="C686">
        <v>-270</v>
      </c>
      <c r="D686">
        <v>-240.001</v>
      </c>
      <c r="E686">
        <v>0.1</v>
      </c>
      <c r="F686" t="s">
        <v>23</v>
      </c>
      <c r="G686" t="s">
        <v>23</v>
      </c>
      <c r="H686">
        <v>0</v>
      </c>
      <c r="I686">
        <v>0</v>
      </c>
      <c r="K686">
        <v>0.83169968400000005</v>
      </c>
      <c r="L686">
        <v>0</v>
      </c>
      <c r="M686">
        <v>0.82876732099999995</v>
      </c>
      <c r="N686">
        <v>0</v>
      </c>
      <c r="O686" t="s">
        <v>599</v>
      </c>
    </row>
    <row r="687" spans="1:15" x14ac:dyDescent="0.25">
      <c r="A687" t="s">
        <v>56</v>
      </c>
      <c r="B687" t="s">
        <v>94</v>
      </c>
      <c r="C687">
        <v>-270</v>
      </c>
      <c r="D687">
        <v>-240.001</v>
      </c>
      <c r="E687">
        <v>1</v>
      </c>
      <c r="F687" t="s">
        <v>23</v>
      </c>
      <c r="G687" t="s">
        <v>23</v>
      </c>
      <c r="H687">
        <v>0</v>
      </c>
      <c r="I687">
        <v>0</v>
      </c>
      <c r="K687">
        <v>1.018003754</v>
      </c>
      <c r="L687">
        <v>0</v>
      </c>
      <c r="M687">
        <v>1.008392419</v>
      </c>
      <c r="N687">
        <v>0</v>
      </c>
      <c r="O687" t="s">
        <v>600</v>
      </c>
    </row>
    <row r="688" spans="1:15" x14ac:dyDescent="0.25">
      <c r="A688" t="s">
        <v>56</v>
      </c>
      <c r="B688" t="s">
        <v>94</v>
      </c>
      <c r="C688">
        <v>-240</v>
      </c>
      <c r="D688">
        <v>-101.001</v>
      </c>
      <c r="E688">
        <v>0.1</v>
      </c>
      <c r="F688" t="s">
        <v>23</v>
      </c>
      <c r="G688" t="s">
        <v>23</v>
      </c>
      <c r="H688">
        <v>0</v>
      </c>
      <c r="I688">
        <v>0</v>
      </c>
      <c r="K688">
        <v>0.142236415</v>
      </c>
      <c r="L688">
        <v>0</v>
      </c>
      <c r="M688">
        <v>0.12394395800000001</v>
      </c>
      <c r="N688">
        <v>0</v>
      </c>
      <c r="O688" t="s">
        <v>601</v>
      </c>
    </row>
    <row r="689" spans="1:15" x14ac:dyDescent="0.25">
      <c r="A689" t="s">
        <v>56</v>
      </c>
      <c r="B689" t="s">
        <v>94</v>
      </c>
      <c r="C689">
        <v>-240</v>
      </c>
      <c r="D689">
        <v>-101.001</v>
      </c>
      <c r="E689">
        <v>1</v>
      </c>
      <c r="F689" t="s">
        <v>23</v>
      </c>
      <c r="G689" t="s">
        <v>23</v>
      </c>
      <c r="H689">
        <v>0</v>
      </c>
      <c r="I689">
        <v>0</v>
      </c>
      <c r="K689">
        <v>0.60401860600000001</v>
      </c>
      <c r="L689">
        <v>0</v>
      </c>
      <c r="M689">
        <v>0.58767516900000005</v>
      </c>
      <c r="N689">
        <v>0</v>
      </c>
      <c r="O689" t="s">
        <v>602</v>
      </c>
    </row>
    <row r="690" spans="1:15" x14ac:dyDescent="0.25">
      <c r="A690" t="s">
        <v>56</v>
      </c>
      <c r="B690" t="s">
        <v>94</v>
      </c>
      <c r="C690">
        <v>-101</v>
      </c>
      <c r="D690">
        <v>371</v>
      </c>
      <c r="E690">
        <v>0.1</v>
      </c>
      <c r="F690" t="s">
        <v>23</v>
      </c>
      <c r="G690" t="s">
        <v>23</v>
      </c>
      <c r="H690">
        <v>0</v>
      </c>
      <c r="I690">
        <v>0</v>
      </c>
      <c r="K690">
        <v>9.0241070000000007E-2</v>
      </c>
      <c r="L690">
        <v>0</v>
      </c>
      <c r="M690">
        <v>6.8695223999999999E-2</v>
      </c>
      <c r="N690">
        <v>0</v>
      </c>
      <c r="O690" t="s">
        <v>603</v>
      </c>
    </row>
    <row r="691" spans="1:15" x14ac:dyDescent="0.25">
      <c r="A691" t="s">
        <v>56</v>
      </c>
      <c r="B691" t="s">
        <v>94</v>
      </c>
      <c r="C691">
        <v>-101</v>
      </c>
      <c r="D691">
        <v>371</v>
      </c>
      <c r="E691">
        <v>1</v>
      </c>
      <c r="F691" t="s">
        <v>23</v>
      </c>
      <c r="G691" t="s">
        <v>23</v>
      </c>
      <c r="H691">
        <v>0</v>
      </c>
      <c r="I691">
        <v>0</v>
      </c>
      <c r="K691">
        <v>0.59026833000000001</v>
      </c>
      <c r="L691">
        <v>0</v>
      </c>
      <c r="M691">
        <v>0.57854907600000005</v>
      </c>
      <c r="N691">
        <v>0</v>
      </c>
      <c r="O691" t="s">
        <v>604</v>
      </c>
    </row>
    <row r="692" spans="1:15" x14ac:dyDescent="0.25">
      <c r="A692" t="s">
        <v>56</v>
      </c>
      <c r="B692" t="s">
        <v>94</v>
      </c>
      <c r="C692">
        <v>371.00099999999998</v>
      </c>
      <c r="D692">
        <v>816</v>
      </c>
      <c r="E692">
        <v>0.1</v>
      </c>
      <c r="F692" t="s">
        <v>23</v>
      </c>
      <c r="G692" t="s">
        <v>23</v>
      </c>
      <c r="H692">
        <v>0</v>
      </c>
      <c r="I692">
        <v>0</v>
      </c>
      <c r="K692">
        <v>8.1513450000000001E-2</v>
      </c>
      <c r="L692">
        <v>0</v>
      </c>
      <c r="M692">
        <v>6.9463811E-2</v>
      </c>
      <c r="N692">
        <v>0</v>
      </c>
      <c r="O692" t="s">
        <v>605</v>
      </c>
    </row>
    <row r="693" spans="1:15" x14ac:dyDescent="0.25">
      <c r="A693" t="s">
        <v>56</v>
      </c>
      <c r="B693" t="s">
        <v>94</v>
      </c>
      <c r="C693">
        <v>371.00099999999998</v>
      </c>
      <c r="D693">
        <v>816</v>
      </c>
      <c r="E693">
        <v>1</v>
      </c>
      <c r="F693" t="s">
        <v>23</v>
      </c>
      <c r="G693" t="s">
        <v>23</v>
      </c>
      <c r="H693">
        <v>0</v>
      </c>
      <c r="I693">
        <v>0</v>
      </c>
      <c r="K693">
        <v>0.58489495400000002</v>
      </c>
      <c r="L693">
        <v>0</v>
      </c>
      <c r="M693">
        <v>0.57864083899999996</v>
      </c>
      <c r="N693">
        <v>0</v>
      </c>
      <c r="O693" t="s">
        <v>606</v>
      </c>
    </row>
    <row r="694" spans="1:15" x14ac:dyDescent="0.25">
      <c r="A694" t="s">
        <v>56</v>
      </c>
      <c r="B694" t="s">
        <v>94</v>
      </c>
      <c r="C694">
        <v>816.00099999999998</v>
      </c>
      <c r="D694">
        <v>1300</v>
      </c>
      <c r="E694">
        <v>0.1</v>
      </c>
      <c r="F694" t="s">
        <v>23</v>
      </c>
      <c r="G694" t="s">
        <v>23</v>
      </c>
      <c r="H694">
        <v>0</v>
      </c>
      <c r="I694">
        <v>0</v>
      </c>
      <c r="K694">
        <v>8.6273836000000007E-2</v>
      </c>
      <c r="L694">
        <v>0</v>
      </c>
      <c r="M694">
        <v>7.3915043999999999E-2</v>
      </c>
      <c r="N694">
        <v>0</v>
      </c>
      <c r="O694" t="s">
        <v>607</v>
      </c>
    </row>
    <row r="695" spans="1:15" x14ac:dyDescent="0.25">
      <c r="A695" t="s">
        <v>56</v>
      </c>
      <c r="B695" t="s">
        <v>94</v>
      </c>
      <c r="C695">
        <v>816.00099999999998</v>
      </c>
      <c r="D695">
        <v>1300</v>
      </c>
      <c r="E695">
        <v>1</v>
      </c>
      <c r="F695" t="s">
        <v>23</v>
      </c>
      <c r="G695" t="s">
        <v>23</v>
      </c>
      <c r="H695">
        <v>0</v>
      </c>
      <c r="I695">
        <v>0</v>
      </c>
      <c r="K695">
        <v>0.58598839400000002</v>
      </c>
      <c r="L695">
        <v>0</v>
      </c>
      <c r="M695">
        <v>0.57919205200000001</v>
      </c>
      <c r="N695">
        <v>0</v>
      </c>
      <c r="O695" t="s">
        <v>608</v>
      </c>
    </row>
    <row r="696" spans="1:15" x14ac:dyDescent="0.25">
      <c r="A696" t="s">
        <v>56</v>
      </c>
      <c r="B696" t="s">
        <v>98</v>
      </c>
      <c r="C696">
        <v>-195.6</v>
      </c>
      <c r="D696">
        <v>0</v>
      </c>
      <c r="E696">
        <v>0.01</v>
      </c>
      <c r="F696" t="s">
        <v>23</v>
      </c>
      <c r="G696" t="s">
        <v>23</v>
      </c>
      <c r="H696">
        <v>0</v>
      </c>
      <c r="I696">
        <v>0</v>
      </c>
      <c r="K696">
        <v>8.4850399999999992E-3</v>
      </c>
      <c r="L696">
        <v>0</v>
      </c>
      <c r="M696">
        <v>7.6317240000000003E-3</v>
      </c>
      <c r="N696">
        <v>0</v>
      </c>
      <c r="O696" t="s">
        <v>584</v>
      </c>
    </row>
    <row r="697" spans="1:15" x14ac:dyDescent="0.25">
      <c r="A697" t="s">
        <v>56</v>
      </c>
      <c r="B697" t="s">
        <v>98</v>
      </c>
      <c r="C697">
        <v>-195.6</v>
      </c>
      <c r="D697">
        <v>0</v>
      </c>
      <c r="E697">
        <v>0.1</v>
      </c>
      <c r="F697" t="s">
        <v>23</v>
      </c>
      <c r="G697" t="s">
        <v>23</v>
      </c>
      <c r="H697">
        <v>0</v>
      </c>
      <c r="I697">
        <v>0</v>
      </c>
      <c r="K697">
        <v>5.8423059999999999E-2</v>
      </c>
      <c r="L697">
        <v>0</v>
      </c>
      <c r="M697">
        <v>5.7950350999999997E-2</v>
      </c>
      <c r="N697">
        <v>0</v>
      </c>
      <c r="O697" t="s">
        <v>585</v>
      </c>
    </row>
    <row r="698" spans="1:15" x14ac:dyDescent="0.25">
      <c r="A698" t="s">
        <v>56</v>
      </c>
      <c r="B698" t="s">
        <v>98</v>
      </c>
      <c r="C698">
        <v>-195.6</v>
      </c>
      <c r="D698">
        <v>0</v>
      </c>
      <c r="E698">
        <v>1</v>
      </c>
      <c r="F698" t="s">
        <v>23</v>
      </c>
      <c r="G698" t="s">
        <v>23</v>
      </c>
      <c r="H698">
        <v>0</v>
      </c>
      <c r="I698">
        <v>0</v>
      </c>
      <c r="K698">
        <v>0.57756236599999999</v>
      </c>
      <c r="L698">
        <v>0</v>
      </c>
      <c r="M698">
        <v>0.57737184100000005</v>
      </c>
      <c r="N698">
        <v>0</v>
      </c>
      <c r="O698" t="s">
        <v>586</v>
      </c>
    </row>
    <row r="699" spans="1:15" x14ac:dyDescent="0.25">
      <c r="A699" t="s">
        <v>56</v>
      </c>
      <c r="B699" t="s">
        <v>98</v>
      </c>
      <c r="C699">
        <v>1E-3</v>
      </c>
      <c r="D699">
        <v>204.44399999999999</v>
      </c>
      <c r="E699">
        <v>0.01</v>
      </c>
      <c r="F699" t="s">
        <v>23</v>
      </c>
      <c r="G699" t="s">
        <v>23</v>
      </c>
      <c r="H699">
        <v>0</v>
      </c>
      <c r="I699">
        <v>0</v>
      </c>
      <c r="K699">
        <v>1.0087018999999999E-2</v>
      </c>
      <c r="L699">
        <v>0</v>
      </c>
      <c r="M699">
        <v>9.380579E-3</v>
      </c>
      <c r="N699">
        <v>0</v>
      </c>
      <c r="O699" t="s">
        <v>587</v>
      </c>
    </row>
    <row r="700" spans="1:15" x14ac:dyDescent="0.25">
      <c r="A700" t="s">
        <v>56</v>
      </c>
      <c r="B700" t="s">
        <v>98</v>
      </c>
      <c r="C700">
        <v>1E-3</v>
      </c>
      <c r="D700">
        <v>204.44399999999999</v>
      </c>
      <c r="E700">
        <v>0.1</v>
      </c>
      <c r="F700" t="s">
        <v>23</v>
      </c>
      <c r="G700" t="s">
        <v>23</v>
      </c>
      <c r="H700">
        <v>0</v>
      </c>
      <c r="I700">
        <v>0</v>
      </c>
      <c r="K700">
        <v>5.8677133999999999E-2</v>
      </c>
      <c r="L700">
        <v>0</v>
      </c>
      <c r="M700">
        <v>5.8206488000000001E-2</v>
      </c>
      <c r="N700">
        <v>0</v>
      </c>
      <c r="O700" t="s">
        <v>588</v>
      </c>
    </row>
    <row r="701" spans="1:15" x14ac:dyDescent="0.25">
      <c r="A701" t="s">
        <v>56</v>
      </c>
      <c r="B701" t="s">
        <v>98</v>
      </c>
      <c r="C701">
        <v>1E-3</v>
      </c>
      <c r="D701">
        <v>204.44399999999999</v>
      </c>
      <c r="E701">
        <v>1</v>
      </c>
      <c r="F701" t="s">
        <v>23</v>
      </c>
      <c r="G701" t="s">
        <v>23</v>
      </c>
      <c r="H701">
        <v>0</v>
      </c>
      <c r="I701">
        <v>0</v>
      </c>
      <c r="K701">
        <v>0.57758812199999998</v>
      </c>
      <c r="L701">
        <v>0</v>
      </c>
      <c r="M701">
        <v>0.57739760600000001</v>
      </c>
      <c r="N701">
        <v>0</v>
      </c>
      <c r="O701" t="s">
        <v>589</v>
      </c>
    </row>
    <row r="702" spans="1:15" x14ac:dyDescent="0.25">
      <c r="A702" t="s">
        <v>56</v>
      </c>
      <c r="B702" t="s">
        <v>98</v>
      </c>
      <c r="C702">
        <v>204.44499999999999</v>
      </c>
      <c r="D702">
        <v>426.66699999999997</v>
      </c>
      <c r="E702">
        <v>0.01</v>
      </c>
      <c r="F702" t="s">
        <v>23</v>
      </c>
      <c r="G702" t="s">
        <v>23</v>
      </c>
      <c r="H702">
        <v>0</v>
      </c>
      <c r="I702">
        <v>0</v>
      </c>
      <c r="K702">
        <v>1.2329109E-2</v>
      </c>
      <c r="L702">
        <v>0</v>
      </c>
      <c r="M702">
        <v>1.1525970999999999E-2</v>
      </c>
      <c r="N702">
        <v>0</v>
      </c>
      <c r="O702" t="s">
        <v>590</v>
      </c>
    </row>
    <row r="703" spans="1:15" x14ac:dyDescent="0.25">
      <c r="A703" t="s">
        <v>56</v>
      </c>
      <c r="B703" t="s">
        <v>98</v>
      </c>
      <c r="C703">
        <v>204.44499999999999</v>
      </c>
      <c r="D703">
        <v>426.66699999999997</v>
      </c>
      <c r="E703">
        <v>0.1</v>
      </c>
      <c r="F703" t="s">
        <v>23</v>
      </c>
      <c r="G703" t="s">
        <v>23</v>
      </c>
      <c r="H703">
        <v>0</v>
      </c>
      <c r="I703">
        <v>0</v>
      </c>
      <c r="K703">
        <v>5.9240896000000001E-2</v>
      </c>
      <c r="L703">
        <v>0</v>
      </c>
      <c r="M703">
        <v>5.8590510999999998E-2</v>
      </c>
      <c r="N703">
        <v>0</v>
      </c>
      <c r="O703" t="s">
        <v>591</v>
      </c>
    </row>
    <row r="704" spans="1:15" x14ac:dyDescent="0.25">
      <c r="A704" t="s">
        <v>56</v>
      </c>
      <c r="B704" t="s">
        <v>98</v>
      </c>
      <c r="C704">
        <v>204.44499999999999</v>
      </c>
      <c r="D704">
        <v>426.66699999999997</v>
      </c>
      <c r="E704">
        <v>1</v>
      </c>
      <c r="F704" t="s">
        <v>23</v>
      </c>
      <c r="G704" t="s">
        <v>23</v>
      </c>
      <c r="H704">
        <v>0</v>
      </c>
      <c r="I704">
        <v>0</v>
      </c>
      <c r="K704">
        <v>0.57770181799999998</v>
      </c>
      <c r="L704">
        <v>0</v>
      </c>
      <c r="M704">
        <v>0.57743644500000002</v>
      </c>
      <c r="N704">
        <v>0</v>
      </c>
      <c r="O704" t="s">
        <v>592</v>
      </c>
    </row>
    <row r="705" spans="1:15" x14ac:dyDescent="0.25">
      <c r="A705" t="s">
        <v>56</v>
      </c>
      <c r="B705" t="s">
        <v>98</v>
      </c>
      <c r="C705">
        <v>426.66800000000001</v>
      </c>
      <c r="D705">
        <v>648.88900000000001</v>
      </c>
      <c r="E705">
        <v>0.01</v>
      </c>
      <c r="F705" t="s">
        <v>23</v>
      </c>
      <c r="G705" t="s">
        <v>23</v>
      </c>
      <c r="H705">
        <v>0</v>
      </c>
      <c r="I705">
        <v>0</v>
      </c>
      <c r="K705">
        <v>1.5887353999999999E-2</v>
      </c>
      <c r="L705">
        <v>0</v>
      </c>
      <c r="M705">
        <v>1.5272493999999999E-2</v>
      </c>
      <c r="N705">
        <v>0</v>
      </c>
      <c r="O705" t="s">
        <v>593</v>
      </c>
    </row>
    <row r="706" spans="1:15" x14ac:dyDescent="0.25">
      <c r="A706" t="s">
        <v>56</v>
      </c>
      <c r="B706" t="s">
        <v>98</v>
      </c>
      <c r="C706">
        <v>426.66800000000001</v>
      </c>
      <c r="D706">
        <v>648.88900000000001</v>
      </c>
      <c r="E706">
        <v>0.1</v>
      </c>
      <c r="F706" t="s">
        <v>23</v>
      </c>
      <c r="G706" t="s">
        <v>23</v>
      </c>
      <c r="H706">
        <v>0</v>
      </c>
      <c r="I706">
        <v>0</v>
      </c>
      <c r="K706">
        <v>6.0082317000000003E-2</v>
      </c>
      <c r="L706">
        <v>0</v>
      </c>
      <c r="M706">
        <v>5.9441140000000003E-2</v>
      </c>
      <c r="N706">
        <v>0</v>
      </c>
      <c r="O706" t="s">
        <v>594</v>
      </c>
    </row>
    <row r="707" spans="1:15" x14ac:dyDescent="0.25">
      <c r="A707" t="s">
        <v>56</v>
      </c>
      <c r="B707" t="s">
        <v>98</v>
      </c>
      <c r="C707">
        <v>426.66800000000001</v>
      </c>
      <c r="D707">
        <v>648.88900000000001</v>
      </c>
      <c r="E707">
        <v>1</v>
      </c>
      <c r="F707" t="s">
        <v>23</v>
      </c>
      <c r="G707" t="s">
        <v>23</v>
      </c>
      <c r="H707">
        <v>0</v>
      </c>
      <c r="I707">
        <v>0</v>
      </c>
      <c r="K707">
        <v>0.57778870900000001</v>
      </c>
      <c r="L707">
        <v>0</v>
      </c>
      <c r="M707">
        <v>0.57752337499999995</v>
      </c>
      <c r="N707">
        <v>0</v>
      </c>
      <c r="O707" t="s">
        <v>595</v>
      </c>
    </row>
    <row r="708" spans="1:15" x14ac:dyDescent="0.25">
      <c r="A708" t="s">
        <v>56</v>
      </c>
      <c r="B708" t="s">
        <v>98</v>
      </c>
      <c r="C708">
        <v>648.89</v>
      </c>
      <c r="D708">
        <v>850</v>
      </c>
      <c r="E708">
        <v>0.01</v>
      </c>
      <c r="F708" t="s">
        <v>23</v>
      </c>
      <c r="G708" t="s">
        <v>23</v>
      </c>
      <c r="H708">
        <v>0</v>
      </c>
      <c r="I708">
        <v>0</v>
      </c>
      <c r="K708">
        <v>1.9744199E-2</v>
      </c>
      <c r="L708">
        <v>0</v>
      </c>
      <c r="M708">
        <v>1.8879818999999999E-2</v>
      </c>
      <c r="N708">
        <v>0</v>
      </c>
      <c r="O708" t="s">
        <v>596</v>
      </c>
    </row>
    <row r="709" spans="1:15" x14ac:dyDescent="0.25">
      <c r="A709" t="s">
        <v>56</v>
      </c>
      <c r="B709" t="s">
        <v>98</v>
      </c>
      <c r="C709">
        <v>648.89</v>
      </c>
      <c r="D709">
        <v>850</v>
      </c>
      <c r="E709">
        <v>0.1</v>
      </c>
      <c r="F709" t="s">
        <v>23</v>
      </c>
      <c r="G709" t="s">
        <v>23</v>
      </c>
      <c r="H709">
        <v>0</v>
      </c>
      <c r="I709">
        <v>0</v>
      </c>
      <c r="K709">
        <v>6.1562903000000002E-2</v>
      </c>
      <c r="L709">
        <v>0</v>
      </c>
      <c r="M709">
        <v>6.0468567000000001E-2</v>
      </c>
      <c r="N709">
        <v>0</v>
      </c>
      <c r="O709" t="s">
        <v>597</v>
      </c>
    </row>
    <row r="710" spans="1:15" x14ac:dyDescent="0.25">
      <c r="A710" t="s">
        <v>56</v>
      </c>
      <c r="B710" t="s">
        <v>98</v>
      </c>
      <c r="C710">
        <v>648.89</v>
      </c>
      <c r="D710">
        <v>850</v>
      </c>
      <c r="E710">
        <v>1</v>
      </c>
      <c r="F710" t="s">
        <v>23</v>
      </c>
      <c r="G710" t="s">
        <v>23</v>
      </c>
      <c r="H710">
        <v>0</v>
      </c>
      <c r="I710">
        <v>0</v>
      </c>
      <c r="K710">
        <v>0.57809222500000002</v>
      </c>
      <c r="L710">
        <v>0</v>
      </c>
      <c r="M710">
        <v>0.57763002699999999</v>
      </c>
      <c r="N710">
        <v>0</v>
      </c>
      <c r="O710" t="s">
        <v>598</v>
      </c>
    </row>
    <row r="711" spans="1:15" x14ac:dyDescent="0.25">
      <c r="A711" t="s">
        <v>56</v>
      </c>
      <c r="B711" t="s">
        <v>99</v>
      </c>
      <c r="C711">
        <v>-195.6</v>
      </c>
      <c r="D711">
        <v>0</v>
      </c>
      <c r="E711">
        <v>0.01</v>
      </c>
      <c r="F711" t="s">
        <v>23</v>
      </c>
      <c r="G711" t="s">
        <v>23</v>
      </c>
      <c r="H711">
        <v>0</v>
      </c>
      <c r="I711">
        <v>0</v>
      </c>
      <c r="K711">
        <v>6.9514520000000003E-3</v>
      </c>
      <c r="L711">
        <v>0</v>
      </c>
      <c r="M711">
        <v>6.5655269999999998E-3</v>
      </c>
      <c r="N711">
        <v>0</v>
      </c>
      <c r="O711" t="s">
        <v>569</v>
      </c>
    </row>
    <row r="712" spans="1:15" x14ac:dyDescent="0.25">
      <c r="A712" t="s">
        <v>56</v>
      </c>
      <c r="B712" t="s">
        <v>99</v>
      </c>
      <c r="C712">
        <v>-195.6</v>
      </c>
      <c r="D712">
        <v>0</v>
      </c>
      <c r="E712">
        <v>0.1</v>
      </c>
      <c r="F712" t="s">
        <v>23</v>
      </c>
      <c r="G712" t="s">
        <v>23</v>
      </c>
      <c r="H712">
        <v>0</v>
      </c>
      <c r="I712">
        <v>0</v>
      </c>
      <c r="K712">
        <v>5.7999760999999997E-2</v>
      </c>
      <c r="L712">
        <v>0</v>
      </c>
      <c r="M712">
        <v>5.7819599999999999E-2</v>
      </c>
      <c r="N712">
        <v>0</v>
      </c>
      <c r="O712" t="s">
        <v>570</v>
      </c>
    </row>
    <row r="713" spans="1:15" x14ac:dyDescent="0.25">
      <c r="A713" t="s">
        <v>56</v>
      </c>
      <c r="B713" t="s">
        <v>99</v>
      </c>
      <c r="C713">
        <v>-195.6</v>
      </c>
      <c r="D713">
        <v>0</v>
      </c>
      <c r="E713">
        <v>1</v>
      </c>
      <c r="F713" t="s">
        <v>23</v>
      </c>
      <c r="G713" t="s">
        <v>23</v>
      </c>
      <c r="H713">
        <v>0</v>
      </c>
      <c r="I713">
        <v>0</v>
      </c>
      <c r="K713">
        <v>0.57743100999999997</v>
      </c>
      <c r="L713">
        <v>0</v>
      </c>
      <c r="M713">
        <v>0.57735873299999996</v>
      </c>
      <c r="N713">
        <v>0</v>
      </c>
      <c r="O713" t="s">
        <v>571</v>
      </c>
    </row>
    <row r="714" spans="1:15" x14ac:dyDescent="0.25">
      <c r="A714" t="s">
        <v>56</v>
      </c>
      <c r="B714" t="s">
        <v>99</v>
      </c>
      <c r="C714">
        <v>1E-3</v>
      </c>
      <c r="D714">
        <v>204.44399999999999</v>
      </c>
      <c r="E714">
        <v>0.01</v>
      </c>
      <c r="F714" t="s">
        <v>23</v>
      </c>
      <c r="G714" t="s">
        <v>23</v>
      </c>
      <c r="H714">
        <v>0</v>
      </c>
      <c r="I714">
        <v>0</v>
      </c>
      <c r="K714">
        <v>9.7193209999999995E-3</v>
      </c>
      <c r="L714">
        <v>0</v>
      </c>
      <c r="M714">
        <v>9.3614249999999996E-3</v>
      </c>
      <c r="N714">
        <v>0</v>
      </c>
      <c r="O714" t="s">
        <v>572</v>
      </c>
    </row>
    <row r="715" spans="1:15" x14ac:dyDescent="0.25">
      <c r="A715" t="s">
        <v>56</v>
      </c>
      <c r="B715" t="s">
        <v>99</v>
      </c>
      <c r="C715">
        <v>1E-3</v>
      </c>
      <c r="D715">
        <v>204.44399999999999</v>
      </c>
      <c r="E715">
        <v>0.1</v>
      </c>
      <c r="F715" t="s">
        <v>23</v>
      </c>
      <c r="G715" t="s">
        <v>23</v>
      </c>
      <c r="H715">
        <v>0</v>
      </c>
      <c r="I715">
        <v>0</v>
      </c>
      <c r="K715">
        <v>5.8437589999999998E-2</v>
      </c>
      <c r="L715">
        <v>0</v>
      </c>
      <c r="M715">
        <v>5.8203404E-2</v>
      </c>
      <c r="N715">
        <v>0</v>
      </c>
      <c r="O715" t="s">
        <v>573</v>
      </c>
    </row>
    <row r="716" spans="1:15" x14ac:dyDescent="0.25">
      <c r="A716" t="s">
        <v>56</v>
      </c>
      <c r="B716" t="s">
        <v>99</v>
      </c>
      <c r="C716">
        <v>1E-3</v>
      </c>
      <c r="D716">
        <v>204.44399999999999</v>
      </c>
      <c r="E716">
        <v>1</v>
      </c>
      <c r="F716" t="s">
        <v>23</v>
      </c>
      <c r="G716" t="s">
        <v>23</v>
      </c>
      <c r="H716">
        <v>0</v>
      </c>
      <c r="I716">
        <v>0</v>
      </c>
      <c r="K716">
        <v>0.57749190399999994</v>
      </c>
      <c r="L716">
        <v>0</v>
      </c>
      <c r="M716">
        <v>0.57739729500000003</v>
      </c>
      <c r="N716">
        <v>0</v>
      </c>
      <c r="O716" t="s">
        <v>574</v>
      </c>
    </row>
    <row r="717" spans="1:15" x14ac:dyDescent="0.25">
      <c r="A717" t="s">
        <v>56</v>
      </c>
      <c r="B717" t="s">
        <v>99</v>
      </c>
      <c r="C717">
        <v>204.44499999999999</v>
      </c>
      <c r="D717">
        <v>426.66699999999997</v>
      </c>
      <c r="E717">
        <v>0.01</v>
      </c>
      <c r="F717" t="s">
        <v>23</v>
      </c>
      <c r="G717" t="s">
        <v>23</v>
      </c>
      <c r="H717">
        <v>0</v>
      </c>
      <c r="I717">
        <v>0</v>
      </c>
      <c r="K717">
        <v>1.176788E-2</v>
      </c>
      <c r="L717">
        <v>0</v>
      </c>
      <c r="M717">
        <v>1.1474061000000001E-2</v>
      </c>
      <c r="N717">
        <v>0</v>
      </c>
      <c r="O717" t="s">
        <v>575</v>
      </c>
    </row>
    <row r="718" spans="1:15" x14ac:dyDescent="0.25">
      <c r="A718" t="s">
        <v>56</v>
      </c>
      <c r="B718" t="s">
        <v>99</v>
      </c>
      <c r="C718">
        <v>204.44499999999999</v>
      </c>
      <c r="D718">
        <v>426.66699999999997</v>
      </c>
      <c r="E718">
        <v>0.1</v>
      </c>
      <c r="F718" t="s">
        <v>23</v>
      </c>
      <c r="G718" t="s">
        <v>23</v>
      </c>
      <c r="H718">
        <v>0</v>
      </c>
      <c r="I718">
        <v>0</v>
      </c>
      <c r="K718">
        <v>5.8813007E-2</v>
      </c>
      <c r="L718">
        <v>0</v>
      </c>
      <c r="M718">
        <v>5.8580321999999997E-2</v>
      </c>
      <c r="N718">
        <v>0</v>
      </c>
      <c r="O718" t="s">
        <v>576</v>
      </c>
    </row>
    <row r="719" spans="1:15" x14ac:dyDescent="0.25">
      <c r="A719" t="s">
        <v>56</v>
      </c>
      <c r="B719" t="s">
        <v>99</v>
      </c>
      <c r="C719">
        <v>204.44499999999999</v>
      </c>
      <c r="D719">
        <v>426.66699999999997</v>
      </c>
      <c r="E719">
        <v>1</v>
      </c>
      <c r="F719" t="s">
        <v>23</v>
      </c>
      <c r="G719" t="s">
        <v>23</v>
      </c>
      <c r="H719">
        <v>0</v>
      </c>
      <c r="I719">
        <v>0</v>
      </c>
      <c r="K719">
        <v>0.57753001400000004</v>
      </c>
      <c r="L719">
        <v>0</v>
      </c>
      <c r="M719">
        <v>0.57743541099999995</v>
      </c>
      <c r="N719">
        <v>0</v>
      </c>
      <c r="O719" t="s">
        <v>577</v>
      </c>
    </row>
    <row r="720" spans="1:15" x14ac:dyDescent="0.25">
      <c r="A720" t="s">
        <v>56</v>
      </c>
      <c r="B720" t="s">
        <v>99</v>
      </c>
      <c r="C720">
        <v>426.66800000000001</v>
      </c>
      <c r="D720">
        <v>648.88900000000001</v>
      </c>
      <c r="E720">
        <v>0.01</v>
      </c>
      <c r="F720" t="s">
        <v>23</v>
      </c>
      <c r="G720" t="s">
        <v>23</v>
      </c>
      <c r="H720">
        <v>0</v>
      </c>
      <c r="I720">
        <v>0</v>
      </c>
      <c r="K720">
        <v>1.5791868000000001E-2</v>
      </c>
      <c r="L720">
        <v>0</v>
      </c>
      <c r="M720">
        <v>1.517314E-2</v>
      </c>
      <c r="N720">
        <v>0</v>
      </c>
      <c r="O720" t="s">
        <v>578</v>
      </c>
    </row>
    <row r="721" spans="1:15" x14ac:dyDescent="0.25">
      <c r="A721" t="s">
        <v>56</v>
      </c>
      <c r="B721" t="s">
        <v>99</v>
      </c>
      <c r="C721">
        <v>426.66800000000001</v>
      </c>
      <c r="D721">
        <v>648.88900000000001</v>
      </c>
      <c r="E721">
        <v>0.1</v>
      </c>
      <c r="F721" t="s">
        <v>23</v>
      </c>
      <c r="G721" t="s">
        <v>23</v>
      </c>
      <c r="H721">
        <v>0</v>
      </c>
      <c r="I721">
        <v>0</v>
      </c>
      <c r="K721">
        <v>6.0057138000000003E-2</v>
      </c>
      <c r="L721">
        <v>0</v>
      </c>
      <c r="M721">
        <v>5.941569E-2</v>
      </c>
      <c r="N721">
        <v>0</v>
      </c>
      <c r="O721" t="s">
        <v>579</v>
      </c>
    </row>
    <row r="722" spans="1:15" x14ac:dyDescent="0.25">
      <c r="A722" t="s">
        <v>56</v>
      </c>
      <c r="B722" t="s">
        <v>99</v>
      </c>
      <c r="C722">
        <v>426.66800000000001</v>
      </c>
      <c r="D722">
        <v>648.88900000000001</v>
      </c>
      <c r="E722">
        <v>1</v>
      </c>
      <c r="F722" t="s">
        <v>23</v>
      </c>
      <c r="G722" t="s">
        <v>23</v>
      </c>
      <c r="H722">
        <v>0</v>
      </c>
      <c r="I722">
        <v>0</v>
      </c>
      <c r="K722">
        <v>0.577786091</v>
      </c>
      <c r="L722">
        <v>0</v>
      </c>
      <c r="M722">
        <v>0.57752075599999997</v>
      </c>
      <c r="N722">
        <v>0</v>
      </c>
      <c r="O722" t="s">
        <v>580</v>
      </c>
    </row>
    <row r="723" spans="1:15" x14ac:dyDescent="0.25">
      <c r="A723" t="s">
        <v>56</v>
      </c>
      <c r="B723" t="s">
        <v>99</v>
      </c>
      <c r="C723">
        <v>648.89</v>
      </c>
      <c r="D723">
        <v>850</v>
      </c>
      <c r="E723">
        <v>0.01</v>
      </c>
      <c r="F723" t="s">
        <v>23</v>
      </c>
      <c r="G723" t="s">
        <v>23</v>
      </c>
      <c r="H723">
        <v>0</v>
      </c>
      <c r="I723">
        <v>0</v>
      </c>
      <c r="K723">
        <v>1.9042103000000001E-2</v>
      </c>
      <c r="L723">
        <v>0</v>
      </c>
      <c r="M723">
        <v>1.8733275000000001E-2</v>
      </c>
      <c r="N723">
        <v>0</v>
      </c>
      <c r="O723" t="s">
        <v>581</v>
      </c>
    </row>
    <row r="724" spans="1:15" x14ac:dyDescent="0.25">
      <c r="A724" t="s">
        <v>56</v>
      </c>
      <c r="B724" t="s">
        <v>99</v>
      </c>
      <c r="C724">
        <v>648.89</v>
      </c>
      <c r="D724">
        <v>850</v>
      </c>
      <c r="E724">
        <v>0.1</v>
      </c>
      <c r="F724" t="s">
        <v>23</v>
      </c>
      <c r="G724" t="s">
        <v>23</v>
      </c>
      <c r="H724">
        <v>0</v>
      </c>
      <c r="I724">
        <v>0</v>
      </c>
      <c r="K724">
        <v>6.0807893000000002E-2</v>
      </c>
      <c r="L724">
        <v>0</v>
      </c>
      <c r="M724">
        <v>6.0422971999999998E-2</v>
      </c>
      <c r="N724">
        <v>0</v>
      </c>
      <c r="O724" t="s">
        <v>582</v>
      </c>
    </row>
    <row r="725" spans="1:15" x14ac:dyDescent="0.25">
      <c r="A725" t="s">
        <v>56</v>
      </c>
      <c r="B725" t="s">
        <v>99</v>
      </c>
      <c r="C725">
        <v>648.89</v>
      </c>
      <c r="D725">
        <v>850</v>
      </c>
      <c r="E725">
        <v>1</v>
      </c>
      <c r="F725" t="s">
        <v>23</v>
      </c>
      <c r="G725" t="s">
        <v>23</v>
      </c>
      <c r="H725">
        <v>0</v>
      </c>
      <c r="I725">
        <v>0</v>
      </c>
      <c r="K725">
        <v>0.57778680599999999</v>
      </c>
      <c r="L725">
        <v>0</v>
      </c>
      <c r="M725">
        <v>0.57762525499999995</v>
      </c>
      <c r="N725">
        <v>0</v>
      </c>
      <c r="O725" t="s">
        <v>583</v>
      </c>
    </row>
    <row r="726" spans="1:15" x14ac:dyDescent="0.25">
      <c r="A726" t="s">
        <v>56</v>
      </c>
      <c r="B726" t="s">
        <v>95</v>
      </c>
      <c r="C726">
        <v>-50</v>
      </c>
      <c r="D726">
        <v>-1E-3</v>
      </c>
      <c r="E726">
        <v>0.1</v>
      </c>
      <c r="F726" t="s">
        <v>23</v>
      </c>
      <c r="G726" t="s">
        <v>23</v>
      </c>
      <c r="H726">
        <v>0</v>
      </c>
      <c r="I726">
        <v>0</v>
      </c>
      <c r="K726">
        <v>0.150846182</v>
      </c>
      <c r="L726">
        <v>0</v>
      </c>
      <c r="M726">
        <v>0.13393649299999999</v>
      </c>
      <c r="N726">
        <v>0</v>
      </c>
      <c r="O726" t="s">
        <v>561</v>
      </c>
    </row>
    <row r="727" spans="1:15" x14ac:dyDescent="0.25">
      <c r="A727" t="s">
        <v>56</v>
      </c>
      <c r="B727" t="s">
        <v>95</v>
      </c>
      <c r="C727">
        <v>-50</v>
      </c>
      <c r="D727">
        <v>-1E-3</v>
      </c>
      <c r="E727">
        <v>1</v>
      </c>
      <c r="F727" t="s">
        <v>23</v>
      </c>
      <c r="G727" t="s">
        <v>23</v>
      </c>
      <c r="H727">
        <v>0</v>
      </c>
      <c r="I727">
        <v>0</v>
      </c>
      <c r="K727">
        <v>0.605971394</v>
      </c>
      <c r="L727">
        <v>0</v>
      </c>
      <c r="M727">
        <v>0.58986353000000002</v>
      </c>
      <c r="N727">
        <v>0</v>
      </c>
      <c r="O727" t="s">
        <v>562</v>
      </c>
    </row>
    <row r="728" spans="1:15" x14ac:dyDescent="0.25">
      <c r="A728" t="s">
        <v>56</v>
      </c>
      <c r="B728" t="s">
        <v>95</v>
      </c>
      <c r="C728">
        <v>0</v>
      </c>
      <c r="D728">
        <v>593</v>
      </c>
      <c r="E728">
        <v>0.1</v>
      </c>
      <c r="F728" t="s">
        <v>23</v>
      </c>
      <c r="G728" t="s">
        <v>23</v>
      </c>
      <c r="H728">
        <v>0</v>
      </c>
      <c r="I728">
        <v>0</v>
      </c>
      <c r="K728">
        <v>0.11485242499999999</v>
      </c>
      <c r="L728">
        <v>0</v>
      </c>
      <c r="M728">
        <v>9.1517720999999996E-2</v>
      </c>
      <c r="N728">
        <v>0</v>
      </c>
      <c r="O728" t="s">
        <v>563</v>
      </c>
    </row>
    <row r="729" spans="1:15" x14ac:dyDescent="0.25">
      <c r="A729" t="s">
        <v>56</v>
      </c>
      <c r="B729" t="s">
        <v>95</v>
      </c>
      <c r="C729">
        <v>0</v>
      </c>
      <c r="D729">
        <v>593</v>
      </c>
      <c r="E729">
        <v>1</v>
      </c>
      <c r="F729" t="s">
        <v>23</v>
      </c>
      <c r="G729" t="s">
        <v>23</v>
      </c>
      <c r="H729">
        <v>0</v>
      </c>
      <c r="I729">
        <v>0</v>
      </c>
      <c r="K729">
        <v>0.59802829300000004</v>
      </c>
      <c r="L729">
        <v>0</v>
      </c>
      <c r="M729">
        <v>0.581700518</v>
      </c>
      <c r="N729">
        <v>0</v>
      </c>
      <c r="O729" t="s">
        <v>564</v>
      </c>
    </row>
    <row r="730" spans="1:15" x14ac:dyDescent="0.25">
      <c r="A730" t="s">
        <v>56</v>
      </c>
      <c r="B730" t="s">
        <v>95</v>
      </c>
      <c r="C730">
        <v>593.00099999999998</v>
      </c>
      <c r="D730">
        <v>1204</v>
      </c>
      <c r="E730">
        <v>0.1</v>
      </c>
      <c r="F730" t="s">
        <v>23</v>
      </c>
      <c r="G730" t="s">
        <v>23</v>
      </c>
      <c r="H730">
        <v>0</v>
      </c>
      <c r="I730">
        <v>0</v>
      </c>
      <c r="K730">
        <v>0.100632445</v>
      </c>
      <c r="L730">
        <v>0</v>
      </c>
      <c r="M730">
        <v>7.7848530999999999E-2</v>
      </c>
      <c r="N730">
        <v>0</v>
      </c>
      <c r="O730" t="s">
        <v>565</v>
      </c>
    </row>
    <row r="731" spans="1:15" x14ac:dyDescent="0.25">
      <c r="A731" t="s">
        <v>56</v>
      </c>
      <c r="B731" t="s">
        <v>95</v>
      </c>
      <c r="C731">
        <v>593.00099999999998</v>
      </c>
      <c r="D731">
        <v>1204</v>
      </c>
      <c r="E731">
        <v>1</v>
      </c>
      <c r="F731" t="s">
        <v>23</v>
      </c>
      <c r="G731" t="s">
        <v>23</v>
      </c>
      <c r="H731">
        <v>0</v>
      </c>
      <c r="I731">
        <v>0</v>
      </c>
      <c r="K731">
        <v>0.59357086699999995</v>
      </c>
      <c r="L731">
        <v>0</v>
      </c>
      <c r="M731">
        <v>0.57970716200000005</v>
      </c>
      <c r="N731">
        <v>0</v>
      </c>
      <c r="O731" t="s">
        <v>566</v>
      </c>
    </row>
    <row r="732" spans="1:15" x14ac:dyDescent="0.25">
      <c r="A732" t="s">
        <v>56</v>
      </c>
      <c r="B732" t="s">
        <v>95</v>
      </c>
      <c r="C732">
        <v>1204.001</v>
      </c>
      <c r="D732">
        <v>1768</v>
      </c>
      <c r="E732">
        <v>0.1</v>
      </c>
      <c r="F732" t="s">
        <v>23</v>
      </c>
      <c r="G732" t="s">
        <v>23</v>
      </c>
      <c r="H732">
        <v>0</v>
      </c>
      <c r="I732">
        <v>0</v>
      </c>
      <c r="K732">
        <v>0.108719156</v>
      </c>
      <c r="L732">
        <v>0</v>
      </c>
      <c r="M732">
        <v>8.8053164000000003E-2</v>
      </c>
      <c r="N732">
        <v>0</v>
      </c>
      <c r="O732" t="s">
        <v>567</v>
      </c>
    </row>
    <row r="733" spans="1:15" x14ac:dyDescent="0.25">
      <c r="A733" t="s">
        <v>56</v>
      </c>
      <c r="B733" t="s">
        <v>95</v>
      </c>
      <c r="C733">
        <v>1204.001</v>
      </c>
      <c r="D733">
        <v>1768</v>
      </c>
      <c r="E733">
        <v>1</v>
      </c>
      <c r="F733" t="s">
        <v>23</v>
      </c>
      <c r="G733" t="s">
        <v>23</v>
      </c>
      <c r="H733">
        <v>0</v>
      </c>
      <c r="I733">
        <v>0</v>
      </c>
      <c r="K733">
        <v>0.59499524400000003</v>
      </c>
      <c r="L733">
        <v>0</v>
      </c>
      <c r="M733">
        <v>0.58116551800000005</v>
      </c>
      <c r="N733">
        <v>0</v>
      </c>
      <c r="O733" t="s">
        <v>568</v>
      </c>
    </row>
    <row r="734" spans="1:15" x14ac:dyDescent="0.25">
      <c r="A734" t="s">
        <v>56</v>
      </c>
      <c r="B734" t="s">
        <v>96</v>
      </c>
      <c r="C734">
        <v>-50</v>
      </c>
      <c r="D734">
        <v>-1E-3</v>
      </c>
      <c r="E734">
        <v>0.1</v>
      </c>
      <c r="F734" t="s">
        <v>23</v>
      </c>
      <c r="G734" t="s">
        <v>23</v>
      </c>
      <c r="H734">
        <v>0</v>
      </c>
      <c r="I734">
        <v>0</v>
      </c>
      <c r="K734">
        <v>0.13149422599999999</v>
      </c>
      <c r="L734">
        <v>0</v>
      </c>
      <c r="M734">
        <v>0.111692189</v>
      </c>
      <c r="N734">
        <v>0</v>
      </c>
      <c r="O734" t="s">
        <v>553</v>
      </c>
    </row>
    <row r="735" spans="1:15" x14ac:dyDescent="0.25">
      <c r="A735" t="s">
        <v>56</v>
      </c>
      <c r="B735" t="s">
        <v>96</v>
      </c>
      <c r="C735">
        <v>-50</v>
      </c>
      <c r="D735">
        <v>-1E-3</v>
      </c>
      <c r="E735">
        <v>1</v>
      </c>
      <c r="F735" t="s">
        <v>23</v>
      </c>
      <c r="G735" t="s">
        <v>23</v>
      </c>
      <c r="H735">
        <v>0</v>
      </c>
      <c r="I735">
        <v>0</v>
      </c>
      <c r="K735">
        <v>0.601446166</v>
      </c>
      <c r="L735">
        <v>0</v>
      </c>
      <c r="M735">
        <v>0.58521376000000003</v>
      </c>
      <c r="N735">
        <v>0</v>
      </c>
      <c r="O735" t="s">
        <v>554</v>
      </c>
    </row>
    <row r="736" spans="1:15" x14ac:dyDescent="0.25">
      <c r="A736" t="s">
        <v>56</v>
      </c>
      <c r="B736" t="s">
        <v>96</v>
      </c>
      <c r="C736">
        <v>0</v>
      </c>
      <c r="D736">
        <v>593</v>
      </c>
      <c r="E736">
        <v>0.1</v>
      </c>
      <c r="F736" t="s">
        <v>23</v>
      </c>
      <c r="G736" t="s">
        <v>23</v>
      </c>
      <c r="H736">
        <v>0</v>
      </c>
      <c r="I736">
        <v>0</v>
      </c>
      <c r="K736">
        <v>0.109757297</v>
      </c>
      <c r="L736">
        <v>0</v>
      </c>
      <c r="M736">
        <v>8.5662658000000003E-2</v>
      </c>
      <c r="N736">
        <v>0</v>
      </c>
      <c r="O736" t="s">
        <v>555</v>
      </c>
    </row>
    <row r="737" spans="1:15" x14ac:dyDescent="0.25">
      <c r="A737" t="s">
        <v>56</v>
      </c>
      <c r="B737" t="s">
        <v>96</v>
      </c>
      <c r="C737">
        <v>0</v>
      </c>
      <c r="D737">
        <v>593</v>
      </c>
      <c r="E737">
        <v>1</v>
      </c>
      <c r="F737" t="s">
        <v>23</v>
      </c>
      <c r="G737" t="s">
        <v>23</v>
      </c>
      <c r="H737">
        <v>0</v>
      </c>
      <c r="I737">
        <v>0</v>
      </c>
      <c r="K737">
        <v>0.59680179700000002</v>
      </c>
      <c r="L737">
        <v>0</v>
      </c>
      <c r="M737">
        <v>0.58080813600000003</v>
      </c>
      <c r="N737">
        <v>0</v>
      </c>
      <c r="O737" t="s">
        <v>556</v>
      </c>
    </row>
    <row r="738" spans="1:15" x14ac:dyDescent="0.25">
      <c r="A738" t="s">
        <v>56</v>
      </c>
      <c r="B738" t="s">
        <v>96</v>
      </c>
      <c r="C738">
        <v>593.00099999999998</v>
      </c>
      <c r="D738">
        <v>1204</v>
      </c>
      <c r="E738">
        <v>0.1</v>
      </c>
      <c r="F738" t="s">
        <v>23</v>
      </c>
      <c r="G738" t="s">
        <v>23</v>
      </c>
      <c r="H738">
        <v>0</v>
      </c>
      <c r="I738">
        <v>0</v>
      </c>
      <c r="K738">
        <v>0.100632445</v>
      </c>
      <c r="L738">
        <v>0</v>
      </c>
      <c r="M738">
        <v>7.9868484000000003E-2</v>
      </c>
      <c r="N738">
        <v>0</v>
      </c>
      <c r="O738" t="s">
        <v>557</v>
      </c>
    </row>
    <row r="739" spans="1:15" x14ac:dyDescent="0.25">
      <c r="A739" t="s">
        <v>56</v>
      </c>
      <c r="B739" t="s">
        <v>96</v>
      </c>
      <c r="C739">
        <v>593.00099999999998</v>
      </c>
      <c r="D739">
        <v>1204</v>
      </c>
      <c r="E739">
        <v>1</v>
      </c>
      <c r="F739" t="s">
        <v>23</v>
      </c>
      <c r="G739" t="s">
        <v>23</v>
      </c>
      <c r="H739">
        <v>0</v>
      </c>
      <c r="I739">
        <v>0</v>
      </c>
      <c r="K739">
        <v>0.59383916599999997</v>
      </c>
      <c r="L739">
        <v>0</v>
      </c>
      <c r="M739">
        <v>0.57998187400000001</v>
      </c>
      <c r="N739">
        <v>0</v>
      </c>
      <c r="O739" t="s">
        <v>558</v>
      </c>
    </row>
    <row r="740" spans="1:15" x14ac:dyDescent="0.25">
      <c r="A740" t="s">
        <v>56</v>
      </c>
      <c r="B740" t="s">
        <v>96</v>
      </c>
      <c r="C740">
        <v>1204.001</v>
      </c>
      <c r="D740">
        <v>1768</v>
      </c>
      <c r="E740">
        <v>0.1</v>
      </c>
      <c r="F740" t="s">
        <v>23</v>
      </c>
      <c r="G740" t="s">
        <v>23</v>
      </c>
      <c r="H740">
        <v>0</v>
      </c>
      <c r="I740">
        <v>0</v>
      </c>
      <c r="K740">
        <v>0.11141328</v>
      </c>
      <c r="L740">
        <v>0</v>
      </c>
      <c r="M740">
        <v>9.1358763999999995E-2</v>
      </c>
      <c r="N740">
        <v>0</v>
      </c>
      <c r="O740" t="s">
        <v>559</v>
      </c>
    </row>
    <row r="741" spans="1:15" x14ac:dyDescent="0.25">
      <c r="A741" t="s">
        <v>56</v>
      </c>
      <c r="B741" t="s">
        <v>96</v>
      </c>
      <c r="C741">
        <v>1204.001</v>
      </c>
      <c r="D741">
        <v>1768</v>
      </c>
      <c r="E741">
        <v>1</v>
      </c>
      <c r="F741" t="s">
        <v>23</v>
      </c>
      <c r="G741" t="s">
        <v>23</v>
      </c>
      <c r="H741">
        <v>0</v>
      </c>
      <c r="I741">
        <v>0</v>
      </c>
      <c r="K741">
        <v>0.59549341300000003</v>
      </c>
      <c r="L741">
        <v>0</v>
      </c>
      <c r="M741">
        <v>0.58167553100000002</v>
      </c>
      <c r="N741">
        <v>0</v>
      </c>
      <c r="O741" t="s">
        <v>560</v>
      </c>
    </row>
    <row r="742" spans="1:15" x14ac:dyDescent="0.25">
      <c r="A742" t="s">
        <v>56</v>
      </c>
      <c r="B742" t="s">
        <v>97</v>
      </c>
      <c r="C742">
        <v>-270</v>
      </c>
      <c r="D742">
        <v>-240.001</v>
      </c>
      <c r="E742">
        <v>0.1</v>
      </c>
      <c r="F742" t="s">
        <v>23</v>
      </c>
      <c r="G742" t="s">
        <v>23</v>
      </c>
      <c r="H742">
        <v>0</v>
      </c>
      <c r="I742">
        <v>0</v>
      </c>
      <c r="K742">
        <v>0.24590050099999999</v>
      </c>
      <c r="L742">
        <v>0</v>
      </c>
      <c r="M742">
        <v>0.234882761</v>
      </c>
      <c r="N742">
        <v>0</v>
      </c>
      <c r="O742" t="s">
        <v>547</v>
      </c>
    </row>
    <row r="743" spans="1:15" x14ac:dyDescent="0.25">
      <c r="A743" t="s">
        <v>56</v>
      </c>
      <c r="B743" t="s">
        <v>97</v>
      </c>
      <c r="C743">
        <v>-270</v>
      </c>
      <c r="D743">
        <v>-240.001</v>
      </c>
      <c r="E743">
        <v>1</v>
      </c>
      <c r="F743" t="s">
        <v>23</v>
      </c>
      <c r="G743" t="s">
        <v>23</v>
      </c>
      <c r="H743">
        <v>0</v>
      </c>
      <c r="I743">
        <v>0</v>
      </c>
      <c r="K743">
        <v>0.63746254099999999</v>
      </c>
      <c r="L743">
        <v>0</v>
      </c>
      <c r="M743">
        <v>0.62062058600000003</v>
      </c>
      <c r="N743">
        <v>0</v>
      </c>
      <c r="O743" t="s">
        <v>548</v>
      </c>
    </row>
    <row r="744" spans="1:15" x14ac:dyDescent="0.25">
      <c r="A744" t="s">
        <v>56</v>
      </c>
      <c r="B744" t="s">
        <v>97</v>
      </c>
      <c r="C744">
        <v>-240</v>
      </c>
      <c r="D744">
        <v>92.998999999999995</v>
      </c>
      <c r="E744">
        <v>0.1</v>
      </c>
      <c r="F744" t="s">
        <v>23</v>
      </c>
      <c r="G744" t="s">
        <v>23</v>
      </c>
      <c r="H744">
        <v>0</v>
      </c>
      <c r="I744">
        <v>0</v>
      </c>
      <c r="K744">
        <v>0.108409273</v>
      </c>
      <c r="L744">
        <v>0</v>
      </c>
      <c r="M744">
        <v>8.5819788999999994E-2</v>
      </c>
      <c r="N744">
        <v>0</v>
      </c>
      <c r="O744" t="s">
        <v>549</v>
      </c>
    </row>
    <row r="745" spans="1:15" x14ac:dyDescent="0.25">
      <c r="A745" t="s">
        <v>56</v>
      </c>
      <c r="B745" t="s">
        <v>97</v>
      </c>
      <c r="C745">
        <v>-240</v>
      </c>
      <c r="D745">
        <v>92.998999999999995</v>
      </c>
      <c r="E745">
        <v>1</v>
      </c>
      <c r="F745" t="s">
        <v>23</v>
      </c>
      <c r="G745" t="s">
        <v>23</v>
      </c>
      <c r="H745">
        <v>0</v>
      </c>
      <c r="I745">
        <v>0</v>
      </c>
      <c r="K745">
        <v>0.59574757499999997</v>
      </c>
      <c r="L745">
        <v>0</v>
      </c>
      <c r="M745">
        <v>0.58083133200000003</v>
      </c>
      <c r="N745">
        <v>0</v>
      </c>
      <c r="O745" t="s">
        <v>550</v>
      </c>
    </row>
    <row r="746" spans="1:15" x14ac:dyDescent="0.25">
      <c r="A746" t="s">
        <v>56</v>
      </c>
      <c r="B746" t="s">
        <v>97</v>
      </c>
      <c r="C746">
        <v>93</v>
      </c>
      <c r="D746">
        <v>400</v>
      </c>
      <c r="E746">
        <v>0.1</v>
      </c>
      <c r="F746" t="s">
        <v>23</v>
      </c>
      <c r="G746" t="s">
        <v>23</v>
      </c>
      <c r="H746">
        <v>0</v>
      </c>
      <c r="I746">
        <v>0</v>
      </c>
      <c r="K746">
        <v>7.6721655999999999E-2</v>
      </c>
      <c r="L746">
        <v>0</v>
      </c>
      <c r="M746">
        <v>6.6644854000000003E-2</v>
      </c>
      <c r="N746">
        <v>0</v>
      </c>
      <c r="O746" t="s">
        <v>551</v>
      </c>
    </row>
    <row r="747" spans="1:15" x14ac:dyDescent="0.25">
      <c r="A747" t="s">
        <v>56</v>
      </c>
      <c r="B747" t="s">
        <v>97</v>
      </c>
      <c r="C747">
        <v>93</v>
      </c>
      <c r="D747">
        <v>400</v>
      </c>
      <c r="E747">
        <v>1</v>
      </c>
      <c r="F747" t="s">
        <v>23</v>
      </c>
      <c r="G747" t="s">
        <v>23</v>
      </c>
      <c r="H747">
        <v>0</v>
      </c>
      <c r="I747">
        <v>0</v>
      </c>
      <c r="K747">
        <v>0.58328401299999999</v>
      </c>
      <c r="L747">
        <v>0</v>
      </c>
      <c r="M747">
        <v>0.57830920500000005</v>
      </c>
      <c r="N747">
        <v>0</v>
      </c>
      <c r="O747" t="s">
        <v>552</v>
      </c>
    </row>
    <row r="748" spans="1:15" x14ac:dyDescent="0.25">
      <c r="A748" t="s">
        <v>56</v>
      </c>
      <c r="B748" t="s">
        <v>46</v>
      </c>
      <c r="C748">
        <v>0</v>
      </c>
      <c r="D748">
        <v>9.9999999999999995E-8</v>
      </c>
      <c r="E748">
        <v>9.9999999999999998E-13</v>
      </c>
      <c r="F748" t="s">
        <v>13</v>
      </c>
      <c r="G748" t="s">
        <v>72</v>
      </c>
      <c r="H748">
        <v>0</v>
      </c>
      <c r="I748">
        <v>0</v>
      </c>
      <c r="K748">
        <v>4.8000000000000001E-2</v>
      </c>
      <c r="L748">
        <v>34000</v>
      </c>
      <c r="M748">
        <v>4.6246000000000002E-2</v>
      </c>
      <c r="N748">
        <v>34649</v>
      </c>
      <c r="O748" t="s">
        <v>487</v>
      </c>
    </row>
    <row r="749" spans="1:15" x14ac:dyDescent="0.25">
      <c r="A749" t="s">
        <v>56</v>
      </c>
      <c r="B749" t="s">
        <v>46</v>
      </c>
      <c r="C749">
        <v>0</v>
      </c>
      <c r="D749">
        <v>9.9999999999999995E-8</v>
      </c>
      <c r="E749">
        <v>9.9999999999999994E-12</v>
      </c>
      <c r="F749" t="s">
        <v>13</v>
      </c>
      <c r="G749" t="s">
        <v>72</v>
      </c>
      <c r="H749">
        <v>0</v>
      </c>
      <c r="I749">
        <v>0</v>
      </c>
      <c r="K749">
        <v>4.8000000000000001E-2</v>
      </c>
      <c r="L749">
        <v>34000</v>
      </c>
      <c r="M749">
        <v>4.6600999999999997E-2</v>
      </c>
      <c r="N749">
        <v>34403</v>
      </c>
      <c r="O749" t="s">
        <v>488</v>
      </c>
    </row>
    <row r="750" spans="1:15" x14ac:dyDescent="0.25">
      <c r="A750" t="s">
        <v>56</v>
      </c>
      <c r="B750" t="s">
        <v>46</v>
      </c>
      <c r="C750">
        <v>0</v>
      </c>
      <c r="D750">
        <v>9.9999999999999995E-8</v>
      </c>
      <c r="E750">
        <v>1E-10</v>
      </c>
      <c r="F750" t="s">
        <v>13</v>
      </c>
      <c r="G750" t="s">
        <v>72</v>
      </c>
      <c r="H750">
        <v>0</v>
      </c>
      <c r="I750">
        <v>0</v>
      </c>
      <c r="K750">
        <v>7.4257000000000004E-2</v>
      </c>
      <c r="L750">
        <v>24027</v>
      </c>
      <c r="M750">
        <v>7.3969999999999994E-2</v>
      </c>
      <c r="N750">
        <v>22146</v>
      </c>
      <c r="O750" t="s">
        <v>489</v>
      </c>
    </row>
    <row r="751" spans="1:15" x14ac:dyDescent="0.25">
      <c r="A751" t="s">
        <v>56</v>
      </c>
      <c r="B751" t="s">
        <v>46</v>
      </c>
      <c r="C751">
        <v>0</v>
      </c>
      <c r="D751">
        <v>9.9999999999999995E-8</v>
      </c>
      <c r="E751">
        <v>1.0000000000000001E-9</v>
      </c>
      <c r="F751" t="s">
        <v>13</v>
      </c>
      <c r="G751" t="s">
        <v>72</v>
      </c>
      <c r="H751">
        <v>0</v>
      </c>
      <c r="I751">
        <v>0</v>
      </c>
      <c r="K751">
        <v>0.57935000000000003</v>
      </c>
      <c r="L751">
        <v>3897.9</v>
      </c>
      <c r="M751">
        <v>0.57920000000000005</v>
      </c>
      <c r="N751">
        <v>2870.4</v>
      </c>
      <c r="O751" t="s">
        <v>490</v>
      </c>
    </row>
    <row r="752" spans="1:15" x14ac:dyDescent="0.25">
      <c r="A752" t="s">
        <v>56</v>
      </c>
      <c r="B752" t="s">
        <v>46</v>
      </c>
      <c r="C752">
        <v>0</v>
      </c>
      <c r="D752">
        <v>9.9999999999999995E-8</v>
      </c>
      <c r="E752">
        <v>1E-8</v>
      </c>
      <c r="F752" t="s">
        <v>13</v>
      </c>
      <c r="G752" t="s">
        <v>72</v>
      </c>
      <c r="H752">
        <v>0</v>
      </c>
      <c r="I752">
        <v>0</v>
      </c>
      <c r="K752">
        <v>5.7737999999999996</v>
      </c>
      <c r="L752">
        <v>700.9</v>
      </c>
      <c r="M752">
        <v>5.7736999999999998</v>
      </c>
      <c r="N752">
        <v>288.02</v>
      </c>
      <c r="O752" t="s">
        <v>491</v>
      </c>
    </row>
    <row r="753" spans="1:15" x14ac:dyDescent="0.25">
      <c r="A753" t="s">
        <v>56</v>
      </c>
      <c r="B753" t="s">
        <v>46</v>
      </c>
      <c r="C753">
        <v>0</v>
      </c>
      <c r="D753">
        <v>9.9999999999999995E-8</v>
      </c>
      <c r="E753">
        <v>9.9999999999999995E-8</v>
      </c>
      <c r="F753" t="s">
        <v>13</v>
      </c>
      <c r="G753" t="s">
        <v>72</v>
      </c>
      <c r="H753">
        <v>0</v>
      </c>
      <c r="I753">
        <v>0</v>
      </c>
      <c r="K753">
        <v>57.735999999999997</v>
      </c>
      <c r="L753">
        <v>193.97</v>
      </c>
      <c r="M753">
        <v>57.735999999999997</v>
      </c>
      <c r="N753">
        <v>28.803000000000001</v>
      </c>
      <c r="O753" t="s">
        <v>492</v>
      </c>
    </row>
    <row r="754" spans="1:15" x14ac:dyDescent="0.25">
      <c r="A754" t="s">
        <v>56</v>
      </c>
      <c r="B754" t="s">
        <v>46</v>
      </c>
      <c r="C754">
        <v>0</v>
      </c>
      <c r="D754">
        <v>9.9999999999999995E-8</v>
      </c>
      <c r="E754">
        <v>9.9999999999999995E-7</v>
      </c>
      <c r="F754" t="s">
        <v>13</v>
      </c>
      <c r="G754" t="s">
        <v>72</v>
      </c>
      <c r="H754">
        <v>0</v>
      </c>
      <c r="I754">
        <v>0</v>
      </c>
      <c r="K754">
        <v>577.36</v>
      </c>
      <c r="L754">
        <v>68.944999999999993</v>
      </c>
      <c r="M754">
        <v>577.36</v>
      </c>
      <c r="N754">
        <v>2.8803000000000001</v>
      </c>
      <c r="O754" t="s">
        <v>493</v>
      </c>
    </row>
    <row r="755" spans="1:15" x14ac:dyDescent="0.25">
      <c r="A755" t="s">
        <v>56</v>
      </c>
      <c r="B755" t="s">
        <v>46</v>
      </c>
      <c r="C755">
        <v>0</v>
      </c>
      <c r="D755">
        <v>9.9999999999999995E-8</v>
      </c>
      <c r="E755">
        <v>1.0000000000000001E-5</v>
      </c>
      <c r="F755" t="s">
        <v>13</v>
      </c>
      <c r="G755" t="s">
        <v>72</v>
      </c>
      <c r="H755">
        <v>0</v>
      </c>
      <c r="I755">
        <v>0</v>
      </c>
      <c r="K755">
        <v>5773.6</v>
      </c>
      <c r="L755">
        <v>26.713999999999999</v>
      </c>
      <c r="M755">
        <v>5773.6</v>
      </c>
      <c r="N755">
        <v>0.28803000000000001</v>
      </c>
      <c r="O755" t="s">
        <v>494</v>
      </c>
    </row>
    <row r="756" spans="1:15" x14ac:dyDescent="0.25">
      <c r="A756" t="s">
        <v>56</v>
      </c>
      <c r="B756" t="s">
        <v>46</v>
      </c>
      <c r="C756">
        <v>0</v>
      </c>
      <c r="D756">
        <v>9.9999999999999995E-8</v>
      </c>
      <c r="E756">
        <v>1E-4</v>
      </c>
      <c r="F756" t="s">
        <v>13</v>
      </c>
      <c r="G756" t="s">
        <v>72</v>
      </c>
      <c r="H756">
        <v>0</v>
      </c>
      <c r="I756">
        <v>0</v>
      </c>
      <c r="K756">
        <v>57736</v>
      </c>
      <c r="L756">
        <v>10.599</v>
      </c>
      <c r="M756">
        <v>57736</v>
      </c>
      <c r="N756">
        <v>2.8736000000000001E-2</v>
      </c>
      <c r="O756" t="s">
        <v>495</v>
      </c>
    </row>
    <row r="757" spans="1:15" x14ac:dyDescent="0.25">
      <c r="A757" t="s">
        <v>56</v>
      </c>
      <c r="B757" t="s">
        <v>46</v>
      </c>
      <c r="C757">
        <v>0</v>
      </c>
      <c r="D757">
        <v>9.9999999999999995E-8</v>
      </c>
      <c r="E757">
        <v>1E-3</v>
      </c>
      <c r="F757" t="s">
        <v>13</v>
      </c>
      <c r="G757" t="s">
        <v>72</v>
      </c>
      <c r="H757">
        <v>0</v>
      </c>
      <c r="I757">
        <v>0</v>
      </c>
      <c r="K757">
        <v>577360</v>
      </c>
      <c r="L757">
        <v>4.2309000000000001</v>
      </c>
      <c r="M757">
        <v>577360</v>
      </c>
      <c r="N757">
        <v>0</v>
      </c>
      <c r="O757" t="s">
        <v>496</v>
      </c>
    </row>
    <row r="758" spans="1:15" x14ac:dyDescent="0.25">
      <c r="A758" t="s">
        <v>56</v>
      </c>
      <c r="B758" t="s">
        <v>46</v>
      </c>
      <c r="C758">
        <v>0</v>
      </c>
      <c r="D758">
        <v>9.9999999999999995E-8</v>
      </c>
      <c r="E758">
        <v>0.01</v>
      </c>
      <c r="F758" t="s">
        <v>13</v>
      </c>
      <c r="G758" t="s">
        <v>72</v>
      </c>
      <c r="H758">
        <v>0</v>
      </c>
      <c r="I758">
        <v>0</v>
      </c>
      <c r="K758">
        <v>5773600</v>
      </c>
      <c r="L758">
        <v>1.6933</v>
      </c>
      <c r="M758">
        <v>5773600</v>
      </c>
      <c r="N758">
        <v>0</v>
      </c>
      <c r="O758" t="s">
        <v>497</v>
      </c>
    </row>
    <row r="759" spans="1:15" x14ac:dyDescent="0.25">
      <c r="A759" t="s">
        <v>56</v>
      </c>
      <c r="B759" t="s">
        <v>46</v>
      </c>
      <c r="C759">
        <v>0</v>
      </c>
      <c r="D759">
        <v>9.9999999999999995E-8</v>
      </c>
      <c r="E759">
        <v>0.1</v>
      </c>
      <c r="F759" t="s">
        <v>13</v>
      </c>
      <c r="G759" t="s">
        <v>72</v>
      </c>
      <c r="H759">
        <v>0</v>
      </c>
      <c r="I759">
        <v>0</v>
      </c>
      <c r="K759">
        <v>57736000</v>
      </c>
      <c r="L759">
        <v>0.75258000000000003</v>
      </c>
      <c r="M759">
        <v>57736000</v>
      </c>
      <c r="N759">
        <v>0</v>
      </c>
      <c r="O759" t="s">
        <v>498</v>
      </c>
    </row>
    <row r="760" spans="1:15" x14ac:dyDescent="0.25">
      <c r="A760" t="s">
        <v>56</v>
      </c>
      <c r="B760" t="s">
        <v>46</v>
      </c>
      <c r="C760">
        <v>9.9999999999999995E-8</v>
      </c>
      <c r="D760">
        <v>9.9999999999999995E-7</v>
      </c>
      <c r="E760">
        <v>9.9999999999999998E-13</v>
      </c>
      <c r="F760" t="s">
        <v>13</v>
      </c>
      <c r="G760" t="s">
        <v>72</v>
      </c>
      <c r="H760">
        <v>0</v>
      </c>
      <c r="I760">
        <v>0</v>
      </c>
      <c r="K760">
        <v>4.8000000000000001E-2</v>
      </c>
      <c r="L760">
        <v>23000</v>
      </c>
      <c r="M760">
        <v>4.6073000000000003E-2</v>
      </c>
      <c r="N760">
        <v>24826</v>
      </c>
      <c r="O760" t="s">
        <v>499</v>
      </c>
    </row>
    <row r="761" spans="1:15" x14ac:dyDescent="0.25">
      <c r="A761" t="s">
        <v>56</v>
      </c>
      <c r="B761" t="s">
        <v>46</v>
      </c>
      <c r="C761">
        <v>9.9999999999999995E-8</v>
      </c>
      <c r="D761">
        <v>9.9999999999999995E-7</v>
      </c>
      <c r="E761">
        <v>9.9999999999999994E-12</v>
      </c>
      <c r="F761" t="s">
        <v>13</v>
      </c>
      <c r="G761" t="s">
        <v>72</v>
      </c>
      <c r="H761">
        <v>0</v>
      </c>
      <c r="I761">
        <v>0</v>
      </c>
      <c r="K761">
        <v>4.8000000000000001E-2</v>
      </c>
      <c r="L761">
        <v>23271</v>
      </c>
      <c r="M761">
        <v>4.6424E-2</v>
      </c>
      <c r="N761">
        <v>24708</v>
      </c>
      <c r="O761" t="s">
        <v>500</v>
      </c>
    </row>
    <row r="762" spans="1:15" x14ac:dyDescent="0.25">
      <c r="A762" t="s">
        <v>56</v>
      </c>
      <c r="B762" t="s">
        <v>46</v>
      </c>
      <c r="C762">
        <v>9.9999999999999995E-8</v>
      </c>
      <c r="D762">
        <v>9.9999999999999995E-7</v>
      </c>
      <c r="E762">
        <v>1E-10</v>
      </c>
      <c r="F762" t="s">
        <v>13</v>
      </c>
      <c r="G762" t="s">
        <v>72</v>
      </c>
      <c r="H762">
        <v>0</v>
      </c>
      <c r="I762">
        <v>0</v>
      </c>
      <c r="K762">
        <v>7.4091000000000004E-2</v>
      </c>
      <c r="L762">
        <v>17690</v>
      </c>
      <c r="M762">
        <v>7.3660000000000003E-2</v>
      </c>
      <c r="N762">
        <v>17772</v>
      </c>
      <c r="O762" t="s">
        <v>501</v>
      </c>
    </row>
    <row r="763" spans="1:15" x14ac:dyDescent="0.25">
      <c r="A763" t="s">
        <v>56</v>
      </c>
      <c r="B763" t="s">
        <v>46</v>
      </c>
      <c r="C763">
        <v>9.9999999999999995E-8</v>
      </c>
      <c r="D763">
        <v>9.9999999999999995E-7</v>
      </c>
      <c r="E763">
        <v>1.0000000000000001E-9</v>
      </c>
      <c r="F763" t="s">
        <v>13</v>
      </c>
      <c r="G763" t="s">
        <v>72</v>
      </c>
      <c r="H763">
        <v>0</v>
      </c>
      <c r="I763">
        <v>0</v>
      </c>
      <c r="K763">
        <v>0.57935999999999999</v>
      </c>
      <c r="L763">
        <v>2553.1999999999998</v>
      </c>
      <c r="M763">
        <v>0.57913999999999999</v>
      </c>
      <c r="N763">
        <v>2554.1</v>
      </c>
      <c r="O763" t="s">
        <v>502</v>
      </c>
    </row>
    <row r="764" spans="1:15" x14ac:dyDescent="0.25">
      <c r="A764" t="s">
        <v>56</v>
      </c>
      <c r="B764" t="s">
        <v>46</v>
      </c>
      <c r="C764">
        <v>9.9999999999999995E-8</v>
      </c>
      <c r="D764">
        <v>9.9999999999999995E-7</v>
      </c>
      <c r="E764">
        <v>1E-8</v>
      </c>
      <c r="F764" t="s">
        <v>13</v>
      </c>
      <c r="G764" t="s">
        <v>72</v>
      </c>
      <c r="H764">
        <v>0</v>
      </c>
      <c r="I764">
        <v>0</v>
      </c>
      <c r="K764">
        <v>5.7737999999999996</v>
      </c>
      <c r="L764">
        <v>256.81</v>
      </c>
      <c r="M764">
        <v>5.7736999999999998</v>
      </c>
      <c r="N764">
        <v>256.81</v>
      </c>
      <c r="O764" t="s">
        <v>503</v>
      </c>
    </row>
    <row r="765" spans="1:15" x14ac:dyDescent="0.25">
      <c r="A765" t="s">
        <v>56</v>
      </c>
      <c r="B765" t="s">
        <v>46</v>
      </c>
      <c r="C765">
        <v>9.9999999999999995E-8</v>
      </c>
      <c r="D765">
        <v>9.9999999999999995E-7</v>
      </c>
      <c r="E765">
        <v>9.9999999999999995E-8</v>
      </c>
      <c r="F765" t="s">
        <v>13</v>
      </c>
      <c r="G765" t="s">
        <v>72</v>
      </c>
      <c r="H765">
        <v>0</v>
      </c>
      <c r="I765">
        <v>0</v>
      </c>
      <c r="K765">
        <v>57.735999999999997</v>
      </c>
      <c r="L765">
        <v>25.681999999999999</v>
      </c>
      <c r="M765">
        <v>57.735999999999997</v>
      </c>
      <c r="N765">
        <v>25.681999999999999</v>
      </c>
      <c r="O765" t="s">
        <v>504</v>
      </c>
    </row>
    <row r="766" spans="1:15" x14ac:dyDescent="0.25">
      <c r="A766" t="s">
        <v>56</v>
      </c>
      <c r="B766" t="s">
        <v>46</v>
      </c>
      <c r="C766">
        <v>9.9999999999999995E-7</v>
      </c>
      <c r="D766">
        <v>1.0000000000000001E-5</v>
      </c>
      <c r="E766">
        <v>9.9999999999999998E-13</v>
      </c>
      <c r="F766" t="s">
        <v>13</v>
      </c>
      <c r="G766" t="s">
        <v>72</v>
      </c>
      <c r="H766">
        <v>0</v>
      </c>
      <c r="I766">
        <v>0</v>
      </c>
      <c r="K766">
        <v>0.13</v>
      </c>
      <c r="L766">
        <v>25000</v>
      </c>
      <c r="M766">
        <v>0.11375</v>
      </c>
      <c r="N766">
        <v>25625</v>
      </c>
      <c r="O766" t="s">
        <v>505</v>
      </c>
    </row>
    <row r="767" spans="1:15" x14ac:dyDescent="0.25">
      <c r="A767" t="s">
        <v>56</v>
      </c>
      <c r="B767" t="s">
        <v>46</v>
      </c>
      <c r="C767">
        <v>9.9999999999999995E-7</v>
      </c>
      <c r="D767">
        <v>1.0000000000000001E-5</v>
      </c>
      <c r="E767">
        <v>9.9999999999999994E-12</v>
      </c>
      <c r="F767" t="s">
        <v>13</v>
      </c>
      <c r="G767" t="s">
        <v>72</v>
      </c>
      <c r="H767">
        <v>0</v>
      </c>
      <c r="I767">
        <v>0</v>
      </c>
      <c r="K767">
        <v>0.13</v>
      </c>
      <c r="L767">
        <v>25119</v>
      </c>
      <c r="M767">
        <v>0.11389000000000001</v>
      </c>
      <c r="N767">
        <v>25617</v>
      </c>
      <c r="O767" t="s">
        <v>506</v>
      </c>
    </row>
    <row r="768" spans="1:15" x14ac:dyDescent="0.25">
      <c r="A768" t="s">
        <v>56</v>
      </c>
      <c r="B768" t="s">
        <v>46</v>
      </c>
      <c r="C768">
        <v>9.9999999999999995E-7</v>
      </c>
      <c r="D768">
        <v>1.0000000000000001E-5</v>
      </c>
      <c r="E768">
        <v>1E-10</v>
      </c>
      <c r="F768" t="s">
        <v>13</v>
      </c>
      <c r="G768" t="s">
        <v>72</v>
      </c>
      <c r="H768">
        <v>0</v>
      </c>
      <c r="I768">
        <v>0</v>
      </c>
      <c r="K768">
        <v>0.13</v>
      </c>
      <c r="L768">
        <v>24832</v>
      </c>
      <c r="M768">
        <v>0.12601999999999999</v>
      </c>
      <c r="N768">
        <v>24846</v>
      </c>
      <c r="O768" t="s">
        <v>507</v>
      </c>
    </row>
    <row r="769" spans="1:15" x14ac:dyDescent="0.25">
      <c r="A769" t="s">
        <v>56</v>
      </c>
      <c r="B769" t="s">
        <v>46</v>
      </c>
      <c r="C769">
        <v>9.9999999999999995E-7</v>
      </c>
      <c r="D769">
        <v>1.0000000000000001E-5</v>
      </c>
      <c r="E769">
        <v>1.0000000000000001E-9</v>
      </c>
      <c r="F769" t="s">
        <v>13</v>
      </c>
      <c r="G769" t="s">
        <v>72</v>
      </c>
      <c r="H769">
        <v>0</v>
      </c>
      <c r="I769">
        <v>0</v>
      </c>
      <c r="K769">
        <v>0.58396000000000003</v>
      </c>
      <c r="L769">
        <v>10197</v>
      </c>
      <c r="M769">
        <v>0.58374000000000004</v>
      </c>
      <c r="N769">
        <v>10200</v>
      </c>
      <c r="O769" t="s">
        <v>508</v>
      </c>
    </row>
    <row r="770" spans="1:15" x14ac:dyDescent="0.25">
      <c r="A770" t="s">
        <v>56</v>
      </c>
      <c r="B770" t="s">
        <v>46</v>
      </c>
      <c r="C770">
        <v>9.9999999999999995E-7</v>
      </c>
      <c r="D770">
        <v>1.0000000000000001E-5</v>
      </c>
      <c r="E770">
        <v>1E-8</v>
      </c>
      <c r="F770" t="s">
        <v>13</v>
      </c>
      <c r="G770" t="s">
        <v>72</v>
      </c>
      <c r="H770">
        <v>0</v>
      </c>
      <c r="I770">
        <v>0</v>
      </c>
      <c r="K770">
        <v>5.7742000000000004</v>
      </c>
      <c r="L770">
        <v>1129.0999999999999</v>
      </c>
      <c r="M770">
        <v>5.7740999999999998</v>
      </c>
      <c r="N770">
        <v>1129.0999999999999</v>
      </c>
      <c r="O770" t="s">
        <v>509</v>
      </c>
    </row>
    <row r="771" spans="1:15" x14ac:dyDescent="0.25">
      <c r="A771" t="s">
        <v>56</v>
      </c>
      <c r="B771" t="s">
        <v>46</v>
      </c>
      <c r="C771">
        <v>9.9999999999999995E-7</v>
      </c>
      <c r="D771">
        <v>1.0000000000000001E-5</v>
      </c>
      <c r="E771">
        <v>9.9999999999999995E-8</v>
      </c>
      <c r="F771" t="s">
        <v>13</v>
      </c>
      <c r="G771" t="s">
        <v>72</v>
      </c>
      <c r="H771">
        <v>0</v>
      </c>
      <c r="I771">
        <v>0</v>
      </c>
      <c r="K771">
        <v>57.735999999999997</v>
      </c>
      <c r="L771">
        <v>113.04</v>
      </c>
      <c r="M771">
        <v>57.734999999999999</v>
      </c>
      <c r="N771">
        <v>113.04</v>
      </c>
      <c r="O771" t="s">
        <v>510</v>
      </c>
    </row>
    <row r="772" spans="1:15" x14ac:dyDescent="0.25">
      <c r="A772" t="s">
        <v>56</v>
      </c>
      <c r="B772" t="s">
        <v>46</v>
      </c>
      <c r="C772">
        <v>1.0000000000000001E-5</v>
      </c>
      <c r="D772">
        <v>1E-4</v>
      </c>
      <c r="E772">
        <v>9.9999999999999994E-12</v>
      </c>
      <c r="F772" t="s">
        <v>13</v>
      </c>
      <c r="G772" t="s">
        <v>72</v>
      </c>
      <c r="H772">
        <v>0</v>
      </c>
      <c r="I772">
        <v>0</v>
      </c>
      <c r="K772">
        <v>0.16</v>
      </c>
      <c r="L772">
        <v>23000</v>
      </c>
      <c r="M772">
        <v>0.11411</v>
      </c>
      <c r="N772">
        <v>23000</v>
      </c>
      <c r="O772" t="s">
        <v>511</v>
      </c>
    </row>
    <row r="773" spans="1:15" x14ac:dyDescent="0.25">
      <c r="A773" t="s">
        <v>56</v>
      </c>
      <c r="B773" t="s">
        <v>46</v>
      </c>
      <c r="C773">
        <v>1.0000000000000001E-5</v>
      </c>
      <c r="D773">
        <v>1E-4</v>
      </c>
      <c r="E773">
        <v>1E-10</v>
      </c>
      <c r="F773" t="s">
        <v>13</v>
      </c>
      <c r="G773" t="s">
        <v>72</v>
      </c>
      <c r="H773">
        <v>0</v>
      </c>
      <c r="I773">
        <v>0</v>
      </c>
      <c r="K773">
        <v>0.16</v>
      </c>
      <c r="L773">
        <v>23403</v>
      </c>
      <c r="M773">
        <v>0.11928</v>
      </c>
      <c r="N773">
        <v>23403</v>
      </c>
      <c r="O773" t="s">
        <v>512</v>
      </c>
    </row>
    <row r="774" spans="1:15" x14ac:dyDescent="0.25">
      <c r="A774" t="s">
        <v>56</v>
      </c>
      <c r="B774" t="s">
        <v>46</v>
      </c>
      <c r="C774">
        <v>1.0000000000000001E-5</v>
      </c>
      <c r="D774">
        <v>1E-4</v>
      </c>
      <c r="E774">
        <v>1.0000000000000001E-9</v>
      </c>
      <c r="F774" t="s">
        <v>13</v>
      </c>
      <c r="G774" t="s">
        <v>72</v>
      </c>
      <c r="H774">
        <v>0</v>
      </c>
      <c r="I774">
        <v>0</v>
      </c>
      <c r="K774">
        <v>0.47123999999999999</v>
      </c>
      <c r="L774">
        <v>20574</v>
      </c>
      <c r="M774">
        <v>0.46866000000000002</v>
      </c>
      <c r="N774">
        <v>20574</v>
      </c>
      <c r="O774" t="s">
        <v>513</v>
      </c>
    </row>
    <row r="775" spans="1:15" x14ac:dyDescent="0.25">
      <c r="A775" t="s">
        <v>56</v>
      </c>
      <c r="B775" t="s">
        <v>46</v>
      </c>
      <c r="C775">
        <v>1.0000000000000001E-5</v>
      </c>
      <c r="D775">
        <v>1E-4</v>
      </c>
      <c r="E775">
        <v>1E-8</v>
      </c>
      <c r="F775" t="s">
        <v>13</v>
      </c>
      <c r="G775" t="s">
        <v>72</v>
      </c>
      <c r="H775">
        <v>0</v>
      </c>
      <c r="I775">
        <v>0</v>
      </c>
      <c r="K775">
        <v>5.7304000000000004</v>
      </c>
      <c r="L775">
        <v>5486.9</v>
      </c>
      <c r="M775">
        <v>5.7294</v>
      </c>
      <c r="N775">
        <v>5486.9</v>
      </c>
      <c r="O775" t="s">
        <v>514</v>
      </c>
    </row>
    <row r="776" spans="1:15" x14ac:dyDescent="0.25">
      <c r="A776" t="s">
        <v>56</v>
      </c>
      <c r="B776" t="s">
        <v>46</v>
      </c>
      <c r="C776">
        <v>1.0000000000000001E-5</v>
      </c>
      <c r="D776">
        <v>1E-4</v>
      </c>
      <c r="E776">
        <v>9.9999999999999995E-8</v>
      </c>
      <c r="F776" t="s">
        <v>13</v>
      </c>
      <c r="G776" t="s">
        <v>72</v>
      </c>
      <c r="H776">
        <v>0</v>
      </c>
      <c r="I776">
        <v>0</v>
      </c>
      <c r="K776">
        <v>57.731000000000002</v>
      </c>
      <c r="L776">
        <v>581.51</v>
      </c>
      <c r="M776">
        <v>57.731000000000002</v>
      </c>
      <c r="N776">
        <v>581.51</v>
      </c>
      <c r="O776" t="s">
        <v>515</v>
      </c>
    </row>
    <row r="777" spans="1:15" x14ac:dyDescent="0.25">
      <c r="A777" t="s">
        <v>56</v>
      </c>
      <c r="B777" t="s">
        <v>46</v>
      </c>
      <c r="C777">
        <v>1.0000000000000001E-5</v>
      </c>
      <c r="D777">
        <v>1E-4</v>
      </c>
      <c r="E777">
        <v>9.9999999999999995E-7</v>
      </c>
      <c r="F777" t="s">
        <v>13</v>
      </c>
      <c r="G777" t="s">
        <v>72</v>
      </c>
      <c r="H777">
        <v>0</v>
      </c>
      <c r="I777">
        <v>0</v>
      </c>
      <c r="K777">
        <v>577.35</v>
      </c>
      <c r="L777">
        <v>61.585000000000001</v>
      </c>
      <c r="M777">
        <v>577.35</v>
      </c>
      <c r="N777">
        <v>61.585000000000001</v>
      </c>
      <c r="O777" t="s">
        <v>516</v>
      </c>
    </row>
    <row r="778" spans="1:15" x14ac:dyDescent="0.25">
      <c r="A778" t="s">
        <v>56</v>
      </c>
      <c r="B778" t="s">
        <v>46</v>
      </c>
      <c r="C778">
        <v>1E-4</v>
      </c>
      <c r="D778">
        <v>1E-3</v>
      </c>
      <c r="E778">
        <v>1E-10</v>
      </c>
      <c r="F778" t="s">
        <v>13</v>
      </c>
      <c r="G778" t="s">
        <v>72</v>
      </c>
      <c r="H778">
        <v>0</v>
      </c>
      <c r="I778">
        <v>0</v>
      </c>
      <c r="K778">
        <v>6.3</v>
      </c>
      <c r="L778">
        <v>23000</v>
      </c>
      <c r="M778">
        <v>5.7455999999999996</v>
      </c>
      <c r="N778">
        <v>23552</v>
      </c>
      <c r="O778" t="s">
        <v>517</v>
      </c>
    </row>
    <row r="779" spans="1:15" x14ac:dyDescent="0.25">
      <c r="A779" t="s">
        <v>56</v>
      </c>
      <c r="B779" t="s">
        <v>46</v>
      </c>
      <c r="C779">
        <v>1E-4</v>
      </c>
      <c r="D779">
        <v>1E-3</v>
      </c>
      <c r="E779">
        <v>1.0000000000000001E-9</v>
      </c>
      <c r="F779" t="s">
        <v>13</v>
      </c>
      <c r="G779" t="s">
        <v>72</v>
      </c>
      <c r="H779">
        <v>0</v>
      </c>
      <c r="I779">
        <v>0</v>
      </c>
      <c r="K779">
        <v>6.3</v>
      </c>
      <c r="L779">
        <v>23340</v>
      </c>
      <c r="M779">
        <v>5.7675000000000001</v>
      </c>
      <c r="N779">
        <v>23536</v>
      </c>
      <c r="O779" t="s">
        <v>518</v>
      </c>
    </row>
    <row r="780" spans="1:15" x14ac:dyDescent="0.25">
      <c r="A780" t="s">
        <v>56</v>
      </c>
      <c r="B780" t="s">
        <v>46</v>
      </c>
      <c r="C780">
        <v>1E-4</v>
      </c>
      <c r="D780">
        <v>1E-3</v>
      </c>
      <c r="E780">
        <v>1E-8</v>
      </c>
      <c r="F780" t="s">
        <v>13</v>
      </c>
      <c r="G780" t="s">
        <v>72</v>
      </c>
      <c r="H780">
        <v>0</v>
      </c>
      <c r="I780">
        <v>0</v>
      </c>
      <c r="K780">
        <v>7.7388000000000003</v>
      </c>
      <c r="L780">
        <v>22133</v>
      </c>
      <c r="M780">
        <v>7.7351000000000001</v>
      </c>
      <c r="N780">
        <v>22126</v>
      </c>
      <c r="O780" t="s">
        <v>519</v>
      </c>
    </row>
    <row r="781" spans="1:15" x14ac:dyDescent="0.25">
      <c r="A781" t="s">
        <v>56</v>
      </c>
      <c r="B781" t="s">
        <v>46</v>
      </c>
      <c r="C781">
        <v>1E-4</v>
      </c>
      <c r="D781">
        <v>1E-3</v>
      </c>
      <c r="E781">
        <v>9.9999999999999995E-8</v>
      </c>
      <c r="F781" t="s">
        <v>13</v>
      </c>
      <c r="G781" t="s">
        <v>72</v>
      </c>
      <c r="H781">
        <v>0</v>
      </c>
      <c r="I781">
        <v>0</v>
      </c>
      <c r="K781">
        <v>57.585999999999999</v>
      </c>
      <c r="L781">
        <v>7177.2</v>
      </c>
      <c r="M781">
        <v>57.585000000000001</v>
      </c>
      <c r="N781">
        <v>7158.5</v>
      </c>
      <c r="O781" t="s">
        <v>520</v>
      </c>
    </row>
    <row r="782" spans="1:15" x14ac:dyDescent="0.25">
      <c r="A782" t="s">
        <v>56</v>
      </c>
      <c r="B782" t="s">
        <v>46</v>
      </c>
      <c r="C782">
        <v>1E-4</v>
      </c>
      <c r="D782">
        <v>1E-3</v>
      </c>
      <c r="E782">
        <v>9.9999999999999995E-7</v>
      </c>
      <c r="F782" t="s">
        <v>13</v>
      </c>
      <c r="G782" t="s">
        <v>72</v>
      </c>
      <c r="H782">
        <v>0</v>
      </c>
      <c r="I782">
        <v>0</v>
      </c>
      <c r="K782">
        <v>577.34</v>
      </c>
      <c r="L782">
        <v>770.78</v>
      </c>
      <c r="M782">
        <v>577.34</v>
      </c>
      <c r="N782">
        <v>762.27</v>
      </c>
      <c r="O782" t="s">
        <v>521</v>
      </c>
    </row>
    <row r="783" spans="1:15" x14ac:dyDescent="0.25">
      <c r="A783" t="s">
        <v>56</v>
      </c>
      <c r="B783" t="s">
        <v>46</v>
      </c>
      <c r="C783">
        <v>1E-4</v>
      </c>
      <c r="D783">
        <v>1E-3</v>
      </c>
      <c r="E783">
        <v>1.0000000000000001E-5</v>
      </c>
      <c r="F783" t="s">
        <v>13</v>
      </c>
      <c r="G783" t="s">
        <v>72</v>
      </c>
      <c r="H783">
        <v>0</v>
      </c>
      <c r="I783">
        <v>0</v>
      </c>
      <c r="K783">
        <v>5773.6</v>
      </c>
      <c r="L783">
        <v>79.686000000000007</v>
      </c>
      <c r="M783">
        <v>5773.5</v>
      </c>
      <c r="N783">
        <v>76.28</v>
      </c>
      <c r="O783" t="s">
        <v>522</v>
      </c>
    </row>
    <row r="784" spans="1:15" x14ac:dyDescent="0.25">
      <c r="A784" t="s">
        <v>56</v>
      </c>
      <c r="B784" t="s">
        <v>46</v>
      </c>
      <c r="C784">
        <v>1E-3</v>
      </c>
      <c r="D784">
        <v>0.01</v>
      </c>
      <c r="E784">
        <v>1.0000000000000001E-9</v>
      </c>
      <c r="F784" t="s">
        <v>13</v>
      </c>
      <c r="G784" t="s">
        <v>11</v>
      </c>
      <c r="H784">
        <v>0</v>
      </c>
      <c r="I784">
        <v>0</v>
      </c>
      <c r="K784">
        <v>6.4000000000000001E-2</v>
      </c>
      <c r="L784">
        <v>23</v>
      </c>
      <c r="M784">
        <v>5.7395000000000002E-2</v>
      </c>
      <c r="N784">
        <v>23.593</v>
      </c>
      <c r="O784" t="s">
        <v>523</v>
      </c>
    </row>
    <row r="785" spans="1:15" x14ac:dyDescent="0.25">
      <c r="A785" t="s">
        <v>56</v>
      </c>
      <c r="B785" t="s">
        <v>46</v>
      </c>
      <c r="C785">
        <v>1E-3</v>
      </c>
      <c r="D785">
        <v>0.01</v>
      </c>
      <c r="E785">
        <v>1E-8</v>
      </c>
      <c r="F785" t="s">
        <v>13</v>
      </c>
      <c r="G785" t="s">
        <v>11</v>
      </c>
      <c r="H785">
        <v>0</v>
      </c>
      <c r="I785">
        <v>0</v>
      </c>
      <c r="K785">
        <v>6.4000000000000001E-2</v>
      </c>
      <c r="L785">
        <v>23.49</v>
      </c>
      <c r="M785">
        <v>5.7620999999999999E-2</v>
      </c>
      <c r="N785">
        <v>23.576000000000001</v>
      </c>
      <c r="O785" t="s">
        <v>524</v>
      </c>
    </row>
    <row r="786" spans="1:15" x14ac:dyDescent="0.25">
      <c r="A786" t="s">
        <v>56</v>
      </c>
      <c r="B786" t="s">
        <v>46</v>
      </c>
      <c r="C786">
        <v>1E-3</v>
      </c>
      <c r="D786">
        <v>0.01</v>
      </c>
      <c r="E786">
        <v>9.9999999999999995E-8</v>
      </c>
      <c r="F786" t="s">
        <v>13</v>
      </c>
      <c r="G786" t="s">
        <v>11</v>
      </c>
      <c r="H786">
        <v>0</v>
      </c>
      <c r="I786">
        <v>0</v>
      </c>
      <c r="K786">
        <v>7.7329999999999996E-2</v>
      </c>
      <c r="L786">
        <v>22.172999999999998</v>
      </c>
      <c r="M786">
        <v>7.7294000000000002E-2</v>
      </c>
      <c r="N786">
        <v>22.166</v>
      </c>
      <c r="O786" t="s">
        <v>525</v>
      </c>
    </row>
    <row r="787" spans="1:15" x14ac:dyDescent="0.25">
      <c r="A787" t="s">
        <v>56</v>
      </c>
      <c r="B787" t="s">
        <v>46</v>
      </c>
      <c r="C787">
        <v>1E-3</v>
      </c>
      <c r="D787">
        <v>0.01</v>
      </c>
      <c r="E787">
        <v>9.9999999999999995E-7</v>
      </c>
      <c r="F787" t="s">
        <v>13</v>
      </c>
      <c r="G787" t="s">
        <v>11</v>
      </c>
      <c r="H787">
        <v>0</v>
      </c>
      <c r="I787">
        <v>0</v>
      </c>
      <c r="K787">
        <v>0.57584000000000002</v>
      </c>
      <c r="L787">
        <v>7.1948999999999996</v>
      </c>
      <c r="M787">
        <v>0.57582999999999995</v>
      </c>
      <c r="N787">
        <v>7.1763000000000003</v>
      </c>
      <c r="O787" t="s">
        <v>526</v>
      </c>
    </row>
    <row r="788" spans="1:15" x14ac:dyDescent="0.25">
      <c r="A788" t="s">
        <v>56</v>
      </c>
      <c r="B788" t="s">
        <v>46</v>
      </c>
      <c r="C788">
        <v>1E-3</v>
      </c>
      <c r="D788">
        <v>0.01</v>
      </c>
      <c r="E788">
        <v>1.0000000000000001E-5</v>
      </c>
      <c r="F788" t="s">
        <v>13</v>
      </c>
      <c r="G788" t="s">
        <v>11</v>
      </c>
      <c r="H788">
        <v>0</v>
      </c>
      <c r="I788">
        <v>0</v>
      </c>
      <c r="K788">
        <v>5.7733999999999996</v>
      </c>
      <c r="L788">
        <v>0.77276999999999996</v>
      </c>
      <c r="M788">
        <v>5.7733999999999996</v>
      </c>
      <c r="N788">
        <v>0.76426000000000005</v>
      </c>
      <c r="O788" t="s">
        <v>527</v>
      </c>
    </row>
    <row r="789" spans="1:15" x14ac:dyDescent="0.25">
      <c r="A789" t="s">
        <v>56</v>
      </c>
      <c r="B789" t="s">
        <v>46</v>
      </c>
      <c r="C789">
        <v>1E-3</v>
      </c>
      <c r="D789">
        <v>0.01</v>
      </c>
      <c r="E789">
        <v>1E-4</v>
      </c>
      <c r="F789" t="s">
        <v>13</v>
      </c>
      <c r="G789" t="s">
        <v>11</v>
      </c>
      <c r="H789">
        <v>0</v>
      </c>
      <c r="I789">
        <v>0</v>
      </c>
      <c r="K789">
        <v>57.735999999999997</v>
      </c>
      <c r="L789">
        <v>7.9884999999999998E-2</v>
      </c>
      <c r="M789">
        <v>57.734999999999999</v>
      </c>
      <c r="N789">
        <v>7.6479000000000005E-2</v>
      </c>
      <c r="O789" t="s">
        <v>528</v>
      </c>
    </row>
    <row r="790" spans="1:15" x14ac:dyDescent="0.25">
      <c r="A790" t="s">
        <v>56</v>
      </c>
      <c r="B790" t="s">
        <v>46</v>
      </c>
      <c r="C790">
        <v>0.01</v>
      </c>
      <c r="D790">
        <v>0.1</v>
      </c>
      <c r="E790">
        <v>1E-8</v>
      </c>
      <c r="F790" t="s">
        <v>13</v>
      </c>
      <c r="G790" t="s">
        <v>11</v>
      </c>
      <c r="H790">
        <v>0</v>
      </c>
      <c r="I790">
        <v>0</v>
      </c>
      <c r="K790">
        <v>0.67</v>
      </c>
      <c r="L790">
        <v>40</v>
      </c>
      <c r="M790">
        <v>0.57450999999999997</v>
      </c>
      <c r="N790">
        <v>40.857999999999997</v>
      </c>
      <c r="O790" t="s">
        <v>529</v>
      </c>
    </row>
    <row r="791" spans="1:15" x14ac:dyDescent="0.25">
      <c r="A791" t="s">
        <v>56</v>
      </c>
      <c r="B791" t="s">
        <v>46</v>
      </c>
      <c r="C791">
        <v>0.01</v>
      </c>
      <c r="D791">
        <v>0.1</v>
      </c>
      <c r="E791">
        <v>9.9999999999999995E-8</v>
      </c>
      <c r="F791" t="s">
        <v>13</v>
      </c>
      <c r="G791" t="s">
        <v>11</v>
      </c>
      <c r="H791">
        <v>0</v>
      </c>
      <c r="I791">
        <v>0</v>
      </c>
      <c r="K791">
        <v>0.67</v>
      </c>
      <c r="L791">
        <v>40.353999999999999</v>
      </c>
      <c r="M791">
        <v>0.57628999999999997</v>
      </c>
      <c r="N791">
        <v>40.844000000000001</v>
      </c>
      <c r="O791" t="s">
        <v>530</v>
      </c>
    </row>
    <row r="792" spans="1:15" x14ac:dyDescent="0.25">
      <c r="A792" t="s">
        <v>56</v>
      </c>
      <c r="B792" t="s">
        <v>46</v>
      </c>
      <c r="C792">
        <v>0.01</v>
      </c>
      <c r="D792">
        <v>0.1</v>
      </c>
      <c r="E792">
        <v>9.9999999999999995E-7</v>
      </c>
      <c r="F792" t="s">
        <v>13</v>
      </c>
      <c r="G792" t="s">
        <v>11</v>
      </c>
      <c r="H792">
        <v>0</v>
      </c>
      <c r="I792">
        <v>0</v>
      </c>
      <c r="K792">
        <v>0.75326000000000004</v>
      </c>
      <c r="L792">
        <v>39.473999999999997</v>
      </c>
      <c r="M792">
        <v>0.74494000000000005</v>
      </c>
      <c r="N792">
        <v>39.51</v>
      </c>
      <c r="O792" t="s">
        <v>531</v>
      </c>
    </row>
    <row r="793" spans="1:15" x14ac:dyDescent="0.25">
      <c r="A793" t="s">
        <v>56</v>
      </c>
      <c r="B793" t="s">
        <v>46</v>
      </c>
      <c r="C793">
        <v>0.01</v>
      </c>
      <c r="D793">
        <v>0.1</v>
      </c>
      <c r="E793">
        <v>1.0000000000000001E-5</v>
      </c>
      <c r="F793" t="s">
        <v>13</v>
      </c>
      <c r="G793" t="s">
        <v>11</v>
      </c>
      <c r="H793">
        <v>0</v>
      </c>
      <c r="I793">
        <v>0</v>
      </c>
      <c r="K793">
        <v>5.6886000000000001</v>
      </c>
      <c r="L793">
        <v>17.431000000000001</v>
      </c>
      <c r="M793">
        <v>5.6829999999999998</v>
      </c>
      <c r="N793">
        <v>17.367999999999999</v>
      </c>
      <c r="O793" t="s">
        <v>532</v>
      </c>
    </row>
    <row r="794" spans="1:15" x14ac:dyDescent="0.25">
      <c r="A794" t="s">
        <v>56</v>
      </c>
      <c r="B794" t="s">
        <v>46</v>
      </c>
      <c r="C794">
        <v>0.01</v>
      </c>
      <c r="D794">
        <v>0.1</v>
      </c>
      <c r="E794">
        <v>1E-4</v>
      </c>
      <c r="F794" t="s">
        <v>13</v>
      </c>
      <c r="G794" t="s">
        <v>11</v>
      </c>
      <c r="H794">
        <v>0</v>
      </c>
      <c r="I794">
        <v>0</v>
      </c>
      <c r="K794">
        <v>57.725999999999999</v>
      </c>
      <c r="L794">
        <v>2.0333999999999999</v>
      </c>
      <c r="M794">
        <v>57.723999999999997</v>
      </c>
      <c r="N794">
        <v>1.9935</v>
      </c>
      <c r="O794" t="s">
        <v>533</v>
      </c>
    </row>
    <row r="795" spans="1:15" x14ac:dyDescent="0.25">
      <c r="A795" t="s">
        <v>56</v>
      </c>
      <c r="B795" t="s">
        <v>46</v>
      </c>
      <c r="C795">
        <v>0.01</v>
      </c>
      <c r="D795">
        <v>0.1</v>
      </c>
      <c r="E795">
        <v>1E-3</v>
      </c>
      <c r="F795" t="s">
        <v>13</v>
      </c>
      <c r="G795" t="s">
        <v>11</v>
      </c>
      <c r="H795">
        <v>0</v>
      </c>
      <c r="I795">
        <v>0</v>
      </c>
      <c r="K795">
        <v>577.35</v>
      </c>
      <c r="L795">
        <v>0.21573000000000001</v>
      </c>
      <c r="M795">
        <v>577.34</v>
      </c>
      <c r="N795">
        <v>0.19968</v>
      </c>
      <c r="O795" t="s">
        <v>534</v>
      </c>
    </row>
    <row r="796" spans="1:15" x14ac:dyDescent="0.25">
      <c r="A796" t="s">
        <v>56</v>
      </c>
      <c r="B796" t="s">
        <v>46</v>
      </c>
      <c r="C796">
        <v>0.1</v>
      </c>
      <c r="D796">
        <v>1</v>
      </c>
      <c r="E796">
        <v>9.9999999999999995E-8</v>
      </c>
      <c r="F796" t="s">
        <v>13</v>
      </c>
      <c r="G796" t="s">
        <v>11</v>
      </c>
      <c r="H796">
        <v>0</v>
      </c>
      <c r="I796">
        <v>0</v>
      </c>
      <c r="K796">
        <v>12</v>
      </c>
      <c r="L796">
        <v>130</v>
      </c>
      <c r="M796">
        <v>11.536</v>
      </c>
      <c r="N796">
        <v>127.22</v>
      </c>
      <c r="O796" t="s">
        <v>535</v>
      </c>
    </row>
    <row r="797" spans="1:15" x14ac:dyDescent="0.25">
      <c r="A797" t="s">
        <v>56</v>
      </c>
      <c r="B797" t="s">
        <v>46</v>
      </c>
      <c r="C797">
        <v>0.1</v>
      </c>
      <c r="D797">
        <v>1</v>
      </c>
      <c r="E797">
        <v>9.9999999999999995E-7</v>
      </c>
      <c r="F797" t="s">
        <v>13</v>
      </c>
      <c r="G797" t="s">
        <v>11</v>
      </c>
      <c r="H797">
        <v>0</v>
      </c>
      <c r="I797">
        <v>0</v>
      </c>
      <c r="K797">
        <v>12</v>
      </c>
      <c r="L797">
        <v>130</v>
      </c>
      <c r="M797">
        <v>11.548</v>
      </c>
      <c r="N797">
        <v>127.21</v>
      </c>
      <c r="O797" t="s">
        <v>536</v>
      </c>
    </row>
    <row r="798" spans="1:15" x14ac:dyDescent="0.25">
      <c r="A798" t="s">
        <v>56</v>
      </c>
      <c r="B798" t="s">
        <v>46</v>
      </c>
      <c r="C798">
        <v>0.1</v>
      </c>
      <c r="D798">
        <v>1</v>
      </c>
      <c r="E798">
        <v>1.0000000000000001E-5</v>
      </c>
      <c r="F798" t="s">
        <v>13</v>
      </c>
      <c r="G798" t="s">
        <v>11</v>
      </c>
      <c r="H798">
        <v>0</v>
      </c>
      <c r="I798">
        <v>0</v>
      </c>
      <c r="K798">
        <v>12</v>
      </c>
      <c r="L798">
        <v>130</v>
      </c>
      <c r="M798">
        <v>12.276999999999999</v>
      </c>
      <c r="N798">
        <v>126.6</v>
      </c>
      <c r="O798" t="s">
        <v>537</v>
      </c>
    </row>
    <row r="799" spans="1:15" x14ac:dyDescent="0.25">
      <c r="A799" t="s">
        <v>56</v>
      </c>
      <c r="B799" t="s">
        <v>46</v>
      </c>
      <c r="C799">
        <v>0.1</v>
      </c>
      <c r="D799">
        <v>1</v>
      </c>
      <c r="E799">
        <v>1E-4</v>
      </c>
      <c r="F799" t="s">
        <v>13</v>
      </c>
      <c r="G799" t="s">
        <v>11</v>
      </c>
      <c r="H799">
        <v>0</v>
      </c>
      <c r="I799">
        <v>0</v>
      </c>
      <c r="K799">
        <v>52.948999999999998</v>
      </c>
      <c r="L799">
        <v>97.341999999999999</v>
      </c>
      <c r="M799">
        <v>52.884</v>
      </c>
      <c r="N799">
        <v>97.405000000000001</v>
      </c>
      <c r="O799" t="s">
        <v>538</v>
      </c>
    </row>
    <row r="800" spans="1:15" x14ac:dyDescent="0.25">
      <c r="A800" t="s">
        <v>56</v>
      </c>
      <c r="B800" t="s">
        <v>46</v>
      </c>
      <c r="C800">
        <v>0.1</v>
      </c>
      <c r="D800">
        <v>1</v>
      </c>
      <c r="E800">
        <v>1E-3</v>
      </c>
      <c r="F800" t="s">
        <v>13</v>
      </c>
      <c r="G800" t="s">
        <v>11</v>
      </c>
      <c r="H800">
        <v>0</v>
      </c>
      <c r="I800">
        <v>0</v>
      </c>
      <c r="K800">
        <v>576.12</v>
      </c>
      <c r="L800">
        <v>17.673999999999999</v>
      </c>
      <c r="M800">
        <v>576.1</v>
      </c>
      <c r="N800">
        <v>17.7</v>
      </c>
      <c r="O800" t="s">
        <v>539</v>
      </c>
    </row>
    <row r="801" spans="1:15" x14ac:dyDescent="0.25">
      <c r="A801" t="s">
        <v>56</v>
      </c>
      <c r="B801" t="s">
        <v>46</v>
      </c>
      <c r="C801">
        <v>0.1</v>
      </c>
      <c r="D801">
        <v>1</v>
      </c>
      <c r="E801">
        <v>0.01</v>
      </c>
      <c r="F801" t="s">
        <v>13</v>
      </c>
      <c r="G801" t="s">
        <v>11</v>
      </c>
      <c r="H801">
        <v>0</v>
      </c>
      <c r="I801">
        <v>0</v>
      </c>
      <c r="K801">
        <v>5773.4</v>
      </c>
      <c r="L801">
        <v>1.7853000000000001</v>
      </c>
      <c r="M801">
        <v>5771.8</v>
      </c>
      <c r="N801">
        <v>1.7958000000000001</v>
      </c>
      <c r="O801" t="s">
        <v>540</v>
      </c>
    </row>
    <row r="802" spans="1:15" x14ac:dyDescent="0.25">
      <c r="A802" t="s">
        <v>56</v>
      </c>
      <c r="B802" t="s">
        <v>46</v>
      </c>
      <c r="C802">
        <v>1</v>
      </c>
      <c r="D802">
        <v>20</v>
      </c>
      <c r="E802">
        <v>9.9999999999999995E-7</v>
      </c>
      <c r="F802" t="s">
        <v>13</v>
      </c>
      <c r="G802" t="s">
        <v>12</v>
      </c>
      <c r="H802">
        <v>0</v>
      </c>
      <c r="I802">
        <v>0</v>
      </c>
      <c r="K802">
        <v>6.8000000000000005E-2</v>
      </c>
      <c r="L802">
        <v>3.5999999999999999E-3</v>
      </c>
      <c r="M802">
        <v>4.2999999999999997E-2</v>
      </c>
      <c r="N802">
        <v>4.7600000000000003E-3</v>
      </c>
      <c r="O802" t="s">
        <v>541</v>
      </c>
    </row>
    <row r="803" spans="1:15" x14ac:dyDescent="0.25">
      <c r="A803" t="s">
        <v>56</v>
      </c>
      <c r="B803" t="s">
        <v>46</v>
      </c>
      <c r="C803">
        <v>1</v>
      </c>
      <c r="D803">
        <v>20</v>
      </c>
      <c r="E803">
        <v>1.0000000000000001E-5</v>
      </c>
      <c r="F803" t="s">
        <v>13</v>
      </c>
      <c r="G803" t="s">
        <v>12</v>
      </c>
      <c r="H803">
        <v>0</v>
      </c>
      <c r="I803">
        <v>0</v>
      </c>
      <c r="K803">
        <v>6.8000000000000005E-2</v>
      </c>
      <c r="L803">
        <v>3.5999999999999999E-3</v>
      </c>
      <c r="M803">
        <v>4.3318000000000002E-2</v>
      </c>
      <c r="N803">
        <v>4.7475E-3</v>
      </c>
      <c r="O803" t="s">
        <v>542</v>
      </c>
    </row>
    <row r="804" spans="1:15" x14ac:dyDescent="0.25">
      <c r="A804" t="s">
        <v>56</v>
      </c>
      <c r="B804" t="s">
        <v>46</v>
      </c>
      <c r="C804">
        <v>1</v>
      </c>
      <c r="D804">
        <v>20</v>
      </c>
      <c r="E804">
        <v>1E-4</v>
      </c>
      <c r="F804" t="s">
        <v>13</v>
      </c>
      <c r="G804" t="s">
        <v>12</v>
      </c>
      <c r="H804">
        <v>0</v>
      </c>
      <c r="I804">
        <v>0</v>
      </c>
      <c r="K804">
        <v>7.0892999999999998E-2</v>
      </c>
      <c r="L804">
        <v>3.8964999999999998E-3</v>
      </c>
      <c r="M804">
        <v>6.8928000000000003E-2</v>
      </c>
      <c r="N804">
        <v>3.8257999999999999E-3</v>
      </c>
      <c r="O804" t="s">
        <v>543</v>
      </c>
    </row>
    <row r="805" spans="1:15" x14ac:dyDescent="0.25">
      <c r="A805" t="s">
        <v>56</v>
      </c>
      <c r="B805" t="s">
        <v>46</v>
      </c>
      <c r="C805">
        <v>1</v>
      </c>
      <c r="D805">
        <v>20</v>
      </c>
      <c r="E805">
        <v>1E-3</v>
      </c>
      <c r="F805" t="s">
        <v>13</v>
      </c>
      <c r="G805" t="s">
        <v>12</v>
      </c>
      <c r="H805">
        <v>0</v>
      </c>
      <c r="I805">
        <v>0</v>
      </c>
      <c r="K805">
        <v>0.57833999999999997</v>
      </c>
      <c r="L805">
        <v>8.1072999999999996E-4</v>
      </c>
      <c r="M805">
        <v>0.57808999999999999</v>
      </c>
      <c r="N805">
        <v>6.9919999999999997E-4</v>
      </c>
      <c r="O805" t="s">
        <v>544</v>
      </c>
    </row>
    <row r="806" spans="1:15" x14ac:dyDescent="0.25">
      <c r="A806" t="s">
        <v>56</v>
      </c>
      <c r="B806" t="s">
        <v>46</v>
      </c>
      <c r="C806">
        <v>1</v>
      </c>
      <c r="D806">
        <v>20</v>
      </c>
      <c r="E806">
        <v>0.01</v>
      </c>
      <c r="F806" t="s">
        <v>13</v>
      </c>
      <c r="G806" t="s">
        <v>12</v>
      </c>
      <c r="H806">
        <v>0</v>
      </c>
      <c r="I806">
        <v>0</v>
      </c>
      <c r="K806">
        <v>5.7739000000000003</v>
      </c>
      <c r="L806">
        <v>1.1677E-4</v>
      </c>
      <c r="M806">
        <v>5.7736000000000001</v>
      </c>
      <c r="N806">
        <v>7.0888000000000003E-5</v>
      </c>
      <c r="O806" t="s">
        <v>545</v>
      </c>
    </row>
    <row r="807" spans="1:15" x14ac:dyDescent="0.25">
      <c r="A807" t="s">
        <v>56</v>
      </c>
      <c r="B807" t="s">
        <v>46</v>
      </c>
      <c r="C807">
        <v>1</v>
      </c>
      <c r="D807">
        <v>20</v>
      </c>
      <c r="E807">
        <v>0.1</v>
      </c>
      <c r="F807" t="s">
        <v>13</v>
      </c>
      <c r="G807" t="s">
        <v>12</v>
      </c>
      <c r="H807">
        <v>0</v>
      </c>
      <c r="I807">
        <v>0</v>
      </c>
      <c r="K807">
        <v>57.735999999999997</v>
      </c>
      <c r="L807">
        <v>2.5449E-5</v>
      </c>
      <c r="M807">
        <v>57.734999999999999</v>
      </c>
      <c r="N807">
        <v>7.0898000000000003E-6</v>
      </c>
      <c r="O807" t="s">
        <v>546</v>
      </c>
    </row>
    <row r="808" spans="1:15" x14ac:dyDescent="0.25">
      <c r="A808" t="s">
        <v>56</v>
      </c>
      <c r="B808" t="s">
        <v>3</v>
      </c>
      <c r="C808">
        <v>0</v>
      </c>
      <c r="D808">
        <v>0.1</v>
      </c>
      <c r="E808">
        <v>1E-8</v>
      </c>
      <c r="F808" t="s">
        <v>6</v>
      </c>
      <c r="G808" t="s">
        <v>5</v>
      </c>
      <c r="H808">
        <v>0</v>
      </c>
      <c r="I808">
        <v>0</v>
      </c>
      <c r="K808">
        <v>0.62</v>
      </c>
      <c r="L808">
        <v>8</v>
      </c>
      <c r="M808">
        <v>0.60546</v>
      </c>
      <c r="N808">
        <v>8.1091999999999995</v>
      </c>
      <c r="O808" t="s">
        <v>455</v>
      </c>
    </row>
    <row r="809" spans="1:15" x14ac:dyDescent="0.25">
      <c r="A809" t="s">
        <v>56</v>
      </c>
      <c r="B809" t="s">
        <v>3</v>
      </c>
      <c r="C809">
        <v>0</v>
      </c>
      <c r="D809">
        <v>0.1</v>
      </c>
      <c r="E809">
        <v>9.9999999999999995E-8</v>
      </c>
      <c r="F809" t="s">
        <v>6</v>
      </c>
      <c r="G809" t="s">
        <v>5</v>
      </c>
      <c r="H809">
        <v>0</v>
      </c>
      <c r="I809">
        <v>0</v>
      </c>
      <c r="K809">
        <v>0.62</v>
      </c>
      <c r="L809">
        <v>8.0237999999999996</v>
      </c>
      <c r="M809">
        <v>0.60819000000000001</v>
      </c>
      <c r="N809">
        <v>8.09</v>
      </c>
      <c r="O809" t="s">
        <v>456</v>
      </c>
    </row>
    <row r="810" spans="1:15" x14ac:dyDescent="0.25">
      <c r="A810" t="s">
        <v>56</v>
      </c>
      <c r="B810" t="s">
        <v>3</v>
      </c>
      <c r="C810">
        <v>0</v>
      </c>
      <c r="D810">
        <v>0.1</v>
      </c>
      <c r="E810">
        <v>9.9999999999999995E-7</v>
      </c>
      <c r="F810" t="s">
        <v>6</v>
      </c>
      <c r="G810" t="s">
        <v>5</v>
      </c>
      <c r="H810">
        <v>0</v>
      </c>
      <c r="I810">
        <v>0</v>
      </c>
      <c r="K810">
        <v>0.83938000000000001</v>
      </c>
      <c r="L810">
        <v>6.96</v>
      </c>
      <c r="M810">
        <v>0.83736999999999995</v>
      </c>
      <c r="N810">
        <v>6.93</v>
      </c>
      <c r="O810" t="s">
        <v>457</v>
      </c>
    </row>
    <row r="811" spans="1:15" x14ac:dyDescent="0.25">
      <c r="A811" t="s">
        <v>56</v>
      </c>
      <c r="B811" t="s">
        <v>3</v>
      </c>
      <c r="C811">
        <v>0</v>
      </c>
      <c r="D811">
        <v>0.1</v>
      </c>
      <c r="E811">
        <v>1.0000000000000001E-5</v>
      </c>
      <c r="F811" t="s">
        <v>6</v>
      </c>
      <c r="G811" t="s">
        <v>5</v>
      </c>
      <c r="H811">
        <v>0</v>
      </c>
      <c r="I811">
        <v>0</v>
      </c>
      <c r="K811">
        <v>5.8320999999999996</v>
      </c>
      <c r="L811">
        <v>1.43</v>
      </c>
      <c r="M811">
        <v>5.8310000000000004</v>
      </c>
      <c r="N811">
        <v>1.39</v>
      </c>
      <c r="O811" t="s">
        <v>458</v>
      </c>
    </row>
    <row r="812" spans="1:15" x14ac:dyDescent="0.25">
      <c r="A812" t="s">
        <v>56</v>
      </c>
      <c r="B812" t="s">
        <v>3</v>
      </c>
      <c r="C812">
        <v>0</v>
      </c>
      <c r="D812">
        <v>0.1</v>
      </c>
      <c r="E812">
        <v>1E-4</v>
      </c>
      <c r="F812" t="s">
        <v>6</v>
      </c>
      <c r="G812" t="s">
        <v>5</v>
      </c>
      <c r="H812">
        <v>0</v>
      </c>
      <c r="I812">
        <v>0</v>
      </c>
      <c r="K812">
        <v>58.003999999999998</v>
      </c>
      <c r="L812">
        <v>0.15762999999999999</v>
      </c>
      <c r="M812">
        <v>58.003</v>
      </c>
      <c r="N812">
        <v>0.14188000000000001</v>
      </c>
      <c r="O812" t="s">
        <v>459</v>
      </c>
    </row>
    <row r="813" spans="1:15" x14ac:dyDescent="0.25">
      <c r="A813" t="s">
        <v>56</v>
      </c>
      <c r="B813" t="s">
        <v>3</v>
      </c>
      <c r="C813">
        <v>0</v>
      </c>
      <c r="D813">
        <v>0.1</v>
      </c>
      <c r="E813">
        <v>1E-3</v>
      </c>
      <c r="F813" t="s">
        <v>6</v>
      </c>
      <c r="G813" t="s">
        <v>5</v>
      </c>
      <c r="H813">
        <v>0</v>
      </c>
      <c r="I813">
        <v>0</v>
      </c>
      <c r="K813">
        <v>580</v>
      </c>
      <c r="L813">
        <v>2.0493000000000001E-2</v>
      </c>
      <c r="M813">
        <v>580</v>
      </c>
      <c r="N813">
        <v>1.4191E-2</v>
      </c>
      <c r="O813" t="s">
        <v>460</v>
      </c>
    </row>
    <row r="814" spans="1:15" x14ac:dyDescent="0.25">
      <c r="A814" t="s">
        <v>56</v>
      </c>
      <c r="B814" t="s">
        <v>3</v>
      </c>
      <c r="C814">
        <v>0</v>
      </c>
      <c r="D814">
        <v>0.1</v>
      </c>
      <c r="E814">
        <v>0.01</v>
      </c>
      <c r="F814" t="s">
        <v>6</v>
      </c>
      <c r="G814" t="s">
        <v>4</v>
      </c>
      <c r="H814">
        <v>0</v>
      </c>
      <c r="I814">
        <v>0</v>
      </c>
      <c r="K814">
        <v>5.8</v>
      </c>
      <c r="L814">
        <v>3.9400000000000004E-6</v>
      </c>
      <c r="M814">
        <v>5.7999000000000001</v>
      </c>
      <c r="N814">
        <v>1.4191000000000001E-6</v>
      </c>
      <c r="O814" t="s">
        <v>461</v>
      </c>
    </row>
    <row r="815" spans="1:15" x14ac:dyDescent="0.25">
      <c r="A815" t="s">
        <v>56</v>
      </c>
      <c r="B815" t="s">
        <v>3</v>
      </c>
      <c r="C815">
        <v>0</v>
      </c>
      <c r="D815">
        <v>0.1</v>
      </c>
      <c r="E815">
        <v>0.1</v>
      </c>
      <c r="F815" t="s">
        <v>6</v>
      </c>
      <c r="G815" t="s">
        <v>4</v>
      </c>
      <c r="H815">
        <v>0</v>
      </c>
      <c r="I815">
        <v>0</v>
      </c>
      <c r="K815">
        <v>58</v>
      </c>
      <c r="L815">
        <v>1.1503E-6</v>
      </c>
      <c r="M815">
        <v>58</v>
      </c>
      <c r="N815">
        <v>1.4191E-7</v>
      </c>
      <c r="O815" t="s">
        <v>462</v>
      </c>
    </row>
    <row r="816" spans="1:15" x14ac:dyDescent="0.25">
      <c r="A816" t="s">
        <v>56</v>
      </c>
      <c r="B816" t="s">
        <v>3</v>
      </c>
      <c r="C816">
        <v>0</v>
      </c>
      <c r="D816">
        <v>0.1</v>
      </c>
      <c r="E816">
        <v>1</v>
      </c>
      <c r="F816" t="s">
        <v>6</v>
      </c>
      <c r="G816" t="s">
        <v>4</v>
      </c>
      <c r="H816">
        <v>0</v>
      </c>
      <c r="I816">
        <v>0</v>
      </c>
      <c r="K816">
        <v>580</v>
      </c>
      <c r="L816">
        <v>4.1754000000000002E-7</v>
      </c>
      <c r="M816">
        <v>580</v>
      </c>
      <c r="N816">
        <v>1.4190999999999999E-8</v>
      </c>
      <c r="O816" t="s">
        <v>463</v>
      </c>
    </row>
    <row r="817" spans="1:15" x14ac:dyDescent="0.25">
      <c r="A817" t="s">
        <v>56</v>
      </c>
      <c r="B817" t="s">
        <v>3</v>
      </c>
      <c r="C817">
        <v>0.1</v>
      </c>
      <c r="D817">
        <v>1</v>
      </c>
      <c r="E817">
        <v>1E-8</v>
      </c>
      <c r="F817" t="s">
        <v>6</v>
      </c>
      <c r="G817" t="s">
        <v>5</v>
      </c>
      <c r="H817">
        <v>0</v>
      </c>
      <c r="I817">
        <v>0</v>
      </c>
      <c r="K817">
        <v>0.44</v>
      </c>
      <c r="L817">
        <v>6</v>
      </c>
      <c r="M817">
        <v>0.43733</v>
      </c>
      <c r="N817">
        <v>5.9926000000000004</v>
      </c>
      <c r="O817" t="s">
        <v>464</v>
      </c>
    </row>
    <row r="818" spans="1:15" x14ac:dyDescent="0.25">
      <c r="A818" t="s">
        <v>56</v>
      </c>
      <c r="B818" t="s">
        <v>3</v>
      </c>
      <c r="C818">
        <v>0.1</v>
      </c>
      <c r="D818">
        <v>1</v>
      </c>
      <c r="E818">
        <v>9.9999999999999995E-8</v>
      </c>
      <c r="F818" t="s">
        <v>6</v>
      </c>
      <c r="G818" t="s">
        <v>5</v>
      </c>
      <c r="H818">
        <v>0</v>
      </c>
      <c r="I818">
        <v>0</v>
      </c>
      <c r="K818">
        <v>0.44094</v>
      </c>
      <c r="L818">
        <v>5.99</v>
      </c>
      <c r="M818">
        <v>0.43908999999999998</v>
      </c>
      <c r="N818">
        <v>5.9911000000000003</v>
      </c>
      <c r="O818" t="s">
        <v>465</v>
      </c>
    </row>
    <row r="819" spans="1:15" x14ac:dyDescent="0.25">
      <c r="A819" t="s">
        <v>56</v>
      </c>
      <c r="B819" t="s">
        <v>3</v>
      </c>
      <c r="C819">
        <v>0.1</v>
      </c>
      <c r="D819">
        <v>1</v>
      </c>
      <c r="E819">
        <v>9.9999999999999995E-7</v>
      </c>
      <c r="F819" t="s">
        <v>6</v>
      </c>
      <c r="G819" t="s">
        <v>5</v>
      </c>
      <c r="H819">
        <v>0</v>
      </c>
      <c r="I819">
        <v>0</v>
      </c>
      <c r="K819">
        <v>0.60901000000000005</v>
      </c>
      <c r="L819">
        <v>5.85</v>
      </c>
      <c r="M819">
        <v>0.60243999999999998</v>
      </c>
      <c r="N819">
        <v>5.8536000000000001</v>
      </c>
      <c r="O819" t="s">
        <v>466</v>
      </c>
    </row>
    <row r="820" spans="1:15" x14ac:dyDescent="0.25">
      <c r="A820" t="s">
        <v>56</v>
      </c>
      <c r="B820" t="s">
        <v>3</v>
      </c>
      <c r="C820">
        <v>0.1</v>
      </c>
      <c r="D820">
        <v>1</v>
      </c>
      <c r="E820">
        <v>1.0000000000000001E-5</v>
      </c>
      <c r="F820" t="s">
        <v>6</v>
      </c>
      <c r="G820" t="s">
        <v>5</v>
      </c>
      <c r="H820">
        <v>0</v>
      </c>
      <c r="I820">
        <v>0</v>
      </c>
      <c r="K820">
        <v>5.5890000000000004</v>
      </c>
      <c r="L820">
        <v>3.0792000000000002</v>
      </c>
      <c r="M820">
        <v>5.5845000000000002</v>
      </c>
      <c r="N820">
        <v>3.0749</v>
      </c>
      <c r="O820" t="s">
        <v>467</v>
      </c>
    </row>
    <row r="821" spans="1:15" x14ac:dyDescent="0.25">
      <c r="A821" t="s">
        <v>56</v>
      </c>
      <c r="B821" t="s">
        <v>3</v>
      </c>
      <c r="C821">
        <v>0.1</v>
      </c>
      <c r="D821">
        <v>1</v>
      </c>
      <c r="E821">
        <v>1E-4</v>
      </c>
      <c r="F821" t="s">
        <v>6</v>
      </c>
      <c r="G821" t="s">
        <v>5</v>
      </c>
      <c r="H821">
        <v>0</v>
      </c>
      <c r="I821">
        <v>0</v>
      </c>
      <c r="K821">
        <v>57.972999999999999</v>
      </c>
      <c r="L821">
        <v>0.3881</v>
      </c>
      <c r="M821">
        <v>57.970999999999997</v>
      </c>
      <c r="N821">
        <v>0.38451999999999997</v>
      </c>
      <c r="O821" t="s">
        <v>468</v>
      </c>
    </row>
    <row r="822" spans="1:15" x14ac:dyDescent="0.25">
      <c r="A822" t="s">
        <v>56</v>
      </c>
      <c r="B822" t="s">
        <v>3</v>
      </c>
      <c r="C822">
        <v>0.1</v>
      </c>
      <c r="D822">
        <v>1</v>
      </c>
      <c r="E822">
        <v>1E-3</v>
      </c>
      <c r="F822" t="s">
        <v>6</v>
      </c>
      <c r="G822" t="s">
        <v>5</v>
      </c>
      <c r="H822">
        <v>0</v>
      </c>
      <c r="I822">
        <v>0</v>
      </c>
      <c r="K822">
        <v>580</v>
      </c>
      <c r="L822">
        <v>4.0017999999999998E-2</v>
      </c>
      <c r="M822">
        <v>579.96</v>
      </c>
      <c r="N822">
        <v>3.8571000000000001E-2</v>
      </c>
      <c r="O822" t="s">
        <v>469</v>
      </c>
    </row>
    <row r="823" spans="1:15" x14ac:dyDescent="0.25">
      <c r="A823" t="s">
        <v>56</v>
      </c>
      <c r="B823" t="s">
        <v>3</v>
      </c>
      <c r="C823">
        <v>1</v>
      </c>
      <c r="D823">
        <v>10</v>
      </c>
      <c r="E823">
        <v>9.9999999999999995E-8</v>
      </c>
      <c r="F823" t="s">
        <v>6</v>
      </c>
      <c r="G823" t="s">
        <v>5</v>
      </c>
      <c r="H823">
        <v>0</v>
      </c>
      <c r="I823">
        <v>0</v>
      </c>
      <c r="K823">
        <v>1.2</v>
      </c>
      <c r="L823">
        <v>5.3</v>
      </c>
      <c r="M823">
        <v>0.75905</v>
      </c>
      <c r="N823">
        <v>5.3437000000000001</v>
      </c>
      <c r="O823" t="s">
        <v>470</v>
      </c>
    </row>
    <row r="824" spans="1:15" x14ac:dyDescent="0.25">
      <c r="A824" t="s">
        <v>56</v>
      </c>
      <c r="B824" t="s">
        <v>3</v>
      </c>
      <c r="C824">
        <v>1</v>
      </c>
      <c r="D824">
        <v>10</v>
      </c>
      <c r="E824">
        <v>9.9999999999999995E-7</v>
      </c>
      <c r="F824" t="s">
        <v>6</v>
      </c>
      <c r="G824" t="s">
        <v>5</v>
      </c>
      <c r="H824">
        <v>0</v>
      </c>
      <c r="I824">
        <v>0</v>
      </c>
      <c r="K824">
        <v>1.2</v>
      </c>
      <c r="L824">
        <v>5.3409000000000004</v>
      </c>
      <c r="M824">
        <v>0.78898000000000001</v>
      </c>
      <c r="N824">
        <v>5.3410000000000002</v>
      </c>
      <c r="O824" t="s">
        <v>471</v>
      </c>
    </row>
    <row r="825" spans="1:15" x14ac:dyDescent="0.25">
      <c r="A825" t="s">
        <v>56</v>
      </c>
      <c r="B825" t="s">
        <v>3</v>
      </c>
      <c r="C825">
        <v>1</v>
      </c>
      <c r="D825">
        <v>10</v>
      </c>
      <c r="E825">
        <v>1.0000000000000001E-5</v>
      </c>
      <c r="F825" t="s">
        <v>6</v>
      </c>
      <c r="G825" t="s">
        <v>5</v>
      </c>
      <c r="H825">
        <v>0</v>
      </c>
      <c r="I825">
        <v>0</v>
      </c>
      <c r="K825">
        <v>3.3010000000000002</v>
      </c>
      <c r="L825">
        <v>5.1204999999999998</v>
      </c>
      <c r="M825">
        <v>3.2984</v>
      </c>
      <c r="N825">
        <v>5.1207000000000003</v>
      </c>
      <c r="O825" t="s">
        <v>472</v>
      </c>
    </row>
    <row r="826" spans="1:15" x14ac:dyDescent="0.25">
      <c r="A826" t="s">
        <v>56</v>
      </c>
      <c r="B826" t="s">
        <v>3</v>
      </c>
      <c r="C826">
        <v>1</v>
      </c>
      <c r="D826">
        <v>10</v>
      </c>
      <c r="E826">
        <v>1E-4</v>
      </c>
      <c r="F826" t="s">
        <v>6</v>
      </c>
      <c r="G826" t="s">
        <v>5</v>
      </c>
      <c r="H826">
        <v>0</v>
      </c>
      <c r="I826">
        <v>0</v>
      </c>
      <c r="K826">
        <v>55.981000000000002</v>
      </c>
      <c r="L826">
        <v>2.3401000000000001</v>
      </c>
      <c r="M826">
        <v>55.98</v>
      </c>
      <c r="N826">
        <v>2.34</v>
      </c>
      <c r="O826" t="s">
        <v>473</v>
      </c>
    </row>
    <row r="827" spans="1:15" x14ac:dyDescent="0.25">
      <c r="A827" t="s">
        <v>56</v>
      </c>
      <c r="B827" t="s">
        <v>3</v>
      </c>
      <c r="C827">
        <v>1</v>
      </c>
      <c r="D827">
        <v>10</v>
      </c>
      <c r="E827">
        <v>1E-3</v>
      </c>
      <c r="F827" t="s">
        <v>6</v>
      </c>
      <c r="G827" t="s">
        <v>5</v>
      </c>
      <c r="H827">
        <v>0</v>
      </c>
      <c r="I827">
        <v>0</v>
      </c>
      <c r="K827">
        <v>579.76</v>
      </c>
      <c r="L827">
        <v>0.27723999999999999</v>
      </c>
      <c r="M827">
        <v>579.76</v>
      </c>
      <c r="N827">
        <v>0.27716000000000002</v>
      </c>
      <c r="O827" t="s">
        <v>474</v>
      </c>
    </row>
    <row r="828" spans="1:15" x14ac:dyDescent="0.25">
      <c r="A828" t="s">
        <v>56</v>
      </c>
      <c r="B828" t="s">
        <v>3</v>
      </c>
      <c r="C828">
        <v>1</v>
      </c>
      <c r="D828">
        <v>10</v>
      </c>
      <c r="E828">
        <v>0.01</v>
      </c>
      <c r="F828" t="s">
        <v>6</v>
      </c>
      <c r="G828" t="s">
        <v>5</v>
      </c>
      <c r="H828">
        <v>0</v>
      </c>
      <c r="I828">
        <v>0</v>
      </c>
      <c r="K828">
        <v>5800</v>
      </c>
      <c r="L828">
        <v>2.7807999999999999E-2</v>
      </c>
      <c r="M828">
        <v>5799.7</v>
      </c>
      <c r="N828">
        <v>2.7777E-2</v>
      </c>
      <c r="O828" t="s">
        <v>475</v>
      </c>
    </row>
    <row r="829" spans="1:15" x14ac:dyDescent="0.25">
      <c r="A829" t="s">
        <v>56</v>
      </c>
      <c r="B829" t="s">
        <v>3</v>
      </c>
      <c r="C829">
        <v>10</v>
      </c>
      <c r="D829">
        <v>100</v>
      </c>
      <c r="E829">
        <v>9.9999999999999995E-7</v>
      </c>
      <c r="F829" t="s">
        <v>6</v>
      </c>
      <c r="G829" t="s">
        <v>5</v>
      </c>
      <c r="H829">
        <v>0</v>
      </c>
      <c r="I829">
        <v>0</v>
      </c>
      <c r="K829">
        <v>34</v>
      </c>
      <c r="L829">
        <v>7.8</v>
      </c>
      <c r="M829">
        <v>33.131999999999998</v>
      </c>
      <c r="N829">
        <v>7.7866</v>
      </c>
      <c r="O829" t="s">
        <v>476</v>
      </c>
    </row>
    <row r="830" spans="1:15" x14ac:dyDescent="0.25">
      <c r="A830" t="s">
        <v>56</v>
      </c>
      <c r="B830" t="s">
        <v>3</v>
      </c>
      <c r="C830">
        <v>10</v>
      </c>
      <c r="D830">
        <v>100</v>
      </c>
      <c r="E830">
        <v>1.0000000000000001E-5</v>
      </c>
      <c r="F830" t="s">
        <v>6</v>
      </c>
      <c r="G830" t="s">
        <v>5</v>
      </c>
      <c r="H830">
        <v>0</v>
      </c>
      <c r="I830">
        <v>0</v>
      </c>
      <c r="K830">
        <v>34</v>
      </c>
      <c r="L830">
        <v>7.7847999999999997</v>
      </c>
      <c r="M830">
        <v>33.299999999999997</v>
      </c>
      <c r="N830">
        <v>7.7850999999999999</v>
      </c>
      <c r="O830" t="s">
        <v>477</v>
      </c>
    </row>
    <row r="831" spans="1:15" x14ac:dyDescent="0.25">
      <c r="A831" t="s">
        <v>56</v>
      </c>
      <c r="B831" t="s">
        <v>3</v>
      </c>
      <c r="C831">
        <v>10</v>
      </c>
      <c r="D831">
        <v>100</v>
      </c>
      <c r="E831">
        <v>1E-4</v>
      </c>
      <c r="F831" t="s">
        <v>6</v>
      </c>
      <c r="G831" t="s">
        <v>5</v>
      </c>
      <c r="H831">
        <v>0</v>
      </c>
      <c r="I831">
        <v>0</v>
      </c>
      <c r="K831">
        <v>48.99</v>
      </c>
      <c r="L831">
        <v>7.6505000000000001</v>
      </c>
      <c r="M831">
        <v>48.722999999999999</v>
      </c>
      <c r="N831">
        <v>7.6513999999999998</v>
      </c>
      <c r="O831" t="s">
        <v>478</v>
      </c>
    </row>
    <row r="832" spans="1:15" x14ac:dyDescent="0.25">
      <c r="A832" t="s">
        <v>56</v>
      </c>
      <c r="B832" t="s">
        <v>3</v>
      </c>
      <c r="C832">
        <v>10</v>
      </c>
      <c r="D832">
        <v>100</v>
      </c>
      <c r="E832">
        <v>1E-3</v>
      </c>
      <c r="F832" t="s">
        <v>6</v>
      </c>
      <c r="G832" t="s">
        <v>5</v>
      </c>
      <c r="H832">
        <v>0</v>
      </c>
      <c r="I832">
        <v>0</v>
      </c>
      <c r="K832">
        <v>545.46</v>
      </c>
      <c r="L832">
        <v>4.5282999999999998</v>
      </c>
      <c r="M832">
        <v>545.28</v>
      </c>
      <c r="N832">
        <v>4.5242000000000004</v>
      </c>
      <c r="O832" t="s">
        <v>479</v>
      </c>
    </row>
    <row r="833" spans="1:15" x14ac:dyDescent="0.25">
      <c r="A833" t="s">
        <v>56</v>
      </c>
      <c r="B833" t="s">
        <v>3</v>
      </c>
      <c r="C833">
        <v>10</v>
      </c>
      <c r="D833">
        <v>100</v>
      </c>
      <c r="E833">
        <v>0.01</v>
      </c>
      <c r="F833" t="s">
        <v>6</v>
      </c>
      <c r="G833" t="s">
        <v>5</v>
      </c>
      <c r="H833">
        <v>0</v>
      </c>
      <c r="I833">
        <v>0</v>
      </c>
      <c r="K833">
        <v>5795</v>
      </c>
      <c r="L833">
        <v>0.61987000000000003</v>
      </c>
      <c r="M833">
        <v>5794.9</v>
      </c>
      <c r="N833">
        <v>0.61636999999999997</v>
      </c>
      <c r="O833" t="s">
        <v>480</v>
      </c>
    </row>
    <row r="834" spans="1:15" x14ac:dyDescent="0.25">
      <c r="A834" t="s">
        <v>56</v>
      </c>
      <c r="B834" t="s">
        <v>3</v>
      </c>
      <c r="C834">
        <v>100</v>
      </c>
      <c r="D834">
        <v>1000</v>
      </c>
      <c r="E834">
        <v>1.0000000000000001E-5</v>
      </c>
      <c r="F834" t="s">
        <v>6</v>
      </c>
      <c r="G834" t="s">
        <v>4</v>
      </c>
      <c r="H834">
        <v>0</v>
      </c>
      <c r="I834">
        <v>0</v>
      </c>
      <c r="K834">
        <v>0.11</v>
      </c>
      <c r="L834">
        <v>8.6999999999999994E-3</v>
      </c>
      <c r="M834">
        <v>0.10063999999999999</v>
      </c>
      <c r="N834">
        <v>8.6546999999999995E-3</v>
      </c>
      <c r="O834" t="s">
        <v>481</v>
      </c>
    </row>
    <row r="835" spans="1:15" x14ac:dyDescent="0.25">
      <c r="A835" t="s">
        <v>56</v>
      </c>
      <c r="B835" t="s">
        <v>3</v>
      </c>
      <c r="C835">
        <v>100</v>
      </c>
      <c r="D835">
        <v>1000</v>
      </c>
      <c r="E835">
        <v>1E-4</v>
      </c>
      <c r="F835" t="s">
        <v>6</v>
      </c>
      <c r="G835" t="s">
        <v>4</v>
      </c>
      <c r="H835">
        <v>0</v>
      </c>
      <c r="I835">
        <v>0</v>
      </c>
      <c r="K835">
        <v>0.11</v>
      </c>
      <c r="L835">
        <v>8.6528999999999998E-3</v>
      </c>
      <c r="M835">
        <v>0.10253</v>
      </c>
      <c r="N835">
        <v>8.6529999999999992E-3</v>
      </c>
      <c r="O835" t="s">
        <v>482</v>
      </c>
    </row>
    <row r="836" spans="1:15" x14ac:dyDescent="0.25">
      <c r="A836" t="s">
        <v>56</v>
      </c>
      <c r="B836" t="s">
        <v>3</v>
      </c>
      <c r="C836">
        <v>100</v>
      </c>
      <c r="D836">
        <v>1000</v>
      </c>
      <c r="E836">
        <v>1E-3</v>
      </c>
      <c r="F836" t="s">
        <v>6</v>
      </c>
      <c r="G836" t="s">
        <v>4</v>
      </c>
      <c r="H836">
        <v>0</v>
      </c>
      <c r="I836">
        <v>0</v>
      </c>
      <c r="K836">
        <v>0.27989000000000003</v>
      </c>
      <c r="L836">
        <v>8.4975999999999993E-3</v>
      </c>
      <c r="M836">
        <v>0.27706999999999998</v>
      </c>
      <c r="N836">
        <v>8.4974999999999998E-3</v>
      </c>
      <c r="O836" t="s">
        <v>483</v>
      </c>
    </row>
    <row r="837" spans="1:15" x14ac:dyDescent="0.25">
      <c r="A837" t="s">
        <v>56</v>
      </c>
      <c r="B837" t="s">
        <v>3</v>
      </c>
      <c r="C837">
        <v>100</v>
      </c>
      <c r="D837">
        <v>1000</v>
      </c>
      <c r="E837">
        <v>0.01</v>
      </c>
      <c r="F837" t="s">
        <v>6</v>
      </c>
      <c r="G837" t="s">
        <v>4</v>
      </c>
      <c r="H837">
        <v>0</v>
      </c>
      <c r="I837">
        <v>0</v>
      </c>
      <c r="K837">
        <v>5.3677000000000001</v>
      </c>
      <c r="L837">
        <v>5.1444000000000004E-3</v>
      </c>
      <c r="M837">
        <v>5.3662999999999998</v>
      </c>
      <c r="N837">
        <v>5.1358999999999997E-3</v>
      </c>
      <c r="O837" t="s">
        <v>484</v>
      </c>
    </row>
    <row r="838" spans="1:15" x14ac:dyDescent="0.25">
      <c r="A838" t="s">
        <v>56</v>
      </c>
      <c r="B838" t="s">
        <v>3</v>
      </c>
      <c r="C838">
        <v>100</v>
      </c>
      <c r="D838">
        <v>1000</v>
      </c>
      <c r="E838">
        <v>0.1</v>
      </c>
      <c r="F838" t="s">
        <v>6</v>
      </c>
      <c r="G838" t="s">
        <v>4</v>
      </c>
      <c r="H838">
        <v>0</v>
      </c>
      <c r="I838">
        <v>0</v>
      </c>
      <c r="K838">
        <v>57.936</v>
      </c>
      <c r="L838">
        <v>7.2802999999999995E-4</v>
      </c>
      <c r="M838">
        <v>57.936</v>
      </c>
      <c r="N838">
        <v>7.2117999999999998E-4</v>
      </c>
      <c r="O838" t="s">
        <v>485</v>
      </c>
    </row>
    <row r="839" spans="1:15" x14ac:dyDescent="0.25">
      <c r="A839" t="s">
        <v>56</v>
      </c>
      <c r="B839" t="s">
        <v>3</v>
      </c>
      <c r="C839">
        <v>100</v>
      </c>
      <c r="D839">
        <v>1000</v>
      </c>
      <c r="E839">
        <v>1</v>
      </c>
      <c r="F839" t="s">
        <v>6</v>
      </c>
      <c r="G839" t="s">
        <v>4</v>
      </c>
      <c r="H839">
        <v>0</v>
      </c>
      <c r="I839">
        <v>0</v>
      </c>
      <c r="K839">
        <v>579.99</v>
      </c>
      <c r="L839">
        <v>7.5300000000000001E-5</v>
      </c>
      <c r="M839">
        <v>579.92999999999995</v>
      </c>
      <c r="N839">
        <v>7.2527999999999994E-5</v>
      </c>
      <c r="O839" t="s">
        <v>486</v>
      </c>
    </row>
    <row r="840" spans="1:15" x14ac:dyDescent="0.25">
      <c r="A840" t="s">
        <v>56</v>
      </c>
      <c r="B840" t="s">
        <v>82</v>
      </c>
      <c r="C840">
        <v>-454</v>
      </c>
      <c r="D840">
        <v>300</v>
      </c>
      <c r="E840">
        <v>0.1</v>
      </c>
      <c r="F840" t="s">
        <v>26</v>
      </c>
      <c r="G840" t="s">
        <v>26</v>
      </c>
      <c r="H840">
        <v>0</v>
      </c>
      <c r="I840">
        <v>0</v>
      </c>
      <c r="K840">
        <v>0.12</v>
      </c>
      <c r="L840">
        <v>0</v>
      </c>
      <c r="M840">
        <v>8.4620388000000005E-2</v>
      </c>
      <c r="N840">
        <v>0</v>
      </c>
      <c r="O840" t="s">
        <v>449</v>
      </c>
    </row>
    <row r="841" spans="1:15" x14ac:dyDescent="0.25">
      <c r="A841" t="s">
        <v>56</v>
      </c>
      <c r="B841" t="s">
        <v>82</v>
      </c>
      <c r="C841">
        <v>-454</v>
      </c>
      <c r="D841">
        <v>300</v>
      </c>
      <c r="E841">
        <v>1</v>
      </c>
      <c r="F841" t="s">
        <v>26</v>
      </c>
      <c r="G841" t="s">
        <v>26</v>
      </c>
      <c r="H841">
        <v>0</v>
      </c>
      <c r="I841">
        <v>0</v>
      </c>
      <c r="K841">
        <v>0.60176790400000002</v>
      </c>
      <c r="L841">
        <v>0</v>
      </c>
      <c r="M841">
        <v>0.58065532799999997</v>
      </c>
      <c r="N841">
        <v>0</v>
      </c>
      <c r="O841" t="s">
        <v>450</v>
      </c>
    </row>
    <row r="842" spans="1:15" x14ac:dyDescent="0.25">
      <c r="A842" t="s">
        <v>56</v>
      </c>
      <c r="B842" t="s">
        <v>82</v>
      </c>
      <c r="C842">
        <v>300.00099999999998</v>
      </c>
      <c r="D842">
        <v>1100</v>
      </c>
      <c r="E842">
        <v>0.1</v>
      </c>
      <c r="F842" t="s">
        <v>26</v>
      </c>
      <c r="G842" t="s">
        <v>26</v>
      </c>
      <c r="H842">
        <v>0</v>
      </c>
      <c r="I842">
        <v>0</v>
      </c>
      <c r="K842">
        <v>0.09</v>
      </c>
      <c r="L842">
        <v>0</v>
      </c>
      <c r="M842">
        <v>8.4258116999999993E-2</v>
      </c>
      <c r="N842">
        <v>0</v>
      </c>
      <c r="O842" t="s">
        <v>451</v>
      </c>
    </row>
    <row r="843" spans="1:15" x14ac:dyDescent="0.25">
      <c r="A843" t="s">
        <v>56</v>
      </c>
      <c r="B843" t="s">
        <v>82</v>
      </c>
      <c r="C843">
        <v>300.00099999999998</v>
      </c>
      <c r="D843">
        <v>1100</v>
      </c>
      <c r="E843">
        <v>1</v>
      </c>
      <c r="F843" t="s">
        <v>26</v>
      </c>
      <c r="G843" t="s">
        <v>26</v>
      </c>
      <c r="H843">
        <v>0</v>
      </c>
      <c r="I843">
        <v>0</v>
      </c>
      <c r="K843">
        <v>0.58298645599999999</v>
      </c>
      <c r="L843">
        <v>0</v>
      </c>
      <c r="M843">
        <v>0.58060264399999995</v>
      </c>
      <c r="N843">
        <v>0</v>
      </c>
      <c r="O843" t="s">
        <v>452</v>
      </c>
    </row>
    <row r="844" spans="1:15" x14ac:dyDescent="0.25">
      <c r="A844" t="s">
        <v>56</v>
      </c>
      <c r="B844" t="s">
        <v>82</v>
      </c>
      <c r="C844">
        <v>1100.001</v>
      </c>
      <c r="D844">
        <v>1832</v>
      </c>
      <c r="E844">
        <v>0.1</v>
      </c>
      <c r="F844" t="s">
        <v>26</v>
      </c>
      <c r="G844" t="s">
        <v>26</v>
      </c>
      <c r="H844">
        <v>0</v>
      </c>
      <c r="I844">
        <v>0</v>
      </c>
      <c r="K844">
        <v>9.1750578999999999E-2</v>
      </c>
      <c r="L844">
        <v>0</v>
      </c>
      <c r="M844">
        <v>8.7890410000000002E-2</v>
      </c>
      <c r="N844">
        <v>0</v>
      </c>
      <c r="O844" t="s">
        <v>453</v>
      </c>
    </row>
    <row r="845" spans="1:15" x14ac:dyDescent="0.25">
      <c r="A845" t="s">
        <v>56</v>
      </c>
      <c r="B845" t="s">
        <v>82</v>
      </c>
      <c r="C845">
        <v>1100.001</v>
      </c>
      <c r="D845">
        <v>1832</v>
      </c>
      <c r="E845">
        <v>1</v>
      </c>
      <c r="F845" t="s">
        <v>26</v>
      </c>
      <c r="G845" t="s">
        <v>26</v>
      </c>
      <c r="H845">
        <v>0</v>
      </c>
      <c r="I845">
        <v>0</v>
      </c>
      <c r="K845">
        <v>0.58352249499999997</v>
      </c>
      <c r="L845">
        <v>0</v>
      </c>
      <c r="M845">
        <v>0.58114088200000003</v>
      </c>
      <c r="N845">
        <v>0</v>
      </c>
      <c r="O845" t="s">
        <v>454</v>
      </c>
    </row>
    <row r="846" spans="1:15" x14ac:dyDescent="0.25">
      <c r="A846" t="s">
        <v>56</v>
      </c>
      <c r="B846" t="s">
        <v>83</v>
      </c>
      <c r="C846">
        <v>-346</v>
      </c>
      <c r="D846">
        <v>499.99900000000002</v>
      </c>
      <c r="E846">
        <v>0.1</v>
      </c>
      <c r="F846" t="s">
        <v>26</v>
      </c>
      <c r="G846" t="s">
        <v>26</v>
      </c>
      <c r="H846">
        <v>0</v>
      </c>
      <c r="I846">
        <v>0</v>
      </c>
      <c r="K846">
        <v>0.14000000000000001</v>
      </c>
      <c r="L846">
        <v>0</v>
      </c>
      <c r="M846">
        <v>9.1813959000000001E-2</v>
      </c>
      <c r="N846">
        <v>0</v>
      </c>
      <c r="O846" t="s">
        <v>443</v>
      </c>
    </row>
    <row r="847" spans="1:15" x14ac:dyDescent="0.25">
      <c r="A847" t="s">
        <v>56</v>
      </c>
      <c r="B847" t="s">
        <v>83</v>
      </c>
      <c r="C847">
        <v>-346</v>
      </c>
      <c r="D847">
        <v>499.99900000000002</v>
      </c>
      <c r="E847">
        <v>1</v>
      </c>
      <c r="F847" t="s">
        <v>26</v>
      </c>
      <c r="G847" t="s">
        <v>26</v>
      </c>
      <c r="H847">
        <v>0</v>
      </c>
      <c r="I847">
        <v>0</v>
      </c>
      <c r="K847">
        <v>0.61871661300000003</v>
      </c>
      <c r="L847">
        <v>0</v>
      </c>
      <c r="M847">
        <v>0.58174719900000005</v>
      </c>
      <c r="N847">
        <v>0</v>
      </c>
      <c r="O847" t="s">
        <v>444</v>
      </c>
    </row>
    <row r="848" spans="1:15" x14ac:dyDescent="0.25">
      <c r="A848" t="s">
        <v>56</v>
      </c>
      <c r="B848" t="s">
        <v>83</v>
      </c>
      <c r="C848">
        <v>500</v>
      </c>
      <c r="D848">
        <v>1350</v>
      </c>
      <c r="E848">
        <v>0.1</v>
      </c>
      <c r="F848" t="s">
        <v>26</v>
      </c>
      <c r="G848" t="s">
        <v>26</v>
      </c>
      <c r="H848">
        <v>0</v>
      </c>
      <c r="I848">
        <v>0</v>
      </c>
      <c r="K848">
        <v>0.11</v>
      </c>
      <c r="L848">
        <v>0</v>
      </c>
      <c r="M848">
        <v>8.5418892999999996E-2</v>
      </c>
      <c r="N848">
        <v>0</v>
      </c>
      <c r="O848" t="s">
        <v>445</v>
      </c>
    </row>
    <row r="849" spans="1:15" x14ac:dyDescent="0.25">
      <c r="A849" t="s">
        <v>56</v>
      </c>
      <c r="B849" t="s">
        <v>83</v>
      </c>
      <c r="C849">
        <v>500</v>
      </c>
      <c r="D849">
        <v>1350</v>
      </c>
      <c r="E849">
        <v>1</v>
      </c>
      <c r="F849" t="s">
        <v>26</v>
      </c>
      <c r="G849" t="s">
        <v>26</v>
      </c>
      <c r="H849">
        <v>0</v>
      </c>
      <c r="I849">
        <v>0</v>
      </c>
      <c r="K849">
        <v>0.59112989000000005</v>
      </c>
      <c r="L849">
        <v>0</v>
      </c>
      <c r="M849">
        <v>0.580772234</v>
      </c>
      <c r="N849">
        <v>0</v>
      </c>
      <c r="O849" t="s">
        <v>446</v>
      </c>
    </row>
    <row r="850" spans="1:15" x14ac:dyDescent="0.25">
      <c r="A850" t="s">
        <v>56</v>
      </c>
      <c r="B850" t="s">
        <v>83</v>
      </c>
      <c r="C850">
        <v>1350.001</v>
      </c>
      <c r="D850">
        <v>2192</v>
      </c>
      <c r="E850">
        <v>0.1</v>
      </c>
      <c r="F850" t="s">
        <v>26</v>
      </c>
      <c r="G850" t="s">
        <v>26</v>
      </c>
      <c r="H850">
        <v>0</v>
      </c>
      <c r="I850">
        <v>0</v>
      </c>
      <c r="K850">
        <v>0.11</v>
      </c>
      <c r="L850">
        <v>0</v>
      </c>
      <c r="M850">
        <v>9.0691639000000004E-2</v>
      </c>
      <c r="N850">
        <v>0</v>
      </c>
      <c r="O850" t="s">
        <v>447</v>
      </c>
    </row>
    <row r="851" spans="1:15" x14ac:dyDescent="0.25">
      <c r="A851" t="s">
        <v>56</v>
      </c>
      <c r="B851" t="s">
        <v>83</v>
      </c>
      <c r="C851">
        <v>1350.001</v>
      </c>
      <c r="D851">
        <v>2192</v>
      </c>
      <c r="E851">
        <v>1</v>
      </c>
      <c r="F851" t="s">
        <v>26</v>
      </c>
      <c r="G851" t="s">
        <v>26</v>
      </c>
      <c r="H851">
        <v>0</v>
      </c>
      <c r="I851">
        <v>0</v>
      </c>
      <c r="K851">
        <v>0.58927052499999999</v>
      </c>
      <c r="L851">
        <v>0</v>
      </c>
      <c r="M851">
        <v>0.58157112499999997</v>
      </c>
      <c r="N851">
        <v>0</v>
      </c>
      <c r="O851" t="s">
        <v>448</v>
      </c>
    </row>
    <row r="852" spans="1:15" x14ac:dyDescent="0.25">
      <c r="A852" t="s">
        <v>56</v>
      </c>
      <c r="B852" t="s">
        <v>84</v>
      </c>
      <c r="C852">
        <v>-454</v>
      </c>
      <c r="D852">
        <v>-400.00099999999998</v>
      </c>
      <c r="E852">
        <v>0.1</v>
      </c>
      <c r="F852" t="s">
        <v>26</v>
      </c>
      <c r="G852" t="s">
        <v>26</v>
      </c>
      <c r="H852">
        <v>0</v>
      </c>
      <c r="I852">
        <v>0</v>
      </c>
      <c r="K852">
        <v>0.77443041000000001</v>
      </c>
      <c r="L852">
        <v>0</v>
      </c>
      <c r="M852">
        <v>0.76326909399999998</v>
      </c>
      <c r="N852">
        <v>0</v>
      </c>
      <c r="O852" t="s">
        <v>435</v>
      </c>
    </row>
    <row r="853" spans="1:15" x14ac:dyDescent="0.25">
      <c r="A853" t="s">
        <v>56</v>
      </c>
      <c r="B853" t="s">
        <v>84</v>
      </c>
      <c r="C853">
        <v>-454</v>
      </c>
      <c r="D853">
        <v>-400.00099999999998</v>
      </c>
      <c r="E853">
        <v>1</v>
      </c>
      <c r="F853" t="s">
        <v>26</v>
      </c>
      <c r="G853" t="s">
        <v>26</v>
      </c>
      <c r="H853">
        <v>0</v>
      </c>
      <c r="I853">
        <v>0</v>
      </c>
      <c r="K853">
        <v>0.990570901</v>
      </c>
      <c r="L853">
        <v>0</v>
      </c>
      <c r="M853">
        <v>0.95529037999999999</v>
      </c>
      <c r="N853">
        <v>0</v>
      </c>
      <c r="O853" t="s">
        <v>436</v>
      </c>
    </row>
    <row r="854" spans="1:15" x14ac:dyDescent="0.25">
      <c r="A854" t="s">
        <v>56</v>
      </c>
      <c r="B854" t="s">
        <v>84</v>
      </c>
      <c r="C854">
        <v>-400</v>
      </c>
      <c r="D854">
        <v>499.99900000000002</v>
      </c>
      <c r="E854">
        <v>0.1</v>
      </c>
      <c r="F854" t="s">
        <v>26</v>
      </c>
      <c r="G854" t="s">
        <v>26</v>
      </c>
      <c r="H854">
        <v>0</v>
      </c>
      <c r="I854">
        <v>0</v>
      </c>
      <c r="K854">
        <v>0.19</v>
      </c>
      <c r="L854">
        <v>0</v>
      </c>
      <c r="M854">
        <v>0.135879482</v>
      </c>
      <c r="N854">
        <v>0</v>
      </c>
      <c r="O854" t="s">
        <v>437</v>
      </c>
    </row>
    <row r="855" spans="1:15" x14ac:dyDescent="0.25">
      <c r="A855" t="s">
        <v>56</v>
      </c>
      <c r="B855" t="s">
        <v>84</v>
      </c>
      <c r="C855">
        <v>-400</v>
      </c>
      <c r="D855">
        <v>499.99900000000002</v>
      </c>
      <c r="E855">
        <v>1</v>
      </c>
      <c r="F855" t="s">
        <v>26</v>
      </c>
      <c r="G855" t="s">
        <v>26</v>
      </c>
      <c r="H855">
        <v>0</v>
      </c>
      <c r="I855">
        <v>0</v>
      </c>
      <c r="K855">
        <v>0.63828364500000001</v>
      </c>
      <c r="L855">
        <v>0</v>
      </c>
      <c r="M855">
        <v>0.59030774500000005</v>
      </c>
      <c r="N855">
        <v>0</v>
      </c>
      <c r="O855" t="s">
        <v>438</v>
      </c>
    </row>
    <row r="856" spans="1:15" x14ac:dyDescent="0.25">
      <c r="A856" t="s">
        <v>56</v>
      </c>
      <c r="B856" t="s">
        <v>84</v>
      </c>
      <c r="C856">
        <v>500</v>
      </c>
      <c r="D856">
        <v>1500</v>
      </c>
      <c r="E856">
        <v>0.1</v>
      </c>
      <c r="F856" t="s">
        <v>26</v>
      </c>
      <c r="G856" t="s">
        <v>26</v>
      </c>
      <c r="H856">
        <v>0</v>
      </c>
      <c r="I856">
        <v>0</v>
      </c>
      <c r="K856">
        <v>0.12</v>
      </c>
      <c r="L856">
        <v>0</v>
      </c>
      <c r="M856">
        <v>8.8716091999999996E-2</v>
      </c>
      <c r="N856">
        <v>0</v>
      </c>
      <c r="O856" t="s">
        <v>439</v>
      </c>
    </row>
    <row r="857" spans="1:15" x14ac:dyDescent="0.25">
      <c r="A857" t="s">
        <v>56</v>
      </c>
      <c r="B857" t="s">
        <v>84</v>
      </c>
      <c r="C857">
        <v>500</v>
      </c>
      <c r="D857">
        <v>1500</v>
      </c>
      <c r="E857">
        <v>1</v>
      </c>
      <c r="F857" t="s">
        <v>26</v>
      </c>
      <c r="G857" t="s">
        <v>26</v>
      </c>
      <c r="H857">
        <v>0</v>
      </c>
      <c r="I857">
        <v>0</v>
      </c>
      <c r="K857">
        <v>0.59947253700000003</v>
      </c>
      <c r="L857">
        <v>0</v>
      </c>
      <c r="M857">
        <v>0.58126632899999997</v>
      </c>
      <c r="N857">
        <v>0</v>
      </c>
      <c r="O857" t="s">
        <v>440</v>
      </c>
    </row>
    <row r="858" spans="1:15" x14ac:dyDescent="0.25">
      <c r="A858" t="s">
        <v>56</v>
      </c>
      <c r="B858" t="s">
        <v>84</v>
      </c>
      <c r="C858">
        <v>1500.001</v>
      </c>
      <c r="D858">
        <v>2500</v>
      </c>
      <c r="E858">
        <v>0.1</v>
      </c>
      <c r="F858" t="s">
        <v>26</v>
      </c>
      <c r="G858" t="s">
        <v>26</v>
      </c>
      <c r="H858">
        <v>0</v>
      </c>
      <c r="I858">
        <v>0</v>
      </c>
      <c r="K858">
        <v>0.131346933</v>
      </c>
      <c r="L858">
        <v>0</v>
      </c>
      <c r="M858">
        <v>9.8982265999999999E-2</v>
      </c>
      <c r="N858">
        <v>0</v>
      </c>
      <c r="O858" t="s">
        <v>441</v>
      </c>
    </row>
    <row r="859" spans="1:15" x14ac:dyDescent="0.25">
      <c r="A859" t="s">
        <v>56</v>
      </c>
      <c r="B859" t="s">
        <v>84</v>
      </c>
      <c r="C859">
        <v>1500.001</v>
      </c>
      <c r="D859">
        <v>2500</v>
      </c>
      <c r="E859">
        <v>1</v>
      </c>
      <c r="F859" t="s">
        <v>26</v>
      </c>
      <c r="G859" t="s">
        <v>26</v>
      </c>
      <c r="H859">
        <v>0</v>
      </c>
      <c r="I859">
        <v>0</v>
      </c>
      <c r="K859">
        <v>0.60796019599999995</v>
      </c>
      <c r="L859">
        <v>0</v>
      </c>
      <c r="M859">
        <v>0.58292151199999998</v>
      </c>
      <c r="N859">
        <v>0</v>
      </c>
      <c r="O859" t="s">
        <v>442</v>
      </c>
    </row>
    <row r="860" spans="1:15" x14ac:dyDescent="0.25">
      <c r="A860" t="s">
        <v>56</v>
      </c>
      <c r="B860" t="s">
        <v>85</v>
      </c>
      <c r="C860">
        <v>-454</v>
      </c>
      <c r="D860">
        <v>-400.00099999999998</v>
      </c>
      <c r="E860">
        <v>0.1</v>
      </c>
      <c r="F860" t="s">
        <v>26</v>
      </c>
      <c r="G860" t="s">
        <v>26</v>
      </c>
      <c r="H860">
        <v>0</v>
      </c>
      <c r="I860">
        <v>0</v>
      </c>
      <c r="K860">
        <v>1.5</v>
      </c>
      <c r="L860">
        <v>0</v>
      </c>
      <c r="M860">
        <v>1.4288134379999999</v>
      </c>
      <c r="N860">
        <v>0</v>
      </c>
      <c r="O860" t="s">
        <v>425</v>
      </c>
    </row>
    <row r="861" spans="1:15" x14ac:dyDescent="0.25">
      <c r="A861" t="s">
        <v>56</v>
      </c>
      <c r="B861" t="s">
        <v>85</v>
      </c>
      <c r="C861">
        <v>-454</v>
      </c>
      <c r="D861">
        <v>-400.00099999999998</v>
      </c>
      <c r="E861">
        <v>1</v>
      </c>
      <c r="F861" t="s">
        <v>26</v>
      </c>
      <c r="G861" t="s">
        <v>26</v>
      </c>
      <c r="H861">
        <v>0</v>
      </c>
      <c r="I861">
        <v>0</v>
      </c>
      <c r="K861">
        <v>1.560324096</v>
      </c>
      <c r="L861">
        <v>0</v>
      </c>
      <c r="M861">
        <v>1.5399700780000001</v>
      </c>
      <c r="N861">
        <v>0</v>
      </c>
      <c r="O861" t="s">
        <v>426</v>
      </c>
    </row>
    <row r="862" spans="1:15" x14ac:dyDescent="0.25">
      <c r="A862" t="s">
        <v>56</v>
      </c>
      <c r="B862" t="s">
        <v>85</v>
      </c>
      <c r="C862">
        <v>-400</v>
      </c>
      <c r="D862">
        <v>-150.001</v>
      </c>
      <c r="E862">
        <v>0.1</v>
      </c>
      <c r="F862" t="s">
        <v>26</v>
      </c>
      <c r="G862" t="s">
        <v>26</v>
      </c>
      <c r="H862">
        <v>0</v>
      </c>
      <c r="I862">
        <v>0</v>
      </c>
      <c r="K862">
        <v>0.24</v>
      </c>
      <c r="L862">
        <v>0</v>
      </c>
      <c r="M862">
        <v>0.19872960000000001</v>
      </c>
      <c r="N862">
        <v>0</v>
      </c>
      <c r="O862" t="s">
        <v>427</v>
      </c>
    </row>
    <row r="863" spans="1:15" x14ac:dyDescent="0.25">
      <c r="A863" t="s">
        <v>56</v>
      </c>
      <c r="B863" t="s">
        <v>85</v>
      </c>
      <c r="C863">
        <v>-400</v>
      </c>
      <c r="D863">
        <v>-150.001</v>
      </c>
      <c r="E863">
        <v>1</v>
      </c>
      <c r="F863" t="s">
        <v>26</v>
      </c>
      <c r="G863" t="s">
        <v>26</v>
      </c>
      <c r="H863">
        <v>0</v>
      </c>
      <c r="I863">
        <v>0</v>
      </c>
      <c r="K863">
        <v>0.65772098800000001</v>
      </c>
      <c r="L863">
        <v>0</v>
      </c>
      <c r="M863">
        <v>0.60785973199999999</v>
      </c>
      <c r="N863">
        <v>0</v>
      </c>
      <c r="O863" t="s">
        <v>428</v>
      </c>
    </row>
    <row r="864" spans="1:15" x14ac:dyDescent="0.25">
      <c r="A864" t="s">
        <v>56</v>
      </c>
      <c r="B864" t="s">
        <v>85</v>
      </c>
      <c r="C864">
        <v>-150</v>
      </c>
      <c r="D864">
        <v>700</v>
      </c>
      <c r="E864">
        <v>0.1</v>
      </c>
      <c r="F864" t="s">
        <v>26</v>
      </c>
      <c r="G864" t="s">
        <v>26</v>
      </c>
      <c r="H864">
        <v>0</v>
      </c>
      <c r="I864">
        <v>0</v>
      </c>
      <c r="K864">
        <v>0.14000000000000001</v>
      </c>
      <c r="L864">
        <v>0</v>
      </c>
      <c r="M864">
        <v>8.8082791999999993E-2</v>
      </c>
      <c r="N864">
        <v>0</v>
      </c>
      <c r="O864" t="s">
        <v>429</v>
      </c>
    </row>
    <row r="865" spans="1:15" x14ac:dyDescent="0.25">
      <c r="A865" t="s">
        <v>56</v>
      </c>
      <c r="B865" t="s">
        <v>85</v>
      </c>
      <c r="C865">
        <v>-150</v>
      </c>
      <c r="D865">
        <v>700</v>
      </c>
      <c r="E865">
        <v>1</v>
      </c>
      <c r="F865" t="s">
        <v>26</v>
      </c>
      <c r="G865" t="s">
        <v>26</v>
      </c>
      <c r="H865">
        <v>0</v>
      </c>
      <c r="I865">
        <v>0</v>
      </c>
      <c r="K865">
        <v>0.61817394199999998</v>
      </c>
      <c r="L865">
        <v>0</v>
      </c>
      <c r="M865">
        <v>0.58117000799999996</v>
      </c>
      <c r="N865">
        <v>0</v>
      </c>
      <c r="O865" t="s">
        <v>430</v>
      </c>
    </row>
    <row r="866" spans="1:15" x14ac:dyDescent="0.25">
      <c r="A866" t="s">
        <v>56</v>
      </c>
      <c r="B866" t="s">
        <v>85</v>
      </c>
      <c r="C866">
        <v>700.00099999999998</v>
      </c>
      <c r="D866">
        <v>1500</v>
      </c>
      <c r="E866">
        <v>0.1</v>
      </c>
      <c r="F866" t="s">
        <v>26</v>
      </c>
      <c r="G866" t="s">
        <v>26</v>
      </c>
      <c r="H866">
        <v>0</v>
      </c>
      <c r="I866">
        <v>0</v>
      </c>
      <c r="K866">
        <v>0.12</v>
      </c>
      <c r="L866">
        <v>0</v>
      </c>
      <c r="M866">
        <v>8.7954482E-2</v>
      </c>
      <c r="N866">
        <v>0</v>
      </c>
      <c r="O866" t="s">
        <v>431</v>
      </c>
    </row>
    <row r="867" spans="1:15" x14ac:dyDescent="0.25">
      <c r="A867" t="s">
        <v>56</v>
      </c>
      <c r="B867" t="s">
        <v>85</v>
      </c>
      <c r="C867">
        <v>700.00099999999998</v>
      </c>
      <c r="D867">
        <v>1500</v>
      </c>
      <c r="E867">
        <v>1</v>
      </c>
      <c r="F867" t="s">
        <v>26</v>
      </c>
      <c r="G867" t="s">
        <v>26</v>
      </c>
      <c r="H867">
        <v>0</v>
      </c>
      <c r="I867">
        <v>0</v>
      </c>
      <c r="K867">
        <v>0.60109325599999996</v>
      </c>
      <c r="L867">
        <v>0</v>
      </c>
      <c r="M867">
        <v>0.581150575</v>
      </c>
      <c r="N867">
        <v>0</v>
      </c>
      <c r="O867" t="s">
        <v>432</v>
      </c>
    </row>
    <row r="868" spans="1:15" x14ac:dyDescent="0.25">
      <c r="A868" t="s">
        <v>56</v>
      </c>
      <c r="B868" t="s">
        <v>85</v>
      </c>
      <c r="C868">
        <v>1500.001</v>
      </c>
      <c r="D868">
        <v>2372</v>
      </c>
      <c r="E868">
        <v>0.1</v>
      </c>
      <c r="F868" t="s">
        <v>26</v>
      </c>
      <c r="G868" t="s">
        <v>26</v>
      </c>
      <c r="H868">
        <v>0</v>
      </c>
      <c r="I868">
        <v>0</v>
      </c>
      <c r="K868">
        <v>0.13</v>
      </c>
      <c r="L868">
        <v>0</v>
      </c>
      <c r="M868">
        <v>9.4805566999999993E-2</v>
      </c>
      <c r="N868">
        <v>0</v>
      </c>
      <c r="O868" t="s">
        <v>433</v>
      </c>
    </row>
    <row r="869" spans="1:15" x14ac:dyDescent="0.25">
      <c r="A869" t="s">
        <v>56</v>
      </c>
      <c r="B869" t="s">
        <v>85</v>
      </c>
      <c r="C869">
        <v>1500.001</v>
      </c>
      <c r="D869">
        <v>2372</v>
      </c>
      <c r="E869">
        <v>1</v>
      </c>
      <c r="F869" t="s">
        <v>26</v>
      </c>
      <c r="G869" t="s">
        <v>26</v>
      </c>
      <c r="H869">
        <v>0</v>
      </c>
      <c r="I869">
        <v>0</v>
      </c>
      <c r="K869">
        <v>0.60385887400000005</v>
      </c>
      <c r="L869">
        <v>0</v>
      </c>
      <c r="M869">
        <v>0.58222684199999997</v>
      </c>
      <c r="N869">
        <v>0</v>
      </c>
      <c r="O869" t="s">
        <v>434</v>
      </c>
    </row>
    <row r="870" spans="1:15" x14ac:dyDescent="0.25">
      <c r="A870" t="s">
        <v>56</v>
      </c>
      <c r="B870" t="s">
        <v>89</v>
      </c>
      <c r="C870">
        <v>-320</v>
      </c>
      <c r="D870">
        <v>32</v>
      </c>
      <c r="E870">
        <v>0.01</v>
      </c>
      <c r="F870" t="s">
        <v>26</v>
      </c>
      <c r="G870" t="s">
        <v>26</v>
      </c>
      <c r="H870">
        <v>0</v>
      </c>
      <c r="I870">
        <v>0</v>
      </c>
      <c r="K870">
        <v>1.2999999999999999E-2</v>
      </c>
      <c r="L870">
        <v>0</v>
      </c>
      <c r="M870">
        <v>1.0679012999999999E-2</v>
      </c>
      <c r="N870">
        <v>0</v>
      </c>
      <c r="O870" t="s">
        <v>410</v>
      </c>
    </row>
    <row r="871" spans="1:15" x14ac:dyDescent="0.25">
      <c r="A871" t="s">
        <v>56</v>
      </c>
      <c r="B871" t="s">
        <v>89</v>
      </c>
      <c r="C871">
        <v>-320</v>
      </c>
      <c r="D871">
        <v>32</v>
      </c>
      <c r="E871">
        <v>0.1</v>
      </c>
      <c r="F871" t="s">
        <v>26</v>
      </c>
      <c r="G871" t="s">
        <v>26</v>
      </c>
      <c r="H871">
        <v>0</v>
      </c>
      <c r="I871">
        <v>0</v>
      </c>
      <c r="K871">
        <v>5.9935600999999998E-2</v>
      </c>
      <c r="L871">
        <v>0</v>
      </c>
      <c r="M871">
        <v>5.8429797999999998E-2</v>
      </c>
      <c r="N871">
        <v>0</v>
      </c>
      <c r="O871" t="s">
        <v>411</v>
      </c>
    </row>
    <row r="872" spans="1:15" x14ac:dyDescent="0.25">
      <c r="A872" t="s">
        <v>56</v>
      </c>
      <c r="B872" t="s">
        <v>89</v>
      </c>
      <c r="C872">
        <v>-320</v>
      </c>
      <c r="D872">
        <v>32</v>
      </c>
      <c r="E872">
        <v>1</v>
      </c>
      <c r="F872" t="s">
        <v>26</v>
      </c>
      <c r="G872" t="s">
        <v>26</v>
      </c>
      <c r="H872">
        <v>0</v>
      </c>
      <c r="I872">
        <v>0</v>
      </c>
      <c r="K872">
        <v>0.57803718000000004</v>
      </c>
      <c r="L872">
        <v>0</v>
      </c>
      <c r="M872">
        <v>0.57742015999999996</v>
      </c>
      <c r="N872">
        <v>0</v>
      </c>
      <c r="O872" t="s">
        <v>412</v>
      </c>
    </row>
    <row r="873" spans="1:15" x14ac:dyDescent="0.25">
      <c r="A873" t="s">
        <v>56</v>
      </c>
      <c r="B873" t="s">
        <v>89</v>
      </c>
      <c r="C873">
        <v>32.000999999999998</v>
      </c>
      <c r="D873">
        <v>400</v>
      </c>
      <c r="E873">
        <v>0.01</v>
      </c>
      <c r="F873" t="s">
        <v>26</v>
      </c>
      <c r="G873" t="s">
        <v>26</v>
      </c>
      <c r="H873">
        <v>0</v>
      </c>
      <c r="I873">
        <v>0</v>
      </c>
      <c r="K873">
        <v>1.6E-2</v>
      </c>
      <c r="L873">
        <v>0</v>
      </c>
      <c r="M873">
        <v>1.450648E-2</v>
      </c>
      <c r="N873">
        <v>0</v>
      </c>
      <c r="O873" t="s">
        <v>413</v>
      </c>
    </row>
    <row r="874" spans="1:15" x14ac:dyDescent="0.25">
      <c r="A874" t="s">
        <v>56</v>
      </c>
      <c r="B874" t="s">
        <v>89</v>
      </c>
      <c r="C874">
        <v>32.000999999999998</v>
      </c>
      <c r="D874">
        <v>400</v>
      </c>
      <c r="E874">
        <v>0.1</v>
      </c>
      <c r="F874" t="s">
        <v>26</v>
      </c>
      <c r="G874" t="s">
        <v>26</v>
      </c>
      <c r="H874">
        <v>0</v>
      </c>
      <c r="I874">
        <v>0</v>
      </c>
      <c r="K874">
        <v>6.0734445999999997E-2</v>
      </c>
      <c r="L874">
        <v>0</v>
      </c>
      <c r="M874">
        <v>5.9248949000000002E-2</v>
      </c>
      <c r="N874">
        <v>0</v>
      </c>
      <c r="O874" t="s">
        <v>414</v>
      </c>
    </row>
    <row r="875" spans="1:15" x14ac:dyDescent="0.25">
      <c r="A875" t="s">
        <v>56</v>
      </c>
      <c r="B875" t="s">
        <v>89</v>
      </c>
      <c r="C875">
        <v>32.000999999999998</v>
      </c>
      <c r="D875">
        <v>400</v>
      </c>
      <c r="E875">
        <v>1</v>
      </c>
      <c r="F875" t="s">
        <v>26</v>
      </c>
      <c r="G875" t="s">
        <v>26</v>
      </c>
      <c r="H875">
        <v>0</v>
      </c>
      <c r="I875">
        <v>0</v>
      </c>
      <c r="K875">
        <v>0.57812055600000001</v>
      </c>
      <c r="L875">
        <v>0</v>
      </c>
      <c r="M875">
        <v>0.57750362600000005</v>
      </c>
      <c r="N875">
        <v>0</v>
      </c>
      <c r="O875" t="s">
        <v>415</v>
      </c>
    </row>
    <row r="876" spans="1:15" x14ac:dyDescent="0.25">
      <c r="A876" t="s">
        <v>56</v>
      </c>
      <c r="B876" t="s">
        <v>89</v>
      </c>
      <c r="C876">
        <v>400.00099999999998</v>
      </c>
      <c r="D876">
        <v>800</v>
      </c>
      <c r="E876">
        <v>0.01</v>
      </c>
      <c r="F876" t="s">
        <v>26</v>
      </c>
      <c r="G876" t="s">
        <v>26</v>
      </c>
      <c r="H876">
        <v>0</v>
      </c>
      <c r="I876">
        <v>0</v>
      </c>
      <c r="K876">
        <v>2.1000000000000001E-2</v>
      </c>
      <c r="L876">
        <v>0</v>
      </c>
      <c r="M876">
        <v>1.8861624E-2</v>
      </c>
      <c r="N876">
        <v>0</v>
      </c>
      <c r="O876" t="s">
        <v>416</v>
      </c>
    </row>
    <row r="877" spans="1:15" x14ac:dyDescent="0.25">
      <c r="A877" t="s">
        <v>56</v>
      </c>
      <c r="B877" t="s">
        <v>89</v>
      </c>
      <c r="C877">
        <v>400.00099999999998</v>
      </c>
      <c r="D877">
        <v>800</v>
      </c>
      <c r="E877">
        <v>0.1</v>
      </c>
      <c r="F877" t="s">
        <v>26</v>
      </c>
      <c r="G877" t="s">
        <v>26</v>
      </c>
      <c r="H877">
        <v>0</v>
      </c>
      <c r="I877">
        <v>0</v>
      </c>
      <c r="K877">
        <v>6.2482481999999999E-2</v>
      </c>
      <c r="L877">
        <v>0</v>
      </c>
      <c r="M877">
        <v>6.0462887999999999E-2</v>
      </c>
      <c r="N877">
        <v>0</v>
      </c>
      <c r="O877" t="s">
        <v>417</v>
      </c>
    </row>
    <row r="878" spans="1:15" x14ac:dyDescent="0.25">
      <c r="A878" t="s">
        <v>56</v>
      </c>
      <c r="B878" t="s">
        <v>89</v>
      </c>
      <c r="C878">
        <v>400.00099999999998</v>
      </c>
      <c r="D878">
        <v>800</v>
      </c>
      <c r="E878">
        <v>1</v>
      </c>
      <c r="F878" t="s">
        <v>26</v>
      </c>
      <c r="G878" t="s">
        <v>26</v>
      </c>
      <c r="H878">
        <v>0</v>
      </c>
      <c r="I878">
        <v>0</v>
      </c>
      <c r="K878">
        <v>0.57848851300000004</v>
      </c>
      <c r="L878">
        <v>0</v>
      </c>
      <c r="M878">
        <v>0.57762943200000005</v>
      </c>
      <c r="N878">
        <v>0</v>
      </c>
      <c r="O878" t="s">
        <v>418</v>
      </c>
    </row>
    <row r="879" spans="1:15" x14ac:dyDescent="0.25">
      <c r="A879" t="s">
        <v>56</v>
      </c>
      <c r="B879" t="s">
        <v>89</v>
      </c>
      <c r="C879">
        <v>800.00099999999998</v>
      </c>
      <c r="D879">
        <v>1200</v>
      </c>
      <c r="E879">
        <v>0.01</v>
      </c>
      <c r="F879" t="s">
        <v>26</v>
      </c>
      <c r="G879" t="s">
        <v>26</v>
      </c>
      <c r="H879">
        <v>0</v>
      </c>
      <c r="I879">
        <v>0</v>
      </c>
      <c r="K879">
        <v>2.7260507E-2</v>
      </c>
      <c r="L879">
        <v>0</v>
      </c>
      <c r="M879">
        <v>2.6097133000000002E-2</v>
      </c>
      <c r="N879">
        <v>0</v>
      </c>
      <c r="O879" t="s">
        <v>419</v>
      </c>
    </row>
    <row r="880" spans="1:15" x14ac:dyDescent="0.25">
      <c r="A880" t="s">
        <v>56</v>
      </c>
      <c r="B880" t="s">
        <v>89</v>
      </c>
      <c r="C880">
        <v>800.00099999999998</v>
      </c>
      <c r="D880">
        <v>1200</v>
      </c>
      <c r="E880">
        <v>0.1</v>
      </c>
      <c r="F880" t="s">
        <v>26</v>
      </c>
      <c r="G880" t="s">
        <v>26</v>
      </c>
      <c r="H880">
        <v>0</v>
      </c>
      <c r="I880">
        <v>0</v>
      </c>
      <c r="K880">
        <v>6.5033530000000006E-2</v>
      </c>
      <c r="L880">
        <v>0</v>
      </c>
      <c r="M880">
        <v>6.3095644000000006E-2</v>
      </c>
      <c r="N880">
        <v>0</v>
      </c>
      <c r="O880" t="s">
        <v>420</v>
      </c>
    </row>
    <row r="881" spans="1:15" x14ac:dyDescent="0.25">
      <c r="A881" t="s">
        <v>56</v>
      </c>
      <c r="B881" t="s">
        <v>89</v>
      </c>
      <c r="C881">
        <v>800.00099999999998</v>
      </c>
      <c r="D881">
        <v>1200</v>
      </c>
      <c r="E881">
        <v>1</v>
      </c>
      <c r="F881" t="s">
        <v>26</v>
      </c>
      <c r="G881" t="s">
        <v>26</v>
      </c>
      <c r="H881">
        <v>0</v>
      </c>
      <c r="I881">
        <v>0</v>
      </c>
      <c r="K881">
        <v>0.57876960799999999</v>
      </c>
      <c r="L881">
        <v>0</v>
      </c>
      <c r="M881">
        <v>0.57791094499999995</v>
      </c>
      <c r="N881">
        <v>0</v>
      </c>
      <c r="O881" t="s">
        <v>421</v>
      </c>
    </row>
    <row r="882" spans="1:15" x14ac:dyDescent="0.25">
      <c r="A882" t="s">
        <v>56</v>
      </c>
      <c r="B882" t="s">
        <v>89</v>
      </c>
      <c r="C882">
        <v>1200.001</v>
      </c>
      <c r="D882">
        <v>1562</v>
      </c>
      <c r="E882">
        <v>0.01</v>
      </c>
      <c r="F882" t="s">
        <v>26</v>
      </c>
      <c r="G882" t="s">
        <v>26</v>
      </c>
      <c r="H882">
        <v>0</v>
      </c>
      <c r="I882">
        <v>0</v>
      </c>
      <c r="K882">
        <v>3.4473085000000001E-2</v>
      </c>
      <c r="L882">
        <v>0</v>
      </c>
      <c r="M882">
        <v>3.2866752999999999E-2</v>
      </c>
      <c r="N882">
        <v>0</v>
      </c>
      <c r="O882" t="s">
        <v>422</v>
      </c>
    </row>
    <row r="883" spans="1:15" x14ac:dyDescent="0.25">
      <c r="A883" t="s">
        <v>56</v>
      </c>
      <c r="B883" t="s">
        <v>89</v>
      </c>
      <c r="C883">
        <v>1200.001</v>
      </c>
      <c r="D883">
        <v>1562</v>
      </c>
      <c r="E883">
        <v>0.1</v>
      </c>
      <c r="F883" t="s">
        <v>26</v>
      </c>
      <c r="G883" t="s">
        <v>26</v>
      </c>
      <c r="H883">
        <v>0</v>
      </c>
      <c r="I883">
        <v>0</v>
      </c>
      <c r="K883">
        <v>6.9375096999999997E-2</v>
      </c>
      <c r="L883">
        <v>0</v>
      </c>
      <c r="M883">
        <v>6.6183255999999996E-2</v>
      </c>
      <c r="N883">
        <v>0</v>
      </c>
      <c r="O883" t="s">
        <v>423</v>
      </c>
    </row>
    <row r="884" spans="1:15" x14ac:dyDescent="0.25">
      <c r="A884" t="s">
        <v>56</v>
      </c>
      <c r="B884" t="s">
        <v>89</v>
      </c>
      <c r="C884">
        <v>1200.001</v>
      </c>
      <c r="D884">
        <v>1562</v>
      </c>
      <c r="E884">
        <v>1</v>
      </c>
      <c r="F884" t="s">
        <v>26</v>
      </c>
      <c r="G884" t="s">
        <v>26</v>
      </c>
      <c r="H884">
        <v>0</v>
      </c>
      <c r="I884">
        <v>0</v>
      </c>
      <c r="K884">
        <v>0.57975076199999998</v>
      </c>
      <c r="L884">
        <v>0</v>
      </c>
      <c r="M884">
        <v>0.578256192</v>
      </c>
      <c r="N884">
        <v>0</v>
      </c>
      <c r="O884" t="s">
        <v>424</v>
      </c>
    </row>
    <row r="885" spans="1:15" x14ac:dyDescent="0.25">
      <c r="A885" t="s">
        <v>56</v>
      </c>
      <c r="B885" t="s">
        <v>90</v>
      </c>
      <c r="C885">
        <v>-320</v>
      </c>
      <c r="D885">
        <v>32</v>
      </c>
      <c r="E885">
        <v>0.01</v>
      </c>
      <c r="F885" t="s">
        <v>26</v>
      </c>
      <c r="G885" t="s">
        <v>26</v>
      </c>
      <c r="H885">
        <v>0</v>
      </c>
      <c r="I885">
        <v>0</v>
      </c>
      <c r="K885">
        <v>9.049797E-3</v>
      </c>
      <c r="L885">
        <v>0</v>
      </c>
      <c r="M885">
        <v>8.0620870000000008E-3</v>
      </c>
      <c r="N885">
        <v>0</v>
      </c>
      <c r="O885" t="s">
        <v>395</v>
      </c>
    </row>
    <row r="886" spans="1:15" x14ac:dyDescent="0.25">
      <c r="A886" t="s">
        <v>56</v>
      </c>
      <c r="B886" t="s">
        <v>90</v>
      </c>
      <c r="C886">
        <v>-320</v>
      </c>
      <c r="D886">
        <v>32</v>
      </c>
      <c r="E886">
        <v>0.1</v>
      </c>
      <c r="F886" t="s">
        <v>26</v>
      </c>
      <c r="G886" t="s">
        <v>26</v>
      </c>
      <c r="H886">
        <v>0</v>
      </c>
      <c r="I886">
        <v>0</v>
      </c>
      <c r="K886">
        <v>5.8588425E-2</v>
      </c>
      <c r="L886">
        <v>0</v>
      </c>
      <c r="M886">
        <v>5.8008596000000003E-2</v>
      </c>
      <c r="N886">
        <v>0</v>
      </c>
      <c r="O886" t="s">
        <v>396</v>
      </c>
    </row>
    <row r="887" spans="1:15" x14ac:dyDescent="0.25">
      <c r="A887" t="s">
        <v>56</v>
      </c>
      <c r="B887" t="s">
        <v>90</v>
      </c>
      <c r="C887">
        <v>-320</v>
      </c>
      <c r="D887">
        <v>32</v>
      </c>
      <c r="E887">
        <v>1</v>
      </c>
      <c r="F887" t="s">
        <v>26</v>
      </c>
      <c r="G887" t="s">
        <v>26</v>
      </c>
      <c r="H887">
        <v>0</v>
      </c>
      <c r="I887">
        <v>0</v>
      </c>
      <c r="K887">
        <v>0.57761182700000002</v>
      </c>
      <c r="L887">
        <v>0</v>
      </c>
      <c r="M887">
        <v>0.57737769000000005</v>
      </c>
      <c r="N887">
        <v>0</v>
      </c>
      <c r="O887" t="s">
        <v>397</v>
      </c>
    </row>
    <row r="888" spans="1:15" x14ac:dyDescent="0.25">
      <c r="A888" t="s">
        <v>56</v>
      </c>
      <c r="B888" t="s">
        <v>90</v>
      </c>
      <c r="C888">
        <v>32.000999999999998</v>
      </c>
      <c r="D888">
        <v>400</v>
      </c>
      <c r="E888">
        <v>0.01</v>
      </c>
      <c r="F888" t="s">
        <v>26</v>
      </c>
      <c r="G888" t="s">
        <v>26</v>
      </c>
      <c r="H888">
        <v>0</v>
      </c>
      <c r="I888">
        <v>0</v>
      </c>
      <c r="K888">
        <v>1.6E-2</v>
      </c>
      <c r="L888">
        <v>0</v>
      </c>
      <c r="M888">
        <v>1.4466336999999999E-2</v>
      </c>
      <c r="N888">
        <v>0</v>
      </c>
      <c r="O888" t="s">
        <v>398</v>
      </c>
    </row>
    <row r="889" spans="1:15" x14ac:dyDescent="0.25">
      <c r="A889" t="s">
        <v>56</v>
      </c>
      <c r="B889" t="s">
        <v>90</v>
      </c>
      <c r="C889">
        <v>32.000999999999998</v>
      </c>
      <c r="D889">
        <v>400</v>
      </c>
      <c r="E889">
        <v>0.1</v>
      </c>
      <c r="F889" t="s">
        <v>26</v>
      </c>
      <c r="G889" t="s">
        <v>26</v>
      </c>
      <c r="H889">
        <v>0</v>
      </c>
      <c r="I889">
        <v>0</v>
      </c>
      <c r="K889">
        <v>5.9981477999999998E-2</v>
      </c>
      <c r="L889">
        <v>0</v>
      </c>
      <c r="M889">
        <v>5.9239132999999999E-2</v>
      </c>
      <c r="N889">
        <v>0</v>
      </c>
      <c r="O889" t="s">
        <v>399</v>
      </c>
    </row>
    <row r="890" spans="1:15" x14ac:dyDescent="0.25">
      <c r="A890" t="s">
        <v>56</v>
      </c>
      <c r="B890" t="s">
        <v>90</v>
      </c>
      <c r="C890">
        <v>32.000999999999998</v>
      </c>
      <c r="D890">
        <v>400</v>
      </c>
      <c r="E890">
        <v>1</v>
      </c>
      <c r="F890" t="s">
        <v>26</v>
      </c>
      <c r="G890" t="s">
        <v>26</v>
      </c>
      <c r="H890">
        <v>0</v>
      </c>
      <c r="I890">
        <v>0</v>
      </c>
      <c r="K890">
        <v>0.57780904</v>
      </c>
      <c r="L890">
        <v>0</v>
      </c>
      <c r="M890">
        <v>0.57750261899999999</v>
      </c>
      <c r="N890">
        <v>0</v>
      </c>
      <c r="O890" t="s">
        <v>400</v>
      </c>
    </row>
    <row r="891" spans="1:15" x14ac:dyDescent="0.25">
      <c r="A891" t="s">
        <v>56</v>
      </c>
      <c r="B891" t="s">
        <v>90</v>
      </c>
      <c r="C891">
        <v>400.00099999999998</v>
      </c>
      <c r="D891">
        <v>800</v>
      </c>
      <c r="E891">
        <v>0.01</v>
      </c>
      <c r="F891" t="s">
        <v>26</v>
      </c>
      <c r="G891" t="s">
        <v>26</v>
      </c>
      <c r="H891">
        <v>0</v>
      </c>
      <c r="I891">
        <v>0</v>
      </c>
      <c r="K891">
        <v>0.02</v>
      </c>
      <c r="L891">
        <v>0</v>
      </c>
      <c r="M891">
        <v>1.8758799E-2</v>
      </c>
      <c r="N891">
        <v>0</v>
      </c>
      <c r="O891" t="s">
        <v>401</v>
      </c>
    </row>
    <row r="892" spans="1:15" x14ac:dyDescent="0.25">
      <c r="A892" t="s">
        <v>56</v>
      </c>
      <c r="B892" t="s">
        <v>90</v>
      </c>
      <c r="C892">
        <v>400.00099999999998</v>
      </c>
      <c r="D892">
        <v>800</v>
      </c>
      <c r="E892">
        <v>0.1</v>
      </c>
      <c r="F892" t="s">
        <v>26</v>
      </c>
      <c r="G892" t="s">
        <v>26</v>
      </c>
      <c r="H892">
        <v>0</v>
      </c>
      <c r="I892">
        <v>0</v>
      </c>
      <c r="K892">
        <v>6.1158772E-2</v>
      </c>
      <c r="L892">
        <v>0</v>
      </c>
      <c r="M892">
        <v>6.0430891E-2</v>
      </c>
      <c r="N892">
        <v>0</v>
      </c>
      <c r="O892" t="s">
        <v>402</v>
      </c>
    </row>
    <row r="893" spans="1:15" x14ac:dyDescent="0.25">
      <c r="A893" t="s">
        <v>56</v>
      </c>
      <c r="B893" t="s">
        <v>90</v>
      </c>
      <c r="C893">
        <v>400.00099999999998</v>
      </c>
      <c r="D893">
        <v>800</v>
      </c>
      <c r="E893">
        <v>1</v>
      </c>
      <c r="F893" t="s">
        <v>26</v>
      </c>
      <c r="G893" t="s">
        <v>26</v>
      </c>
      <c r="H893">
        <v>0</v>
      </c>
      <c r="I893">
        <v>0</v>
      </c>
      <c r="K893">
        <v>0.57793243900000002</v>
      </c>
      <c r="L893">
        <v>0</v>
      </c>
      <c r="M893">
        <v>0.57762608400000004</v>
      </c>
      <c r="N893">
        <v>0</v>
      </c>
      <c r="O893" t="s">
        <v>403</v>
      </c>
    </row>
    <row r="894" spans="1:15" x14ac:dyDescent="0.25">
      <c r="A894" t="s">
        <v>56</v>
      </c>
      <c r="B894" t="s">
        <v>90</v>
      </c>
      <c r="C894">
        <v>800.00099999999998</v>
      </c>
      <c r="D894">
        <v>1200</v>
      </c>
      <c r="E894">
        <v>0.01</v>
      </c>
      <c r="F894" t="s">
        <v>26</v>
      </c>
      <c r="G894" t="s">
        <v>26</v>
      </c>
      <c r="H894">
        <v>0</v>
      </c>
      <c r="I894">
        <v>0</v>
      </c>
      <c r="K894">
        <v>2.7080151E-2</v>
      </c>
      <c r="L894">
        <v>0</v>
      </c>
      <c r="M894">
        <v>2.5908679E-2</v>
      </c>
      <c r="N894">
        <v>0</v>
      </c>
      <c r="O894" t="s">
        <v>404</v>
      </c>
    </row>
    <row r="895" spans="1:15" x14ac:dyDescent="0.25">
      <c r="A895" t="s">
        <v>56</v>
      </c>
      <c r="B895" t="s">
        <v>90</v>
      </c>
      <c r="C895">
        <v>800.00099999999998</v>
      </c>
      <c r="D895">
        <v>1200</v>
      </c>
      <c r="E895">
        <v>0.1</v>
      </c>
      <c r="F895" t="s">
        <v>26</v>
      </c>
      <c r="G895" t="s">
        <v>26</v>
      </c>
      <c r="H895">
        <v>0</v>
      </c>
      <c r="I895">
        <v>0</v>
      </c>
      <c r="K895">
        <v>6.4958135E-2</v>
      </c>
      <c r="L895">
        <v>0</v>
      </c>
      <c r="M895">
        <v>6.3017930999999999E-2</v>
      </c>
      <c r="N895">
        <v>0</v>
      </c>
      <c r="O895" t="s">
        <v>405</v>
      </c>
    </row>
    <row r="896" spans="1:15" x14ac:dyDescent="0.25">
      <c r="A896" t="s">
        <v>56</v>
      </c>
      <c r="B896" t="s">
        <v>90</v>
      </c>
      <c r="C896">
        <v>800.00099999999998</v>
      </c>
      <c r="D896">
        <v>1200</v>
      </c>
      <c r="E896">
        <v>1</v>
      </c>
      <c r="F896" t="s">
        <v>26</v>
      </c>
      <c r="G896" t="s">
        <v>26</v>
      </c>
      <c r="H896">
        <v>0</v>
      </c>
      <c r="I896">
        <v>0</v>
      </c>
      <c r="K896">
        <v>0.57876114099999998</v>
      </c>
      <c r="L896">
        <v>0</v>
      </c>
      <c r="M896">
        <v>0.57790246599999995</v>
      </c>
      <c r="N896">
        <v>0</v>
      </c>
      <c r="O896" t="s">
        <v>406</v>
      </c>
    </row>
    <row r="897" spans="1:15" x14ac:dyDescent="0.25">
      <c r="A897" t="s">
        <v>56</v>
      </c>
      <c r="B897" t="s">
        <v>90</v>
      </c>
      <c r="C897">
        <v>1200.001</v>
      </c>
      <c r="D897">
        <v>1562</v>
      </c>
      <c r="E897">
        <v>0.01</v>
      </c>
      <c r="F897" t="s">
        <v>26</v>
      </c>
      <c r="G897" t="s">
        <v>26</v>
      </c>
      <c r="H897">
        <v>0</v>
      </c>
      <c r="I897">
        <v>0</v>
      </c>
      <c r="K897">
        <v>3.3168701000000002E-2</v>
      </c>
      <c r="L897">
        <v>0</v>
      </c>
      <c r="M897">
        <v>3.2593935999999997E-2</v>
      </c>
      <c r="N897">
        <v>0</v>
      </c>
      <c r="O897" t="s">
        <v>407</v>
      </c>
    </row>
    <row r="898" spans="1:15" x14ac:dyDescent="0.25">
      <c r="A898" t="s">
        <v>56</v>
      </c>
      <c r="B898" t="s">
        <v>90</v>
      </c>
      <c r="C898">
        <v>1200.001</v>
      </c>
      <c r="D898">
        <v>1562</v>
      </c>
      <c r="E898">
        <v>0.1</v>
      </c>
      <c r="F898" t="s">
        <v>26</v>
      </c>
      <c r="G898" t="s">
        <v>26</v>
      </c>
      <c r="H898">
        <v>0</v>
      </c>
      <c r="I898">
        <v>0</v>
      </c>
      <c r="K898">
        <v>6.7183012E-2</v>
      </c>
      <c r="L898">
        <v>0</v>
      </c>
      <c r="M898">
        <v>6.6048199000000002E-2</v>
      </c>
      <c r="N898">
        <v>0</v>
      </c>
      <c r="O898" t="s">
        <v>408</v>
      </c>
    </row>
    <row r="899" spans="1:15" x14ac:dyDescent="0.25">
      <c r="A899" t="s">
        <v>56</v>
      </c>
      <c r="B899" t="s">
        <v>90</v>
      </c>
      <c r="C899">
        <v>1200.001</v>
      </c>
      <c r="D899">
        <v>1562</v>
      </c>
      <c r="E899">
        <v>1</v>
      </c>
      <c r="F899" t="s">
        <v>26</v>
      </c>
      <c r="G899" t="s">
        <v>26</v>
      </c>
      <c r="H899">
        <v>0</v>
      </c>
      <c r="I899">
        <v>0</v>
      </c>
      <c r="K899">
        <v>0.57876345299999998</v>
      </c>
      <c r="L899">
        <v>0</v>
      </c>
      <c r="M899">
        <v>0.57824074999999997</v>
      </c>
      <c r="N899">
        <v>0</v>
      </c>
      <c r="O899" t="s">
        <v>409</v>
      </c>
    </row>
    <row r="900" spans="1:15" x14ac:dyDescent="0.25">
      <c r="A900" t="s">
        <v>56</v>
      </c>
      <c r="B900" t="s">
        <v>86</v>
      </c>
      <c r="C900">
        <v>-58</v>
      </c>
      <c r="D900">
        <v>31.998999999999999</v>
      </c>
      <c r="E900">
        <v>0.1</v>
      </c>
      <c r="F900" t="s">
        <v>26</v>
      </c>
      <c r="G900" t="s">
        <v>26</v>
      </c>
      <c r="H900">
        <v>0</v>
      </c>
      <c r="I900">
        <v>0</v>
      </c>
      <c r="K900">
        <v>0.26</v>
      </c>
      <c r="L900">
        <v>0</v>
      </c>
      <c r="M900">
        <v>0.22214629799999999</v>
      </c>
      <c r="N900">
        <v>0</v>
      </c>
      <c r="O900" t="s">
        <v>387</v>
      </c>
    </row>
    <row r="901" spans="1:15" x14ac:dyDescent="0.25">
      <c r="A901" t="s">
        <v>56</v>
      </c>
      <c r="B901" t="s">
        <v>86</v>
      </c>
      <c r="C901">
        <v>-58</v>
      </c>
      <c r="D901">
        <v>31.998999999999999</v>
      </c>
      <c r="E901">
        <v>1</v>
      </c>
      <c r="F901" t="s">
        <v>26</v>
      </c>
      <c r="G901" t="s">
        <v>26</v>
      </c>
      <c r="H901">
        <v>0</v>
      </c>
      <c r="I901">
        <v>0</v>
      </c>
      <c r="K901">
        <v>0.66464951500000002</v>
      </c>
      <c r="L901">
        <v>0</v>
      </c>
      <c r="M901">
        <v>0.61591312499999995</v>
      </c>
      <c r="N901">
        <v>0</v>
      </c>
      <c r="O901" t="s">
        <v>388</v>
      </c>
    </row>
    <row r="902" spans="1:15" x14ac:dyDescent="0.25">
      <c r="A902" t="s">
        <v>56</v>
      </c>
      <c r="B902" t="s">
        <v>86</v>
      </c>
      <c r="C902">
        <v>32</v>
      </c>
      <c r="D902">
        <v>1100</v>
      </c>
      <c r="E902">
        <v>0.1</v>
      </c>
      <c r="F902" t="s">
        <v>26</v>
      </c>
      <c r="G902" t="s">
        <v>26</v>
      </c>
      <c r="H902">
        <v>0</v>
      </c>
      <c r="I902">
        <v>0</v>
      </c>
      <c r="K902">
        <v>0.19</v>
      </c>
      <c r="L902">
        <v>0</v>
      </c>
      <c r="M902">
        <v>0.13897985700000001</v>
      </c>
      <c r="N902">
        <v>0</v>
      </c>
      <c r="O902" t="s">
        <v>389</v>
      </c>
    </row>
    <row r="903" spans="1:15" x14ac:dyDescent="0.25">
      <c r="A903" t="s">
        <v>56</v>
      </c>
      <c r="B903" t="s">
        <v>86</v>
      </c>
      <c r="C903">
        <v>32</v>
      </c>
      <c r="D903">
        <v>1100</v>
      </c>
      <c r="E903">
        <v>1</v>
      </c>
      <c r="F903" t="s">
        <v>26</v>
      </c>
      <c r="G903" t="s">
        <v>26</v>
      </c>
      <c r="H903">
        <v>0</v>
      </c>
      <c r="I903">
        <v>0</v>
      </c>
      <c r="K903">
        <v>0.64165832099999998</v>
      </c>
      <c r="L903">
        <v>0</v>
      </c>
      <c r="M903">
        <v>0.591029103</v>
      </c>
      <c r="N903">
        <v>0</v>
      </c>
      <c r="O903" t="s">
        <v>390</v>
      </c>
    </row>
    <row r="904" spans="1:15" x14ac:dyDescent="0.25">
      <c r="A904" t="s">
        <v>56</v>
      </c>
      <c r="B904" t="s">
        <v>86</v>
      </c>
      <c r="C904">
        <v>1100.001</v>
      </c>
      <c r="D904">
        <v>2200</v>
      </c>
      <c r="E904">
        <v>0.1</v>
      </c>
      <c r="F904" t="s">
        <v>26</v>
      </c>
      <c r="G904" t="s">
        <v>26</v>
      </c>
      <c r="H904">
        <v>0</v>
      </c>
      <c r="I904">
        <v>0</v>
      </c>
      <c r="K904">
        <v>0.16</v>
      </c>
      <c r="L904">
        <v>0</v>
      </c>
      <c r="M904">
        <v>0.105713381</v>
      </c>
      <c r="N904">
        <v>0</v>
      </c>
      <c r="O904" t="s">
        <v>391</v>
      </c>
    </row>
    <row r="905" spans="1:15" x14ac:dyDescent="0.25">
      <c r="A905" t="s">
        <v>56</v>
      </c>
      <c r="B905" t="s">
        <v>86</v>
      </c>
      <c r="C905">
        <v>1100.001</v>
      </c>
      <c r="D905">
        <v>2200</v>
      </c>
      <c r="E905">
        <v>1</v>
      </c>
      <c r="F905" t="s">
        <v>26</v>
      </c>
      <c r="G905" t="s">
        <v>26</v>
      </c>
      <c r="H905">
        <v>0</v>
      </c>
      <c r="I905">
        <v>0</v>
      </c>
      <c r="K905">
        <v>0.62759628499999998</v>
      </c>
      <c r="L905">
        <v>0</v>
      </c>
      <c r="M905">
        <v>0.58410214800000004</v>
      </c>
      <c r="N905">
        <v>0</v>
      </c>
      <c r="O905" t="s">
        <v>392</v>
      </c>
    </row>
    <row r="906" spans="1:15" x14ac:dyDescent="0.25">
      <c r="A906" t="s">
        <v>56</v>
      </c>
      <c r="B906" t="s">
        <v>86</v>
      </c>
      <c r="C906">
        <v>2200.0010000000002</v>
      </c>
      <c r="D906">
        <v>3214</v>
      </c>
      <c r="E906">
        <v>0.1</v>
      </c>
      <c r="F906" t="s">
        <v>26</v>
      </c>
      <c r="G906" t="s">
        <v>26</v>
      </c>
      <c r="H906">
        <v>0</v>
      </c>
      <c r="I906">
        <v>0</v>
      </c>
      <c r="K906">
        <v>0.17</v>
      </c>
      <c r="L906">
        <v>0</v>
      </c>
      <c r="M906">
        <v>0.122419896</v>
      </c>
      <c r="N906">
        <v>0</v>
      </c>
      <c r="O906" t="s">
        <v>393</v>
      </c>
    </row>
    <row r="907" spans="1:15" x14ac:dyDescent="0.25">
      <c r="A907" t="s">
        <v>56</v>
      </c>
      <c r="B907" t="s">
        <v>86</v>
      </c>
      <c r="C907">
        <v>2200.0010000000002</v>
      </c>
      <c r="D907">
        <v>3214</v>
      </c>
      <c r="E907">
        <v>1</v>
      </c>
      <c r="F907" t="s">
        <v>26</v>
      </c>
      <c r="G907" t="s">
        <v>26</v>
      </c>
      <c r="H907">
        <v>0</v>
      </c>
      <c r="I907">
        <v>0</v>
      </c>
      <c r="K907">
        <v>0.63062541100000002</v>
      </c>
      <c r="L907">
        <v>0</v>
      </c>
      <c r="M907">
        <v>0.58735562600000002</v>
      </c>
      <c r="N907">
        <v>0</v>
      </c>
      <c r="O907" t="s">
        <v>394</v>
      </c>
    </row>
    <row r="908" spans="1:15" x14ac:dyDescent="0.25">
      <c r="A908" t="s">
        <v>56</v>
      </c>
      <c r="B908" t="s">
        <v>87</v>
      </c>
      <c r="C908">
        <v>-58</v>
      </c>
      <c r="D908">
        <v>31.998999999999999</v>
      </c>
      <c r="E908">
        <v>0.1</v>
      </c>
      <c r="F908" t="s">
        <v>26</v>
      </c>
      <c r="G908" t="s">
        <v>26</v>
      </c>
      <c r="H908">
        <v>0</v>
      </c>
      <c r="I908">
        <v>0</v>
      </c>
      <c r="K908">
        <v>0.22</v>
      </c>
      <c r="L908">
        <v>0</v>
      </c>
      <c r="M908">
        <v>0.17935751599999999</v>
      </c>
      <c r="N908">
        <v>0</v>
      </c>
      <c r="O908" t="s">
        <v>379</v>
      </c>
    </row>
    <row r="909" spans="1:15" x14ac:dyDescent="0.25">
      <c r="A909" t="s">
        <v>56</v>
      </c>
      <c r="B909" t="s">
        <v>87</v>
      </c>
      <c r="C909">
        <v>-58</v>
      </c>
      <c r="D909">
        <v>31.998999999999999</v>
      </c>
      <c r="E909">
        <v>1</v>
      </c>
      <c r="F909" t="s">
        <v>26</v>
      </c>
      <c r="G909" t="s">
        <v>26</v>
      </c>
      <c r="H909">
        <v>0</v>
      </c>
      <c r="I909">
        <v>0</v>
      </c>
      <c r="K909">
        <v>0.65159735900000004</v>
      </c>
      <c r="L909">
        <v>0</v>
      </c>
      <c r="M909">
        <v>0.60180488399999998</v>
      </c>
      <c r="N909">
        <v>0</v>
      </c>
      <c r="O909" t="s">
        <v>380</v>
      </c>
    </row>
    <row r="910" spans="1:15" x14ac:dyDescent="0.25">
      <c r="A910" t="s">
        <v>56</v>
      </c>
      <c r="B910" t="s">
        <v>87</v>
      </c>
      <c r="C910">
        <v>32</v>
      </c>
      <c r="D910">
        <v>1100</v>
      </c>
      <c r="E910">
        <v>0.1</v>
      </c>
      <c r="F910" t="s">
        <v>26</v>
      </c>
      <c r="G910" t="s">
        <v>26</v>
      </c>
      <c r="H910">
        <v>0</v>
      </c>
      <c r="I910">
        <v>0</v>
      </c>
      <c r="K910">
        <v>0.18</v>
      </c>
      <c r="L910">
        <v>0</v>
      </c>
      <c r="M910">
        <v>0.12667225100000001</v>
      </c>
      <c r="N910">
        <v>0</v>
      </c>
      <c r="O910" t="s">
        <v>381</v>
      </c>
    </row>
    <row r="911" spans="1:15" x14ac:dyDescent="0.25">
      <c r="A911" t="s">
        <v>56</v>
      </c>
      <c r="B911" t="s">
        <v>87</v>
      </c>
      <c r="C911">
        <v>32</v>
      </c>
      <c r="D911">
        <v>1100</v>
      </c>
      <c r="E911">
        <v>1</v>
      </c>
      <c r="F911" t="s">
        <v>26</v>
      </c>
      <c r="G911" t="s">
        <v>26</v>
      </c>
      <c r="H911">
        <v>0</v>
      </c>
      <c r="I911">
        <v>0</v>
      </c>
      <c r="K911">
        <v>0.63801956900000001</v>
      </c>
      <c r="L911">
        <v>0</v>
      </c>
      <c r="M911">
        <v>0.58825662700000003</v>
      </c>
      <c r="N911">
        <v>0</v>
      </c>
      <c r="O911" t="s">
        <v>382</v>
      </c>
    </row>
    <row r="912" spans="1:15" x14ac:dyDescent="0.25">
      <c r="A912" t="s">
        <v>56</v>
      </c>
      <c r="B912" t="s">
        <v>87</v>
      </c>
      <c r="C912">
        <v>1100.001</v>
      </c>
      <c r="D912">
        <v>2200</v>
      </c>
      <c r="E912">
        <v>0.1</v>
      </c>
      <c r="F912" t="s">
        <v>26</v>
      </c>
      <c r="G912" t="s">
        <v>26</v>
      </c>
      <c r="H912">
        <v>0</v>
      </c>
      <c r="I912">
        <v>0</v>
      </c>
      <c r="K912">
        <v>0.17</v>
      </c>
      <c r="L912">
        <v>0</v>
      </c>
      <c r="M912">
        <v>0.105713381</v>
      </c>
      <c r="N912">
        <v>0</v>
      </c>
      <c r="O912" t="s">
        <v>383</v>
      </c>
    </row>
    <row r="913" spans="1:15" x14ac:dyDescent="0.25">
      <c r="A913" t="s">
        <v>56</v>
      </c>
      <c r="B913" t="s">
        <v>87</v>
      </c>
      <c r="C913">
        <v>1100.001</v>
      </c>
      <c r="D913">
        <v>2200</v>
      </c>
      <c r="E913">
        <v>1</v>
      </c>
      <c r="F913" t="s">
        <v>26</v>
      </c>
      <c r="G913" t="s">
        <v>26</v>
      </c>
      <c r="H913">
        <v>0</v>
      </c>
      <c r="I913">
        <v>0</v>
      </c>
      <c r="K913">
        <v>0.62833487399999999</v>
      </c>
      <c r="L913">
        <v>0</v>
      </c>
      <c r="M913">
        <v>0.58489566299999995</v>
      </c>
      <c r="N913">
        <v>0</v>
      </c>
      <c r="O913" t="s">
        <v>384</v>
      </c>
    </row>
    <row r="914" spans="1:15" x14ac:dyDescent="0.25">
      <c r="A914" t="s">
        <v>56</v>
      </c>
      <c r="B914" t="s">
        <v>87</v>
      </c>
      <c r="C914">
        <v>2200.0010000000002</v>
      </c>
      <c r="D914">
        <v>3214</v>
      </c>
      <c r="E914">
        <v>0.1</v>
      </c>
      <c r="F914" t="s">
        <v>26</v>
      </c>
      <c r="G914" t="s">
        <v>26</v>
      </c>
      <c r="H914">
        <v>0</v>
      </c>
      <c r="I914">
        <v>0</v>
      </c>
      <c r="K914">
        <v>0.17</v>
      </c>
      <c r="L914">
        <v>0</v>
      </c>
      <c r="M914">
        <v>0.122419896</v>
      </c>
      <c r="N914">
        <v>0</v>
      </c>
      <c r="O914" t="s">
        <v>385</v>
      </c>
    </row>
    <row r="915" spans="1:15" x14ac:dyDescent="0.25">
      <c r="A915" t="s">
        <v>56</v>
      </c>
      <c r="B915" t="s">
        <v>87</v>
      </c>
      <c r="C915">
        <v>2200.0010000000002</v>
      </c>
      <c r="D915">
        <v>3214</v>
      </c>
      <c r="E915">
        <v>1</v>
      </c>
      <c r="F915" t="s">
        <v>26</v>
      </c>
      <c r="G915" t="s">
        <v>26</v>
      </c>
      <c r="H915">
        <v>0</v>
      </c>
      <c r="I915">
        <v>0</v>
      </c>
      <c r="K915">
        <v>0.63062541100000002</v>
      </c>
      <c r="L915">
        <v>0</v>
      </c>
      <c r="M915">
        <v>0.58877774100000002</v>
      </c>
      <c r="N915">
        <v>0</v>
      </c>
      <c r="O915" t="s">
        <v>386</v>
      </c>
    </row>
    <row r="916" spans="1:15" x14ac:dyDescent="0.25">
      <c r="A916" t="s">
        <v>56</v>
      </c>
      <c r="B916" t="s">
        <v>88</v>
      </c>
      <c r="C916">
        <v>-454</v>
      </c>
      <c r="D916">
        <v>-400.00099999999998</v>
      </c>
      <c r="E916">
        <v>0.1</v>
      </c>
      <c r="F916" t="s">
        <v>26</v>
      </c>
      <c r="G916" t="s">
        <v>26</v>
      </c>
      <c r="H916">
        <v>0</v>
      </c>
      <c r="I916">
        <v>0</v>
      </c>
      <c r="K916">
        <v>0.41398294899999999</v>
      </c>
      <c r="L916">
        <v>0</v>
      </c>
      <c r="M916">
        <v>0.39270743800000002</v>
      </c>
      <c r="N916">
        <v>0</v>
      </c>
      <c r="O916" t="s">
        <v>373</v>
      </c>
    </row>
    <row r="917" spans="1:15" x14ac:dyDescent="0.25">
      <c r="A917" t="s">
        <v>56</v>
      </c>
      <c r="B917" t="s">
        <v>88</v>
      </c>
      <c r="C917">
        <v>-454</v>
      </c>
      <c r="D917">
        <v>-400.00099999999998</v>
      </c>
      <c r="E917">
        <v>1</v>
      </c>
      <c r="F917" t="s">
        <v>26</v>
      </c>
      <c r="G917" t="s">
        <v>26</v>
      </c>
      <c r="H917">
        <v>0</v>
      </c>
      <c r="I917">
        <v>0</v>
      </c>
      <c r="K917">
        <v>0.74355237399999996</v>
      </c>
      <c r="L917">
        <v>0</v>
      </c>
      <c r="M917">
        <v>0.69585855799999996</v>
      </c>
      <c r="N917">
        <v>0</v>
      </c>
      <c r="O917" t="s">
        <v>374</v>
      </c>
    </row>
    <row r="918" spans="1:15" x14ac:dyDescent="0.25">
      <c r="A918" t="s">
        <v>56</v>
      </c>
      <c r="B918" t="s">
        <v>88</v>
      </c>
      <c r="C918">
        <v>-400</v>
      </c>
      <c r="D918">
        <v>199.999</v>
      </c>
      <c r="E918">
        <v>0.1</v>
      </c>
      <c r="F918" t="s">
        <v>26</v>
      </c>
      <c r="G918" t="s">
        <v>26</v>
      </c>
      <c r="H918">
        <v>0</v>
      </c>
      <c r="I918">
        <v>0</v>
      </c>
      <c r="K918">
        <v>0.18</v>
      </c>
      <c r="L918">
        <v>0</v>
      </c>
      <c r="M918">
        <v>0.124119993</v>
      </c>
      <c r="N918">
        <v>0</v>
      </c>
      <c r="O918" t="s">
        <v>375</v>
      </c>
    </row>
    <row r="919" spans="1:15" x14ac:dyDescent="0.25">
      <c r="A919" t="s">
        <v>56</v>
      </c>
      <c r="B919" t="s">
        <v>88</v>
      </c>
      <c r="C919">
        <v>-400</v>
      </c>
      <c r="D919">
        <v>199.999</v>
      </c>
      <c r="E919">
        <v>1</v>
      </c>
      <c r="F919" t="s">
        <v>26</v>
      </c>
      <c r="G919" t="s">
        <v>26</v>
      </c>
      <c r="H919">
        <v>0</v>
      </c>
      <c r="I919">
        <v>0</v>
      </c>
      <c r="K919">
        <v>0.63424617999999999</v>
      </c>
      <c r="L919">
        <v>0</v>
      </c>
      <c r="M919">
        <v>0.58771232100000004</v>
      </c>
      <c r="N919">
        <v>0</v>
      </c>
      <c r="O919" t="s">
        <v>376</v>
      </c>
    </row>
    <row r="920" spans="1:15" x14ac:dyDescent="0.25">
      <c r="A920" t="s">
        <v>56</v>
      </c>
      <c r="B920" t="s">
        <v>88</v>
      </c>
      <c r="C920">
        <v>200</v>
      </c>
      <c r="D920">
        <v>752</v>
      </c>
      <c r="E920">
        <v>0.1</v>
      </c>
      <c r="F920" t="s">
        <v>26</v>
      </c>
      <c r="G920" t="s">
        <v>26</v>
      </c>
      <c r="H920">
        <v>0</v>
      </c>
      <c r="I920">
        <v>0</v>
      </c>
      <c r="K920">
        <v>0.11</v>
      </c>
      <c r="L920">
        <v>0</v>
      </c>
      <c r="M920">
        <v>8.3094007999999997E-2</v>
      </c>
      <c r="N920">
        <v>0</v>
      </c>
      <c r="O920" t="s">
        <v>377</v>
      </c>
    </row>
    <row r="921" spans="1:15" x14ac:dyDescent="0.25">
      <c r="A921" t="s">
        <v>56</v>
      </c>
      <c r="B921" t="s">
        <v>88</v>
      </c>
      <c r="C921">
        <v>200</v>
      </c>
      <c r="D921">
        <v>752</v>
      </c>
      <c r="E921">
        <v>1</v>
      </c>
      <c r="F921" t="s">
        <v>26</v>
      </c>
      <c r="G921" t="s">
        <v>26</v>
      </c>
      <c r="H921">
        <v>0</v>
      </c>
      <c r="I921">
        <v>0</v>
      </c>
      <c r="K921">
        <v>0.59634521399999996</v>
      </c>
      <c r="L921">
        <v>0</v>
      </c>
      <c r="M921">
        <v>0.58043484899999997</v>
      </c>
      <c r="N921">
        <v>0</v>
      </c>
      <c r="O921" t="s">
        <v>378</v>
      </c>
    </row>
    <row r="922" spans="1:15" x14ac:dyDescent="0.25">
      <c r="A922" t="s">
        <v>56</v>
      </c>
      <c r="B922" t="s">
        <v>17</v>
      </c>
      <c r="C922">
        <v>0</v>
      </c>
      <c r="D922">
        <v>40</v>
      </c>
      <c r="E922">
        <v>9.9999999999999995E-7</v>
      </c>
      <c r="F922" t="s">
        <v>9</v>
      </c>
      <c r="G922" t="s">
        <v>9</v>
      </c>
      <c r="H922">
        <v>0</v>
      </c>
      <c r="I922">
        <v>0</v>
      </c>
      <c r="K922">
        <v>0</v>
      </c>
      <c r="L922">
        <v>6E-10</v>
      </c>
      <c r="M922">
        <v>1.1000000000000001E-11</v>
      </c>
      <c r="N922">
        <v>5.7699999999999997E-10</v>
      </c>
      <c r="O922" t="s">
        <v>332</v>
      </c>
    </row>
    <row r="923" spans="1:15" x14ac:dyDescent="0.25">
      <c r="A923" t="s">
        <v>56</v>
      </c>
      <c r="B923" t="s">
        <v>17</v>
      </c>
      <c r="C923">
        <v>0</v>
      </c>
      <c r="D923">
        <v>40</v>
      </c>
      <c r="E923">
        <v>1.0000000000000001E-5</v>
      </c>
      <c r="F923" t="s">
        <v>9</v>
      </c>
      <c r="G923" t="s">
        <v>9</v>
      </c>
      <c r="H923">
        <v>0</v>
      </c>
      <c r="I923">
        <v>0</v>
      </c>
      <c r="K923">
        <v>0</v>
      </c>
      <c r="L923">
        <v>6E-10</v>
      </c>
      <c r="M923">
        <v>3E-11</v>
      </c>
      <c r="N923">
        <v>5.7699999999999997E-10</v>
      </c>
      <c r="O923" t="s">
        <v>333</v>
      </c>
    </row>
    <row r="924" spans="1:15" x14ac:dyDescent="0.25">
      <c r="A924" t="s">
        <v>56</v>
      </c>
      <c r="B924" t="s">
        <v>17</v>
      </c>
      <c r="C924">
        <v>0</v>
      </c>
      <c r="D924">
        <v>40</v>
      </c>
      <c r="E924">
        <v>1E-4</v>
      </c>
      <c r="F924" t="s">
        <v>9</v>
      </c>
      <c r="G924" t="s">
        <v>9</v>
      </c>
      <c r="H924">
        <v>0</v>
      </c>
      <c r="I924">
        <v>0</v>
      </c>
      <c r="K924">
        <v>0</v>
      </c>
      <c r="L924">
        <v>6E-10</v>
      </c>
      <c r="M924">
        <v>2.9509999999999998E-9</v>
      </c>
      <c r="N924">
        <v>5.7699999999999997E-10</v>
      </c>
      <c r="O924" t="s">
        <v>334</v>
      </c>
    </row>
    <row r="925" spans="1:15" x14ac:dyDescent="0.25">
      <c r="A925" t="s">
        <v>56</v>
      </c>
      <c r="B925" t="s">
        <v>17</v>
      </c>
      <c r="C925">
        <v>0</v>
      </c>
      <c r="D925">
        <v>40</v>
      </c>
      <c r="E925">
        <v>1E-3</v>
      </c>
      <c r="F925" t="s">
        <v>9</v>
      </c>
      <c r="G925" t="s">
        <v>9</v>
      </c>
      <c r="H925">
        <v>0</v>
      </c>
      <c r="I925">
        <v>0</v>
      </c>
      <c r="K925">
        <v>2.2343999999999999E-7</v>
      </c>
      <c r="L925">
        <v>5.9400000000000002E-10</v>
      </c>
      <c r="M925">
        <v>2.4522999999999998E-7</v>
      </c>
      <c r="N925">
        <v>5.7099999999999999E-10</v>
      </c>
      <c r="O925" t="s">
        <v>335</v>
      </c>
    </row>
    <row r="926" spans="1:15" x14ac:dyDescent="0.25">
      <c r="A926" t="s">
        <v>56</v>
      </c>
      <c r="B926" t="s">
        <v>17</v>
      </c>
      <c r="C926">
        <v>0</v>
      </c>
      <c r="D926">
        <v>40</v>
      </c>
      <c r="E926">
        <v>0.01</v>
      </c>
      <c r="F926" t="s">
        <v>9</v>
      </c>
      <c r="G926" t="s">
        <v>9</v>
      </c>
      <c r="H926">
        <v>0</v>
      </c>
      <c r="I926">
        <v>0</v>
      </c>
      <c r="K926">
        <v>5.3364999999999996E-6</v>
      </c>
      <c r="L926">
        <v>4.6700000000000004E-10</v>
      </c>
      <c r="M926">
        <v>5.3407999999999998E-6</v>
      </c>
      <c r="N926">
        <v>4.6200000000000001E-10</v>
      </c>
      <c r="O926" t="s">
        <v>336</v>
      </c>
    </row>
    <row r="927" spans="1:15" x14ac:dyDescent="0.25">
      <c r="A927" t="s">
        <v>56</v>
      </c>
      <c r="B927" t="s">
        <v>17</v>
      </c>
      <c r="C927">
        <v>0</v>
      </c>
      <c r="D927">
        <v>40</v>
      </c>
      <c r="E927">
        <v>0.1</v>
      </c>
      <c r="F927" t="s">
        <v>9</v>
      </c>
      <c r="G927" t="s">
        <v>9</v>
      </c>
      <c r="H927">
        <v>0</v>
      </c>
      <c r="I927">
        <v>0</v>
      </c>
      <c r="K927">
        <v>5.7624999999999998E-5</v>
      </c>
      <c r="L927">
        <v>1.1399999999999999E-10</v>
      </c>
      <c r="M927">
        <v>5.7299999999999997E-5</v>
      </c>
      <c r="N927">
        <v>1.1399999999999999E-10</v>
      </c>
      <c r="O927" t="s">
        <v>337</v>
      </c>
    </row>
    <row r="928" spans="1:15" x14ac:dyDescent="0.25">
      <c r="A928" t="s">
        <v>56</v>
      </c>
      <c r="B928" t="s">
        <v>17</v>
      </c>
      <c r="C928">
        <v>0</v>
      </c>
      <c r="D928">
        <v>40</v>
      </c>
      <c r="E928">
        <v>1</v>
      </c>
      <c r="F928" t="s">
        <v>9</v>
      </c>
      <c r="G928" t="s">
        <v>9</v>
      </c>
      <c r="H928">
        <v>0</v>
      </c>
      <c r="I928">
        <v>0</v>
      </c>
      <c r="K928">
        <v>5.7700000000000004E-4</v>
      </c>
      <c r="L928">
        <v>1.2000000000000001E-11</v>
      </c>
      <c r="M928">
        <v>5.7700000000000004E-4</v>
      </c>
      <c r="N928">
        <v>1.2000000000000001E-11</v>
      </c>
      <c r="O928" t="s">
        <v>338</v>
      </c>
    </row>
    <row r="929" spans="1:15" x14ac:dyDescent="0.25">
      <c r="A929" t="s">
        <v>56</v>
      </c>
      <c r="B929" t="s">
        <v>17</v>
      </c>
      <c r="C929">
        <v>0</v>
      </c>
      <c r="D929">
        <v>40</v>
      </c>
      <c r="E929">
        <v>10</v>
      </c>
      <c r="F929" t="s">
        <v>9</v>
      </c>
      <c r="G929" t="s">
        <v>9</v>
      </c>
      <c r="H929">
        <v>0</v>
      </c>
      <c r="I929">
        <v>0</v>
      </c>
      <c r="K929">
        <v>5.7736000000000003E-3</v>
      </c>
      <c r="L929">
        <v>9.9999999999999998E-13</v>
      </c>
      <c r="M929">
        <v>5.7730999999999998E-3</v>
      </c>
      <c r="N929">
        <v>9.9999999999999998E-13</v>
      </c>
      <c r="O929" t="s">
        <v>339</v>
      </c>
    </row>
    <row r="930" spans="1:15" x14ac:dyDescent="0.25">
      <c r="A930" t="s">
        <v>56</v>
      </c>
      <c r="B930" t="s">
        <v>17</v>
      </c>
      <c r="C930">
        <v>0</v>
      </c>
      <c r="D930">
        <v>40</v>
      </c>
      <c r="E930">
        <v>100</v>
      </c>
      <c r="F930" t="s">
        <v>9</v>
      </c>
      <c r="G930" t="s">
        <v>9</v>
      </c>
      <c r="H930">
        <v>0</v>
      </c>
      <c r="I930">
        <v>0</v>
      </c>
      <c r="K930">
        <v>5.7736000000000003E-2</v>
      </c>
      <c r="L930">
        <v>0</v>
      </c>
      <c r="M930">
        <v>5.7735000000000002E-2</v>
      </c>
      <c r="N930">
        <v>0</v>
      </c>
      <c r="O930" t="s">
        <v>1494</v>
      </c>
    </row>
    <row r="931" spans="1:15" x14ac:dyDescent="0.25">
      <c r="A931" t="s">
        <v>56</v>
      </c>
      <c r="B931" t="s">
        <v>17</v>
      </c>
      <c r="C931">
        <v>0</v>
      </c>
      <c r="D931">
        <v>40</v>
      </c>
      <c r="E931">
        <v>1000</v>
      </c>
      <c r="F931" t="s">
        <v>9</v>
      </c>
      <c r="G931" t="s">
        <v>9</v>
      </c>
      <c r="H931">
        <v>0</v>
      </c>
      <c r="I931">
        <v>0</v>
      </c>
      <c r="K931">
        <v>0.57735999999999998</v>
      </c>
      <c r="L931">
        <v>0</v>
      </c>
      <c r="M931">
        <v>0.57735000000000003</v>
      </c>
      <c r="N931">
        <v>0</v>
      </c>
      <c r="O931" t="s">
        <v>340</v>
      </c>
    </row>
    <row r="932" spans="1:15" x14ac:dyDescent="0.25">
      <c r="A932" t="s">
        <v>56</v>
      </c>
      <c r="B932" t="s">
        <v>17</v>
      </c>
      <c r="C932">
        <v>0</v>
      </c>
      <c r="D932">
        <v>40</v>
      </c>
      <c r="E932">
        <v>10000</v>
      </c>
      <c r="F932" t="s">
        <v>9</v>
      </c>
      <c r="G932" t="s">
        <v>9</v>
      </c>
      <c r="H932">
        <v>0</v>
      </c>
      <c r="I932">
        <v>0</v>
      </c>
      <c r="K932">
        <v>5.7736000000000001</v>
      </c>
      <c r="L932">
        <v>0</v>
      </c>
      <c r="M932">
        <v>5.7736000000000001</v>
      </c>
      <c r="N932">
        <v>0</v>
      </c>
      <c r="O932" t="s">
        <v>341</v>
      </c>
    </row>
    <row r="933" spans="1:15" x14ac:dyDescent="0.25">
      <c r="A933" t="s">
        <v>56</v>
      </c>
      <c r="B933" t="s">
        <v>17</v>
      </c>
      <c r="C933">
        <v>40</v>
      </c>
      <c r="D933">
        <v>1000</v>
      </c>
      <c r="E933">
        <v>1E-4</v>
      </c>
      <c r="F933" t="s">
        <v>9</v>
      </c>
      <c r="G933" t="s">
        <v>9</v>
      </c>
      <c r="H933">
        <v>0</v>
      </c>
      <c r="I933">
        <v>0</v>
      </c>
      <c r="K933">
        <v>2.8999999999999998E-7</v>
      </c>
      <c r="L933">
        <v>1.3E-7</v>
      </c>
      <c r="M933">
        <v>2.53E-7</v>
      </c>
      <c r="N933">
        <v>1.2897E-7</v>
      </c>
      <c r="O933" t="s">
        <v>342</v>
      </c>
    </row>
    <row r="934" spans="1:15" x14ac:dyDescent="0.25">
      <c r="A934" t="s">
        <v>56</v>
      </c>
      <c r="B934" t="s">
        <v>17</v>
      </c>
      <c r="C934">
        <v>40</v>
      </c>
      <c r="D934">
        <v>1000</v>
      </c>
      <c r="E934">
        <v>1E-3</v>
      </c>
      <c r="F934" t="s">
        <v>9</v>
      </c>
      <c r="G934" t="s">
        <v>9</v>
      </c>
      <c r="H934">
        <v>0</v>
      </c>
      <c r="I934">
        <v>0</v>
      </c>
      <c r="K934">
        <v>6.5700000000000002E-7</v>
      </c>
      <c r="L934">
        <v>1.2893999999999999E-7</v>
      </c>
      <c r="M934">
        <v>5.9800000000000003E-7</v>
      </c>
      <c r="N934">
        <v>1.2907E-7</v>
      </c>
      <c r="O934" t="s">
        <v>343</v>
      </c>
    </row>
    <row r="935" spans="1:15" x14ac:dyDescent="0.25">
      <c r="A935" t="s">
        <v>56</v>
      </c>
      <c r="B935" t="s">
        <v>17</v>
      </c>
      <c r="C935">
        <v>40</v>
      </c>
      <c r="D935">
        <v>1000</v>
      </c>
      <c r="E935">
        <v>0.01</v>
      </c>
      <c r="F935" t="s">
        <v>9</v>
      </c>
      <c r="G935" t="s">
        <v>9</v>
      </c>
      <c r="H935">
        <v>0</v>
      </c>
      <c r="I935">
        <v>0</v>
      </c>
      <c r="K935">
        <v>2.6089999999999999E-5</v>
      </c>
      <c r="L935">
        <v>1.3885E-7</v>
      </c>
      <c r="M935">
        <v>2.5942E-5</v>
      </c>
      <c r="N935">
        <v>1.3918000000000001E-7</v>
      </c>
      <c r="O935" t="s">
        <v>344</v>
      </c>
    </row>
    <row r="936" spans="1:15" x14ac:dyDescent="0.25">
      <c r="A936" t="s">
        <v>56</v>
      </c>
      <c r="B936" t="s">
        <v>17</v>
      </c>
      <c r="C936">
        <v>40</v>
      </c>
      <c r="D936">
        <v>1000</v>
      </c>
      <c r="E936">
        <v>0.1</v>
      </c>
      <c r="F936" t="s">
        <v>9</v>
      </c>
      <c r="G936" t="s">
        <v>9</v>
      </c>
      <c r="H936">
        <v>0</v>
      </c>
      <c r="I936">
        <v>0</v>
      </c>
      <c r="K936">
        <v>3.9689E-4</v>
      </c>
      <c r="L936">
        <v>5.5570000000000003E-7</v>
      </c>
      <c r="M936">
        <v>3.9680999999999999E-4</v>
      </c>
      <c r="N936">
        <v>5.5588000000000003E-7</v>
      </c>
      <c r="O936" t="s">
        <v>345</v>
      </c>
    </row>
    <row r="937" spans="1:15" x14ac:dyDescent="0.25">
      <c r="A937" t="s">
        <v>56</v>
      </c>
      <c r="B937" t="s">
        <v>17</v>
      </c>
      <c r="C937">
        <v>40</v>
      </c>
      <c r="D937">
        <v>1000</v>
      </c>
      <c r="E937">
        <v>1</v>
      </c>
      <c r="F937" t="s">
        <v>9</v>
      </c>
      <c r="G937" t="s">
        <v>9</v>
      </c>
      <c r="H937">
        <v>0</v>
      </c>
      <c r="I937">
        <v>0</v>
      </c>
      <c r="K937">
        <v>3.9871999999999998E-3</v>
      </c>
      <c r="L937">
        <v>5.4141000000000004E-6</v>
      </c>
      <c r="M937">
        <v>3.9871999999999998E-3</v>
      </c>
      <c r="N937">
        <v>5.4141000000000004E-6</v>
      </c>
      <c r="O937" t="s">
        <v>346</v>
      </c>
    </row>
    <row r="938" spans="1:15" x14ac:dyDescent="0.25">
      <c r="A938" t="s">
        <v>56</v>
      </c>
      <c r="B938" t="s">
        <v>17</v>
      </c>
      <c r="C938">
        <v>40</v>
      </c>
      <c r="D938">
        <v>1000</v>
      </c>
      <c r="E938">
        <v>10</v>
      </c>
      <c r="F938" t="s">
        <v>9</v>
      </c>
      <c r="G938" t="s">
        <v>9</v>
      </c>
      <c r="H938">
        <v>0</v>
      </c>
      <c r="I938">
        <v>0</v>
      </c>
      <c r="K938">
        <v>5.5948999999999999E-2</v>
      </c>
      <c r="L938">
        <v>5.41E-5</v>
      </c>
      <c r="M938">
        <v>5.5948999999999999E-2</v>
      </c>
      <c r="N938">
        <v>5.41E-5</v>
      </c>
      <c r="O938" t="s">
        <v>347</v>
      </c>
    </row>
    <row r="939" spans="1:15" x14ac:dyDescent="0.25">
      <c r="A939" t="s">
        <v>56</v>
      </c>
      <c r="B939" t="s">
        <v>17</v>
      </c>
      <c r="C939">
        <v>1000</v>
      </c>
      <c r="D939">
        <v>10000</v>
      </c>
      <c r="E939">
        <v>1E-3</v>
      </c>
      <c r="F939" t="s">
        <v>9</v>
      </c>
      <c r="G939" t="s">
        <v>9</v>
      </c>
      <c r="H939">
        <v>0</v>
      </c>
      <c r="I939">
        <v>0</v>
      </c>
      <c r="K939">
        <v>4.3999999999999997E-9</v>
      </c>
      <c r="L939">
        <v>1.3E-7</v>
      </c>
      <c r="M939">
        <v>7.4100000000000003E-10</v>
      </c>
      <c r="N939">
        <v>1.2921999999999999E-7</v>
      </c>
      <c r="O939" t="s">
        <v>348</v>
      </c>
    </row>
    <row r="940" spans="1:15" x14ac:dyDescent="0.25">
      <c r="A940" t="s">
        <v>56</v>
      </c>
      <c r="B940" t="s">
        <v>17</v>
      </c>
      <c r="C940">
        <v>1000</v>
      </c>
      <c r="D940">
        <v>10000</v>
      </c>
      <c r="E940">
        <v>0.01</v>
      </c>
      <c r="F940" t="s">
        <v>9</v>
      </c>
      <c r="G940" t="s">
        <v>9</v>
      </c>
      <c r="H940">
        <v>0</v>
      </c>
      <c r="I940">
        <v>0</v>
      </c>
      <c r="K940">
        <v>1.9500000000000001E-7</v>
      </c>
      <c r="L940">
        <v>1.29E-7</v>
      </c>
      <c r="M940">
        <v>1.3799999999999999E-7</v>
      </c>
      <c r="N940">
        <v>1.2921E-7</v>
      </c>
      <c r="O940" t="s">
        <v>349</v>
      </c>
    </row>
    <row r="941" spans="1:15" x14ac:dyDescent="0.25">
      <c r="A941" t="s">
        <v>56</v>
      </c>
      <c r="B941" t="s">
        <v>17</v>
      </c>
      <c r="C941">
        <v>1000</v>
      </c>
      <c r="D941">
        <v>10000</v>
      </c>
      <c r="E941">
        <v>0.1</v>
      </c>
      <c r="F941" t="s">
        <v>9</v>
      </c>
      <c r="G941" t="s">
        <v>9</v>
      </c>
      <c r="H941">
        <v>0</v>
      </c>
      <c r="I941">
        <v>0</v>
      </c>
      <c r="K941">
        <v>1.3574000000000001E-5</v>
      </c>
      <c r="L941">
        <v>1.2799E-7</v>
      </c>
      <c r="M941">
        <v>1.3570999999999999E-5</v>
      </c>
      <c r="N941">
        <v>1.2799E-7</v>
      </c>
      <c r="O941" t="s">
        <v>350</v>
      </c>
    </row>
    <row r="942" spans="1:15" x14ac:dyDescent="0.25">
      <c r="A942" t="s">
        <v>56</v>
      </c>
      <c r="B942" t="s">
        <v>17</v>
      </c>
      <c r="C942">
        <v>1000</v>
      </c>
      <c r="D942">
        <v>10000</v>
      </c>
      <c r="E942">
        <v>1</v>
      </c>
      <c r="F942" t="s">
        <v>9</v>
      </c>
      <c r="G942" t="s">
        <v>9</v>
      </c>
      <c r="H942">
        <v>0</v>
      </c>
      <c r="I942">
        <v>0</v>
      </c>
      <c r="K942">
        <v>6.8566000000000005E-4</v>
      </c>
      <c r="L942">
        <v>9.1516999999999998E-8</v>
      </c>
      <c r="M942">
        <v>6.8565E-4</v>
      </c>
      <c r="N942">
        <v>9.1517999999999999E-8</v>
      </c>
      <c r="O942" t="s">
        <v>351</v>
      </c>
    </row>
    <row r="943" spans="1:15" x14ac:dyDescent="0.25">
      <c r="A943" t="s">
        <v>56</v>
      </c>
      <c r="B943" t="s">
        <v>17</v>
      </c>
      <c r="C943">
        <v>1000</v>
      </c>
      <c r="D943">
        <v>10000</v>
      </c>
      <c r="E943">
        <v>10</v>
      </c>
      <c r="F943" t="s">
        <v>9</v>
      </c>
      <c r="G943" t="s">
        <v>9</v>
      </c>
      <c r="H943">
        <v>0</v>
      </c>
      <c r="I943">
        <v>0</v>
      </c>
      <c r="K943">
        <v>5.7844000000000003E-3</v>
      </c>
      <c r="L943">
        <v>1.571E-8</v>
      </c>
      <c r="M943">
        <v>5.7844000000000003E-3</v>
      </c>
      <c r="N943">
        <v>1.571E-8</v>
      </c>
      <c r="O943" t="s">
        <v>352</v>
      </c>
    </row>
    <row r="944" spans="1:15" x14ac:dyDescent="0.25">
      <c r="A944" t="s">
        <v>56</v>
      </c>
      <c r="B944" t="s">
        <v>17</v>
      </c>
      <c r="C944">
        <v>1000</v>
      </c>
      <c r="D944">
        <v>10000</v>
      </c>
      <c r="E944">
        <v>100</v>
      </c>
      <c r="F944" t="s">
        <v>9</v>
      </c>
      <c r="G944" t="s">
        <v>9</v>
      </c>
      <c r="H944">
        <v>0</v>
      </c>
      <c r="I944">
        <v>0</v>
      </c>
      <c r="K944">
        <v>5.7734000000000001E-2</v>
      </c>
      <c r="L944">
        <v>1.5900000000000001E-9</v>
      </c>
      <c r="M944">
        <v>5.772E-2</v>
      </c>
      <c r="N944">
        <v>1.5900000000000001E-9</v>
      </c>
      <c r="O944" t="s">
        <v>353</v>
      </c>
    </row>
    <row r="945" spans="1:15" x14ac:dyDescent="0.25">
      <c r="A945" t="s">
        <v>56</v>
      </c>
      <c r="B945" t="s">
        <v>17</v>
      </c>
      <c r="C945">
        <v>10000</v>
      </c>
      <c r="D945">
        <v>100000</v>
      </c>
      <c r="E945">
        <v>0.01</v>
      </c>
      <c r="F945" t="s">
        <v>9</v>
      </c>
      <c r="G945" t="s">
        <v>9</v>
      </c>
      <c r="H945">
        <v>0</v>
      </c>
      <c r="I945">
        <v>0</v>
      </c>
      <c r="K945">
        <v>4.3999999999999997E-8</v>
      </c>
      <c r="L945">
        <v>7.0000000000000001E-12</v>
      </c>
      <c r="M945">
        <v>7.4140000000000002E-9</v>
      </c>
      <c r="N945">
        <v>1.29E-7</v>
      </c>
      <c r="O945" t="s">
        <v>354</v>
      </c>
    </row>
    <row r="946" spans="1:15" x14ac:dyDescent="0.25">
      <c r="A946" t="s">
        <v>56</v>
      </c>
      <c r="B946" t="s">
        <v>17</v>
      </c>
      <c r="C946">
        <v>10000</v>
      </c>
      <c r="D946">
        <v>100000</v>
      </c>
      <c r="E946">
        <v>0.1</v>
      </c>
      <c r="F946" t="s">
        <v>9</v>
      </c>
      <c r="G946" t="s">
        <v>9</v>
      </c>
      <c r="H946">
        <v>0</v>
      </c>
      <c r="I946">
        <v>0</v>
      </c>
      <c r="K946">
        <v>1.9518000000000001E-6</v>
      </c>
      <c r="L946">
        <v>1.384E-9</v>
      </c>
      <c r="M946">
        <v>1.3799999999999999E-6</v>
      </c>
      <c r="N946">
        <v>1.2921E-7</v>
      </c>
      <c r="O946" t="s">
        <v>355</v>
      </c>
    </row>
    <row r="947" spans="1:15" x14ac:dyDescent="0.25">
      <c r="A947" t="s">
        <v>56</v>
      </c>
      <c r="B947" t="s">
        <v>17</v>
      </c>
      <c r="C947">
        <v>10000</v>
      </c>
      <c r="D947">
        <v>100000</v>
      </c>
      <c r="E947">
        <v>1</v>
      </c>
      <c r="F947" t="s">
        <v>9</v>
      </c>
      <c r="G947" t="s">
        <v>9</v>
      </c>
      <c r="H947">
        <v>0</v>
      </c>
      <c r="I947">
        <v>0</v>
      </c>
      <c r="K947">
        <v>1.3574E-4</v>
      </c>
      <c r="L947">
        <v>1.3570999999999999E-7</v>
      </c>
      <c r="M947">
        <v>1.3570999999999999E-4</v>
      </c>
      <c r="N947">
        <v>1.2799E-7</v>
      </c>
      <c r="O947" t="s">
        <v>356</v>
      </c>
    </row>
    <row r="948" spans="1:15" x14ac:dyDescent="0.25">
      <c r="A948" t="s">
        <v>56</v>
      </c>
      <c r="B948" t="s">
        <v>17</v>
      </c>
      <c r="C948">
        <v>10000</v>
      </c>
      <c r="D948">
        <v>100000</v>
      </c>
      <c r="E948">
        <v>10</v>
      </c>
      <c r="F948" t="s">
        <v>9</v>
      </c>
      <c r="G948" t="s">
        <v>9</v>
      </c>
      <c r="H948">
        <v>0</v>
      </c>
      <c r="I948">
        <v>0</v>
      </c>
      <c r="K948">
        <v>6.8566E-3</v>
      </c>
      <c r="L948">
        <v>6.8565000000000003E-6</v>
      </c>
      <c r="M948">
        <v>6.8564999999999997E-3</v>
      </c>
      <c r="N948">
        <v>9.1517999999999999E-8</v>
      </c>
      <c r="O948" t="s">
        <v>357</v>
      </c>
    </row>
    <row r="949" spans="1:15" x14ac:dyDescent="0.25">
      <c r="A949" t="s">
        <v>56</v>
      </c>
      <c r="B949" t="s">
        <v>17</v>
      </c>
      <c r="C949">
        <v>10000</v>
      </c>
      <c r="D949">
        <v>100000</v>
      </c>
      <c r="E949">
        <v>100</v>
      </c>
      <c r="F949" t="s">
        <v>9</v>
      </c>
      <c r="G949" t="s">
        <v>9</v>
      </c>
      <c r="H949">
        <v>0</v>
      </c>
      <c r="I949">
        <v>0</v>
      </c>
      <c r="K949">
        <v>5.7844E-2</v>
      </c>
      <c r="L949">
        <v>5.7843999999999997E-5</v>
      </c>
      <c r="M949">
        <v>5.7844E-2</v>
      </c>
      <c r="N949">
        <v>1.571E-8</v>
      </c>
      <c r="O949" t="s">
        <v>358</v>
      </c>
    </row>
    <row r="950" spans="1:15" x14ac:dyDescent="0.25">
      <c r="A950" t="s">
        <v>56</v>
      </c>
      <c r="B950" t="s">
        <v>17</v>
      </c>
      <c r="C950">
        <v>10000</v>
      </c>
      <c r="D950">
        <v>100000</v>
      </c>
      <c r="E950">
        <v>1000</v>
      </c>
      <c r="F950" t="s">
        <v>9</v>
      </c>
      <c r="G950" t="s">
        <v>9</v>
      </c>
      <c r="H950">
        <v>0</v>
      </c>
      <c r="I950">
        <v>0</v>
      </c>
      <c r="K950">
        <v>0.57733999999999996</v>
      </c>
      <c r="L950">
        <v>5.7720000000000004E-4</v>
      </c>
      <c r="M950">
        <v>0.57720000000000005</v>
      </c>
      <c r="N950">
        <v>1.5900000000000001E-9</v>
      </c>
      <c r="O950" t="s">
        <v>359</v>
      </c>
    </row>
    <row r="951" spans="1:15" x14ac:dyDescent="0.25">
      <c r="A951" t="s">
        <v>56</v>
      </c>
      <c r="B951" t="s">
        <v>17</v>
      </c>
      <c r="C951">
        <v>10000</v>
      </c>
      <c r="D951">
        <v>100000</v>
      </c>
      <c r="E951">
        <v>10000</v>
      </c>
      <c r="F951" t="s">
        <v>9</v>
      </c>
      <c r="G951" t="s">
        <v>9</v>
      </c>
      <c r="H951">
        <v>0</v>
      </c>
      <c r="I951">
        <v>0</v>
      </c>
      <c r="K951">
        <v>5.7736000000000001</v>
      </c>
      <c r="L951">
        <v>5.77E-3</v>
      </c>
      <c r="M951">
        <v>5.7733999999999996</v>
      </c>
      <c r="N951">
        <v>1.5899999999999999E-10</v>
      </c>
      <c r="O951" t="s">
        <v>360</v>
      </c>
    </row>
    <row r="952" spans="1:15" x14ac:dyDescent="0.25">
      <c r="A952" t="s">
        <v>56</v>
      </c>
      <c r="B952" t="s">
        <v>17</v>
      </c>
      <c r="C952">
        <v>100000</v>
      </c>
      <c r="D952">
        <v>1000000</v>
      </c>
      <c r="E952">
        <v>0.1</v>
      </c>
      <c r="F952" t="s">
        <v>9</v>
      </c>
      <c r="G952" t="s">
        <v>9</v>
      </c>
      <c r="H952">
        <v>0</v>
      </c>
      <c r="I952">
        <v>0</v>
      </c>
      <c r="K952">
        <v>4.4000000000000002E-7</v>
      </c>
      <c r="L952">
        <v>1.3E-7</v>
      </c>
      <c r="M952">
        <v>7.4099999999999995E-8</v>
      </c>
      <c r="N952">
        <v>1.2921999999999999E-7</v>
      </c>
      <c r="O952" t="s">
        <v>361</v>
      </c>
    </row>
    <row r="953" spans="1:15" x14ac:dyDescent="0.25">
      <c r="A953" t="s">
        <v>56</v>
      </c>
      <c r="B953" t="s">
        <v>17</v>
      </c>
      <c r="C953">
        <v>100000</v>
      </c>
      <c r="D953">
        <v>1000000</v>
      </c>
      <c r="E953">
        <v>1</v>
      </c>
      <c r="F953" t="s">
        <v>9</v>
      </c>
      <c r="G953" t="s">
        <v>9</v>
      </c>
      <c r="H953">
        <v>0</v>
      </c>
      <c r="I953">
        <v>0</v>
      </c>
      <c r="K953">
        <v>1.9517999999999998E-5</v>
      </c>
      <c r="L953">
        <v>1.2919999999999999E-7</v>
      </c>
      <c r="M953">
        <v>1.3837E-5</v>
      </c>
      <c r="N953">
        <v>1.2921E-7</v>
      </c>
      <c r="O953" t="s">
        <v>362</v>
      </c>
    </row>
    <row r="954" spans="1:15" x14ac:dyDescent="0.25">
      <c r="A954" t="s">
        <v>56</v>
      </c>
      <c r="B954" t="s">
        <v>17</v>
      </c>
      <c r="C954">
        <v>100000</v>
      </c>
      <c r="D954">
        <v>1000000</v>
      </c>
      <c r="E954">
        <v>10</v>
      </c>
      <c r="F954" t="s">
        <v>9</v>
      </c>
      <c r="G954" t="s">
        <v>9</v>
      </c>
      <c r="H954">
        <v>0</v>
      </c>
      <c r="I954">
        <v>0</v>
      </c>
      <c r="K954">
        <v>1.3573999999999999E-3</v>
      </c>
      <c r="L954">
        <v>1.2799E-7</v>
      </c>
      <c r="M954">
        <v>1.3571E-3</v>
      </c>
      <c r="N954">
        <v>1.2799E-7</v>
      </c>
      <c r="O954" t="s">
        <v>363</v>
      </c>
    </row>
    <row r="955" spans="1:15" x14ac:dyDescent="0.25">
      <c r="A955" t="s">
        <v>56</v>
      </c>
      <c r="B955" t="s">
        <v>17</v>
      </c>
      <c r="C955">
        <v>100000</v>
      </c>
      <c r="D955">
        <v>1000000</v>
      </c>
      <c r="E955">
        <v>100</v>
      </c>
      <c r="F955" t="s">
        <v>9</v>
      </c>
      <c r="G955" t="s">
        <v>9</v>
      </c>
      <c r="H955">
        <v>0</v>
      </c>
      <c r="I955">
        <v>0</v>
      </c>
      <c r="K955">
        <v>6.8566000000000002E-2</v>
      </c>
      <c r="L955">
        <v>9.1516999999999998E-8</v>
      </c>
      <c r="M955">
        <v>6.8565000000000001E-2</v>
      </c>
      <c r="N955">
        <v>9.1517999999999999E-8</v>
      </c>
      <c r="O955" t="s">
        <v>364</v>
      </c>
    </row>
    <row r="956" spans="1:15" x14ac:dyDescent="0.25">
      <c r="A956" t="s">
        <v>56</v>
      </c>
      <c r="B956" t="s">
        <v>17</v>
      </c>
      <c r="C956">
        <v>100000</v>
      </c>
      <c r="D956">
        <v>1000000</v>
      </c>
      <c r="E956">
        <v>1000</v>
      </c>
      <c r="F956" t="s">
        <v>9</v>
      </c>
      <c r="G956" t="s">
        <v>9</v>
      </c>
      <c r="H956">
        <v>0</v>
      </c>
      <c r="I956">
        <v>0</v>
      </c>
      <c r="K956">
        <v>0.57843999999999995</v>
      </c>
      <c r="L956">
        <v>1.571E-8</v>
      </c>
      <c r="M956">
        <v>0.57843999999999995</v>
      </c>
      <c r="N956">
        <v>1.571E-8</v>
      </c>
      <c r="O956" t="s">
        <v>365</v>
      </c>
    </row>
    <row r="957" spans="1:15" x14ac:dyDescent="0.25">
      <c r="A957" t="s">
        <v>56</v>
      </c>
      <c r="B957" t="s">
        <v>17</v>
      </c>
      <c r="C957">
        <v>100000</v>
      </c>
      <c r="D957">
        <v>1000000</v>
      </c>
      <c r="E957">
        <v>10000</v>
      </c>
      <c r="F957" t="s">
        <v>9</v>
      </c>
      <c r="G957" t="s">
        <v>9</v>
      </c>
      <c r="H957">
        <v>0</v>
      </c>
      <c r="I957">
        <v>0</v>
      </c>
      <c r="K957">
        <v>5.7733999999999996</v>
      </c>
      <c r="L957">
        <v>1.5900000000000001E-9</v>
      </c>
      <c r="M957">
        <v>5.7720000000000002</v>
      </c>
      <c r="N957">
        <v>1.5900000000000001E-9</v>
      </c>
      <c r="O957" t="s">
        <v>366</v>
      </c>
    </row>
    <row r="958" spans="1:15" x14ac:dyDescent="0.25">
      <c r="A958" t="s">
        <v>56</v>
      </c>
      <c r="B958" t="s">
        <v>17</v>
      </c>
      <c r="C958">
        <v>1000000</v>
      </c>
      <c r="D958">
        <v>10000000</v>
      </c>
      <c r="E958">
        <v>1</v>
      </c>
      <c r="F958" t="s">
        <v>9</v>
      </c>
      <c r="G958" t="s">
        <v>9</v>
      </c>
      <c r="H958">
        <v>0</v>
      </c>
      <c r="I958">
        <v>0</v>
      </c>
      <c r="K958">
        <v>4.4000000000000002E-6</v>
      </c>
      <c r="L958">
        <v>1.3E-7</v>
      </c>
      <c r="M958">
        <v>7.4137000000000003E-7</v>
      </c>
      <c r="N958">
        <v>1.2921999999999999E-7</v>
      </c>
      <c r="O958" t="s">
        <v>367</v>
      </c>
    </row>
    <row r="959" spans="1:15" x14ac:dyDescent="0.25">
      <c r="A959" t="s">
        <v>56</v>
      </c>
      <c r="B959" t="s">
        <v>17</v>
      </c>
      <c r="C959">
        <v>1000000</v>
      </c>
      <c r="D959">
        <v>10000000</v>
      </c>
      <c r="E959">
        <v>10</v>
      </c>
      <c r="F959" t="s">
        <v>9</v>
      </c>
      <c r="G959" t="s">
        <v>9</v>
      </c>
      <c r="H959">
        <v>0</v>
      </c>
      <c r="I959">
        <v>0</v>
      </c>
      <c r="K959">
        <v>1.9518000000000001E-4</v>
      </c>
      <c r="L959">
        <v>1.2919999999999999E-7</v>
      </c>
      <c r="M959">
        <v>1.3836999999999999E-4</v>
      </c>
      <c r="N959">
        <v>1.2921E-7</v>
      </c>
      <c r="O959" t="s">
        <v>368</v>
      </c>
    </row>
    <row r="960" spans="1:15" x14ac:dyDescent="0.25">
      <c r="A960" t="s">
        <v>56</v>
      </c>
      <c r="B960" t="s">
        <v>17</v>
      </c>
      <c r="C960">
        <v>1000000</v>
      </c>
      <c r="D960">
        <v>10000000</v>
      </c>
      <c r="E960">
        <v>100</v>
      </c>
      <c r="F960" t="s">
        <v>9</v>
      </c>
      <c r="G960" t="s">
        <v>9</v>
      </c>
      <c r="H960">
        <v>0</v>
      </c>
      <c r="I960">
        <v>0</v>
      </c>
      <c r="K960">
        <v>1.3573999999999999E-2</v>
      </c>
      <c r="L960">
        <v>1.2799E-7</v>
      </c>
      <c r="M960">
        <v>1.3571E-2</v>
      </c>
      <c r="N960">
        <v>1.2799E-7</v>
      </c>
      <c r="O960" t="s">
        <v>369</v>
      </c>
    </row>
    <row r="961" spans="1:15" x14ac:dyDescent="0.25">
      <c r="A961" t="s">
        <v>56</v>
      </c>
      <c r="B961" t="s">
        <v>17</v>
      </c>
      <c r="C961">
        <v>1000000</v>
      </c>
      <c r="D961">
        <v>10000000</v>
      </c>
      <c r="E961">
        <v>1000</v>
      </c>
      <c r="F961" t="s">
        <v>9</v>
      </c>
      <c r="G961" t="s">
        <v>9</v>
      </c>
      <c r="H961">
        <v>0</v>
      </c>
      <c r="I961">
        <v>0</v>
      </c>
      <c r="K961">
        <v>0.68566000000000005</v>
      </c>
      <c r="L961">
        <v>9.1516999999999998E-8</v>
      </c>
      <c r="M961">
        <v>0.68564999999999998</v>
      </c>
      <c r="N961">
        <v>9.1517999999999999E-8</v>
      </c>
      <c r="O961" t="s">
        <v>370</v>
      </c>
    </row>
    <row r="962" spans="1:15" x14ac:dyDescent="0.25">
      <c r="A962" t="s">
        <v>56</v>
      </c>
      <c r="B962" t="s">
        <v>17</v>
      </c>
      <c r="C962">
        <v>1000000</v>
      </c>
      <c r="D962">
        <v>10000000</v>
      </c>
      <c r="E962">
        <v>10000</v>
      </c>
      <c r="F962" t="s">
        <v>9</v>
      </c>
      <c r="G962" t="s">
        <v>9</v>
      </c>
      <c r="H962">
        <v>0</v>
      </c>
      <c r="I962">
        <v>0</v>
      </c>
      <c r="K962">
        <v>5.7843999999999998</v>
      </c>
      <c r="L962">
        <v>1.571E-8</v>
      </c>
      <c r="M962">
        <v>5.7843999999999998</v>
      </c>
      <c r="N962">
        <v>1.571E-8</v>
      </c>
      <c r="O962" t="s">
        <v>371</v>
      </c>
    </row>
    <row r="963" spans="1:15" x14ac:dyDescent="0.25">
      <c r="A963" t="s">
        <v>56</v>
      </c>
      <c r="B963" t="s">
        <v>17</v>
      </c>
      <c r="C963">
        <v>1000000</v>
      </c>
      <c r="D963">
        <v>10000000</v>
      </c>
      <c r="E963">
        <v>100000</v>
      </c>
      <c r="F963" t="s">
        <v>9</v>
      </c>
      <c r="G963" t="s">
        <v>9</v>
      </c>
      <c r="H963">
        <v>0</v>
      </c>
      <c r="I963">
        <v>0</v>
      </c>
      <c r="K963">
        <v>57.734000000000002</v>
      </c>
      <c r="L963">
        <v>1.5900000000000001E-9</v>
      </c>
      <c r="M963">
        <v>57.72</v>
      </c>
      <c r="N963">
        <v>1.5900000000000001E-9</v>
      </c>
      <c r="O963" t="s">
        <v>372</v>
      </c>
    </row>
    <row r="964" spans="1:15" x14ac:dyDescent="0.25">
      <c r="A964" t="s">
        <v>56</v>
      </c>
      <c r="B964" t="s">
        <v>7</v>
      </c>
      <c r="C964">
        <v>0</v>
      </c>
      <c r="D964">
        <v>10</v>
      </c>
      <c r="E964">
        <v>1.0000000000000001E-5</v>
      </c>
      <c r="F964" t="s">
        <v>104</v>
      </c>
      <c r="G964" t="s">
        <v>22</v>
      </c>
      <c r="H964">
        <v>0</v>
      </c>
      <c r="I964">
        <v>0</v>
      </c>
      <c r="K964">
        <v>65</v>
      </c>
      <c r="L964">
        <v>17</v>
      </c>
      <c r="M964">
        <v>61.667999999999999</v>
      </c>
      <c r="N964">
        <v>17.321000000000002</v>
      </c>
      <c r="O964" t="s">
        <v>272</v>
      </c>
    </row>
    <row r="965" spans="1:15" x14ac:dyDescent="0.25">
      <c r="A965" t="s">
        <v>56</v>
      </c>
      <c r="B965" t="s">
        <v>7</v>
      </c>
      <c r="C965">
        <v>0</v>
      </c>
      <c r="D965">
        <v>10</v>
      </c>
      <c r="E965">
        <v>1E-4</v>
      </c>
      <c r="F965" t="s">
        <v>104</v>
      </c>
      <c r="G965" t="s">
        <v>22</v>
      </c>
      <c r="H965">
        <v>0</v>
      </c>
      <c r="I965">
        <v>0</v>
      </c>
      <c r="K965">
        <v>81.733999999999995</v>
      </c>
      <c r="L965">
        <v>16.018000000000001</v>
      </c>
      <c r="M965">
        <v>81.655000000000001</v>
      </c>
      <c r="N965">
        <v>16.015000000000001</v>
      </c>
      <c r="O965" t="s">
        <v>273</v>
      </c>
    </row>
    <row r="966" spans="1:15" x14ac:dyDescent="0.25">
      <c r="A966" t="s">
        <v>56</v>
      </c>
      <c r="B966" t="s">
        <v>7</v>
      </c>
      <c r="C966">
        <v>0</v>
      </c>
      <c r="D966">
        <v>10</v>
      </c>
      <c r="E966">
        <v>1E-3</v>
      </c>
      <c r="F966" t="s">
        <v>104</v>
      </c>
      <c r="G966" t="s">
        <v>22</v>
      </c>
      <c r="H966">
        <v>0</v>
      </c>
      <c r="I966">
        <v>0</v>
      </c>
      <c r="K966">
        <v>578.24</v>
      </c>
      <c r="L966">
        <v>4.5206999999999997</v>
      </c>
      <c r="M966">
        <v>578.20000000000005</v>
      </c>
      <c r="N966">
        <v>4.5079000000000002</v>
      </c>
      <c r="O966" t="s">
        <v>274</v>
      </c>
    </row>
    <row r="967" spans="1:15" x14ac:dyDescent="0.25">
      <c r="A967" t="s">
        <v>56</v>
      </c>
      <c r="B967" t="s">
        <v>7</v>
      </c>
      <c r="C967">
        <v>0</v>
      </c>
      <c r="D967">
        <v>10</v>
      </c>
      <c r="E967">
        <v>0.01</v>
      </c>
      <c r="F967" t="s">
        <v>104</v>
      </c>
      <c r="G967" t="s">
        <v>22</v>
      </c>
      <c r="H967">
        <v>0</v>
      </c>
      <c r="I967">
        <v>0</v>
      </c>
      <c r="K967">
        <v>5773.6</v>
      </c>
      <c r="L967">
        <v>0.47627000000000003</v>
      </c>
      <c r="M967">
        <v>5773.6</v>
      </c>
      <c r="N967">
        <v>0.47059000000000001</v>
      </c>
      <c r="O967" t="s">
        <v>275</v>
      </c>
    </row>
    <row r="968" spans="1:15" x14ac:dyDescent="0.25">
      <c r="A968" t="s">
        <v>56</v>
      </c>
      <c r="B968" t="s">
        <v>7</v>
      </c>
      <c r="C968">
        <v>0</v>
      </c>
      <c r="D968">
        <v>10</v>
      </c>
      <c r="E968">
        <v>0.1</v>
      </c>
      <c r="F968" t="s">
        <v>104</v>
      </c>
      <c r="G968" t="s">
        <v>22</v>
      </c>
      <c r="H968">
        <v>0</v>
      </c>
      <c r="I968">
        <v>0</v>
      </c>
      <c r="K968">
        <v>57736</v>
      </c>
      <c r="L968">
        <v>4.9352E-2</v>
      </c>
      <c r="M968">
        <v>57736</v>
      </c>
      <c r="N968">
        <v>4.7080999999999998E-2</v>
      </c>
      <c r="O968" t="s">
        <v>276</v>
      </c>
    </row>
    <row r="969" spans="1:15" x14ac:dyDescent="0.25">
      <c r="A969" t="s">
        <v>56</v>
      </c>
      <c r="B969" t="s">
        <v>7</v>
      </c>
      <c r="C969">
        <v>0</v>
      </c>
      <c r="D969">
        <v>10</v>
      </c>
      <c r="E969">
        <v>1</v>
      </c>
      <c r="F969" t="s">
        <v>104</v>
      </c>
      <c r="G969" t="s">
        <v>22</v>
      </c>
      <c r="H969">
        <v>0</v>
      </c>
      <c r="I969">
        <v>0</v>
      </c>
      <c r="K969">
        <v>577360</v>
      </c>
      <c r="L969">
        <v>5.6165E-3</v>
      </c>
      <c r="M969">
        <v>577360</v>
      </c>
      <c r="N969">
        <v>4.7080999999999998E-3</v>
      </c>
      <c r="O969" t="s">
        <v>277</v>
      </c>
    </row>
    <row r="970" spans="1:15" x14ac:dyDescent="0.25">
      <c r="A970" t="s">
        <v>56</v>
      </c>
      <c r="B970" t="s">
        <v>7</v>
      </c>
      <c r="C970">
        <v>0</v>
      </c>
      <c r="D970">
        <v>10</v>
      </c>
      <c r="E970">
        <v>10</v>
      </c>
      <c r="F970" t="s">
        <v>104</v>
      </c>
      <c r="G970" t="s">
        <v>22</v>
      </c>
      <c r="H970">
        <v>0</v>
      </c>
      <c r="I970">
        <v>0</v>
      </c>
      <c r="K970">
        <v>5770000</v>
      </c>
      <c r="L970">
        <v>8.3416999999999996E-4</v>
      </c>
      <c r="M970">
        <v>5770000</v>
      </c>
      <c r="N970">
        <v>4.7081E-4</v>
      </c>
      <c r="O970" t="s">
        <v>278</v>
      </c>
    </row>
    <row r="971" spans="1:15" x14ac:dyDescent="0.25">
      <c r="A971" t="s">
        <v>56</v>
      </c>
      <c r="B971" t="s">
        <v>7</v>
      </c>
      <c r="C971">
        <v>0</v>
      </c>
      <c r="D971">
        <v>10</v>
      </c>
      <c r="E971">
        <v>100</v>
      </c>
      <c r="F971" t="s">
        <v>104</v>
      </c>
      <c r="G971" t="s">
        <v>22</v>
      </c>
      <c r="H971">
        <v>0</v>
      </c>
      <c r="I971">
        <v>0</v>
      </c>
      <c r="K971">
        <v>57736000</v>
      </c>
      <c r="L971">
        <v>1.9242E-4</v>
      </c>
      <c r="M971">
        <v>57736000</v>
      </c>
      <c r="N971">
        <v>4.7080000000000003E-5</v>
      </c>
      <c r="O971" t="s">
        <v>279</v>
      </c>
    </row>
    <row r="972" spans="1:15" x14ac:dyDescent="0.25">
      <c r="A972" t="s">
        <v>56</v>
      </c>
      <c r="B972" t="s">
        <v>7</v>
      </c>
      <c r="C972">
        <v>0</v>
      </c>
      <c r="D972">
        <v>10</v>
      </c>
      <c r="E972">
        <v>1000</v>
      </c>
      <c r="F972" t="s">
        <v>104</v>
      </c>
      <c r="G972" t="s">
        <v>22</v>
      </c>
      <c r="H972">
        <v>0</v>
      </c>
      <c r="I972">
        <v>0</v>
      </c>
      <c r="K972">
        <v>577360000</v>
      </c>
      <c r="L972">
        <v>6.2849999999999996E-5</v>
      </c>
      <c r="M972">
        <v>577360000</v>
      </c>
      <c r="N972">
        <v>4.7021000000000003E-6</v>
      </c>
      <c r="O972" t="s">
        <v>280</v>
      </c>
    </row>
    <row r="973" spans="1:15" x14ac:dyDescent="0.25">
      <c r="A973" t="s">
        <v>56</v>
      </c>
      <c r="B973" t="s">
        <v>7</v>
      </c>
      <c r="C973">
        <v>0</v>
      </c>
      <c r="D973">
        <v>10</v>
      </c>
      <c r="E973">
        <v>10000</v>
      </c>
      <c r="F973" t="s">
        <v>104</v>
      </c>
      <c r="G973" t="s">
        <v>22</v>
      </c>
      <c r="H973">
        <v>0</v>
      </c>
      <c r="I973">
        <v>0</v>
      </c>
      <c r="K973">
        <v>5773600000</v>
      </c>
      <c r="L973">
        <v>2.3736000000000001E-5</v>
      </c>
      <c r="M973">
        <v>5773600000</v>
      </c>
      <c r="N973">
        <v>0</v>
      </c>
      <c r="O973" t="s">
        <v>281</v>
      </c>
    </row>
    <row r="974" spans="1:15" x14ac:dyDescent="0.25">
      <c r="A974" t="s">
        <v>56</v>
      </c>
      <c r="B974" t="s">
        <v>7</v>
      </c>
      <c r="C974">
        <v>0</v>
      </c>
      <c r="D974">
        <v>10</v>
      </c>
      <c r="E974">
        <v>100000</v>
      </c>
      <c r="F974" t="s">
        <v>104</v>
      </c>
      <c r="G974" t="s">
        <v>22</v>
      </c>
      <c r="H974">
        <v>0</v>
      </c>
      <c r="I974">
        <v>0</v>
      </c>
      <c r="K974">
        <v>57736000000</v>
      </c>
      <c r="L974">
        <v>8.4771000000000005E-6</v>
      </c>
      <c r="M974">
        <v>57736000000</v>
      </c>
      <c r="N974">
        <v>0</v>
      </c>
      <c r="O974" t="s">
        <v>282</v>
      </c>
    </row>
    <row r="975" spans="1:15" x14ac:dyDescent="0.25">
      <c r="A975" t="s">
        <v>56</v>
      </c>
      <c r="B975" t="s">
        <v>7</v>
      </c>
      <c r="C975">
        <v>0</v>
      </c>
      <c r="D975">
        <v>10</v>
      </c>
      <c r="E975">
        <v>1000000</v>
      </c>
      <c r="F975" t="s">
        <v>104</v>
      </c>
      <c r="G975" t="s">
        <v>22</v>
      </c>
      <c r="H975">
        <v>0</v>
      </c>
      <c r="I975">
        <v>0</v>
      </c>
      <c r="K975">
        <v>577360000000</v>
      </c>
      <c r="L975">
        <v>0</v>
      </c>
      <c r="M975">
        <v>577360000000</v>
      </c>
      <c r="N975">
        <v>0</v>
      </c>
      <c r="O975" t="s">
        <v>283</v>
      </c>
    </row>
    <row r="976" spans="1:15" x14ac:dyDescent="0.25">
      <c r="A976" t="s">
        <v>56</v>
      </c>
      <c r="B976" t="s">
        <v>7</v>
      </c>
      <c r="C976">
        <v>10</v>
      </c>
      <c r="D976">
        <v>100</v>
      </c>
      <c r="E976">
        <v>1.0000000000000001E-5</v>
      </c>
      <c r="F976" t="s">
        <v>104</v>
      </c>
      <c r="G976" t="s">
        <v>22</v>
      </c>
      <c r="H976">
        <v>0</v>
      </c>
      <c r="I976">
        <v>0</v>
      </c>
      <c r="K976">
        <v>580</v>
      </c>
      <c r="L976">
        <v>14</v>
      </c>
      <c r="M976">
        <v>577.27</v>
      </c>
      <c r="N976">
        <v>0</v>
      </c>
      <c r="O976" t="s">
        <v>284</v>
      </c>
    </row>
    <row r="977" spans="1:15" x14ac:dyDescent="0.25">
      <c r="A977" t="s">
        <v>56</v>
      </c>
      <c r="B977" t="s">
        <v>7</v>
      </c>
      <c r="C977">
        <v>10</v>
      </c>
      <c r="D977">
        <v>100</v>
      </c>
      <c r="E977">
        <v>1E-4</v>
      </c>
      <c r="F977" t="s">
        <v>104</v>
      </c>
      <c r="G977" t="s">
        <v>22</v>
      </c>
      <c r="H977">
        <v>0</v>
      </c>
      <c r="I977">
        <v>0</v>
      </c>
      <c r="K977">
        <v>580</v>
      </c>
      <c r="L977">
        <v>13.975</v>
      </c>
      <c r="M977">
        <v>579.78</v>
      </c>
      <c r="N977">
        <v>13.975</v>
      </c>
      <c r="O977" t="s">
        <v>285</v>
      </c>
    </row>
    <row r="978" spans="1:15" x14ac:dyDescent="0.25">
      <c r="A978" t="s">
        <v>56</v>
      </c>
      <c r="B978" t="s">
        <v>7</v>
      </c>
      <c r="C978">
        <v>10</v>
      </c>
      <c r="D978">
        <v>100</v>
      </c>
      <c r="E978">
        <v>1E-3</v>
      </c>
      <c r="F978" t="s">
        <v>104</v>
      </c>
      <c r="G978" t="s">
        <v>22</v>
      </c>
      <c r="H978">
        <v>0</v>
      </c>
      <c r="I978">
        <v>0</v>
      </c>
      <c r="K978">
        <v>794.35</v>
      </c>
      <c r="L978">
        <v>12.648</v>
      </c>
      <c r="M978">
        <v>794.24</v>
      </c>
      <c r="N978">
        <v>12.648</v>
      </c>
      <c r="O978" t="s">
        <v>286</v>
      </c>
    </row>
    <row r="979" spans="1:15" x14ac:dyDescent="0.25">
      <c r="A979" t="s">
        <v>56</v>
      </c>
      <c r="B979" t="s">
        <v>7</v>
      </c>
      <c r="C979">
        <v>10</v>
      </c>
      <c r="D979">
        <v>100</v>
      </c>
      <c r="E979">
        <v>0.01</v>
      </c>
      <c r="F979" t="s">
        <v>104</v>
      </c>
      <c r="G979" t="s">
        <v>22</v>
      </c>
      <c r="H979">
        <v>0</v>
      </c>
      <c r="I979">
        <v>0</v>
      </c>
      <c r="K979">
        <v>5786.4</v>
      </c>
      <c r="L979">
        <v>3.1625999999999999</v>
      </c>
      <c r="M979">
        <v>5786.3</v>
      </c>
      <c r="N979">
        <v>3.1617000000000002</v>
      </c>
      <c r="O979" t="s">
        <v>287</v>
      </c>
    </row>
    <row r="980" spans="1:15" x14ac:dyDescent="0.25">
      <c r="A980" t="s">
        <v>56</v>
      </c>
      <c r="B980" t="s">
        <v>7</v>
      </c>
      <c r="C980">
        <v>10</v>
      </c>
      <c r="D980">
        <v>100</v>
      </c>
      <c r="E980">
        <v>0.1</v>
      </c>
      <c r="F980" t="s">
        <v>104</v>
      </c>
      <c r="G980" t="s">
        <v>22</v>
      </c>
      <c r="H980">
        <v>0</v>
      </c>
      <c r="I980">
        <v>0</v>
      </c>
      <c r="K980">
        <v>57737</v>
      </c>
      <c r="L980">
        <v>0.32668999999999998</v>
      </c>
      <c r="M980">
        <v>57737</v>
      </c>
      <c r="N980">
        <v>0.32628000000000001</v>
      </c>
      <c r="O980" t="s">
        <v>288</v>
      </c>
    </row>
    <row r="981" spans="1:15" x14ac:dyDescent="0.25">
      <c r="A981" t="s">
        <v>56</v>
      </c>
      <c r="B981" t="s">
        <v>7</v>
      </c>
      <c r="C981">
        <v>10</v>
      </c>
      <c r="D981">
        <v>100</v>
      </c>
      <c r="E981">
        <v>1</v>
      </c>
      <c r="F981" t="s">
        <v>104</v>
      </c>
      <c r="G981" t="s">
        <v>22</v>
      </c>
      <c r="H981">
        <v>0</v>
      </c>
      <c r="I981">
        <v>0</v>
      </c>
      <c r="K981">
        <v>577360</v>
      </c>
      <c r="L981">
        <v>3.2801999999999998E-2</v>
      </c>
      <c r="M981">
        <v>577350</v>
      </c>
      <c r="N981">
        <v>3.2639000000000001E-2</v>
      </c>
      <c r="O981" t="s">
        <v>289</v>
      </c>
    </row>
    <row r="982" spans="1:15" x14ac:dyDescent="0.25">
      <c r="A982" t="s">
        <v>56</v>
      </c>
      <c r="B982" t="s">
        <v>7</v>
      </c>
      <c r="C982">
        <v>100</v>
      </c>
      <c r="D982">
        <v>1000</v>
      </c>
      <c r="E982">
        <v>1E-4</v>
      </c>
      <c r="F982" t="s">
        <v>104</v>
      </c>
      <c r="G982" t="s">
        <v>22</v>
      </c>
      <c r="H982">
        <v>0</v>
      </c>
      <c r="I982">
        <v>0</v>
      </c>
      <c r="K982">
        <v>590</v>
      </c>
      <c r="L982">
        <v>12</v>
      </c>
      <c r="M982">
        <v>568.01</v>
      </c>
      <c r="N982">
        <v>11.811999999999999</v>
      </c>
      <c r="O982" t="s">
        <v>290</v>
      </c>
    </row>
    <row r="983" spans="1:15" x14ac:dyDescent="0.25">
      <c r="A983" t="s">
        <v>56</v>
      </c>
      <c r="B983" t="s">
        <v>7</v>
      </c>
      <c r="C983">
        <v>100</v>
      </c>
      <c r="D983">
        <v>1000</v>
      </c>
      <c r="E983">
        <v>1E-3</v>
      </c>
      <c r="F983" t="s">
        <v>104</v>
      </c>
      <c r="G983" t="s">
        <v>22</v>
      </c>
      <c r="H983">
        <v>0</v>
      </c>
      <c r="I983">
        <v>0</v>
      </c>
      <c r="K983">
        <v>647.66</v>
      </c>
      <c r="L983">
        <v>11.942</v>
      </c>
      <c r="M983">
        <v>669.04</v>
      </c>
      <c r="N983">
        <v>11.724</v>
      </c>
      <c r="O983" t="s">
        <v>291</v>
      </c>
    </row>
    <row r="984" spans="1:15" x14ac:dyDescent="0.25">
      <c r="A984" t="s">
        <v>56</v>
      </c>
      <c r="B984" t="s">
        <v>7</v>
      </c>
      <c r="C984">
        <v>100</v>
      </c>
      <c r="D984">
        <v>1000</v>
      </c>
      <c r="E984">
        <v>0.01</v>
      </c>
      <c r="F984" t="s">
        <v>104</v>
      </c>
      <c r="G984" t="s">
        <v>22</v>
      </c>
      <c r="H984">
        <v>0</v>
      </c>
      <c r="I984">
        <v>0</v>
      </c>
      <c r="K984">
        <v>5185.8</v>
      </c>
      <c r="L984">
        <v>8.4755000000000003</v>
      </c>
      <c r="M984">
        <v>5185</v>
      </c>
      <c r="N984">
        <v>8.4748000000000001</v>
      </c>
      <c r="O984" t="s">
        <v>292</v>
      </c>
    </row>
    <row r="985" spans="1:15" x14ac:dyDescent="0.25">
      <c r="A985" t="s">
        <v>56</v>
      </c>
      <c r="B985" t="s">
        <v>7</v>
      </c>
      <c r="C985">
        <v>100</v>
      </c>
      <c r="D985">
        <v>1000</v>
      </c>
      <c r="E985">
        <v>0.1</v>
      </c>
      <c r="F985" t="s">
        <v>104</v>
      </c>
      <c r="G985" t="s">
        <v>22</v>
      </c>
      <c r="H985">
        <v>0</v>
      </c>
      <c r="I985">
        <v>0</v>
      </c>
      <c r="K985">
        <v>57619</v>
      </c>
      <c r="L985">
        <v>1.4298999999999999</v>
      </c>
      <c r="M985">
        <v>57619</v>
      </c>
      <c r="N985">
        <v>1.4287000000000001</v>
      </c>
      <c r="O985" t="s">
        <v>293</v>
      </c>
    </row>
    <row r="986" spans="1:15" x14ac:dyDescent="0.25">
      <c r="A986" t="s">
        <v>56</v>
      </c>
      <c r="B986" t="s">
        <v>7</v>
      </c>
      <c r="C986">
        <v>100</v>
      </c>
      <c r="D986">
        <v>1000</v>
      </c>
      <c r="E986">
        <v>1</v>
      </c>
      <c r="F986" t="s">
        <v>104</v>
      </c>
      <c r="G986" t="s">
        <v>22</v>
      </c>
      <c r="H986">
        <v>0</v>
      </c>
      <c r="I986">
        <v>0</v>
      </c>
      <c r="K986">
        <v>577340</v>
      </c>
      <c r="L986">
        <v>0.14501</v>
      </c>
      <c r="M986">
        <v>577340</v>
      </c>
      <c r="N986">
        <v>0.14451</v>
      </c>
      <c r="O986" t="s">
        <v>294</v>
      </c>
    </row>
    <row r="987" spans="1:15" x14ac:dyDescent="0.25">
      <c r="A987" t="s">
        <v>56</v>
      </c>
      <c r="B987" t="s">
        <v>7</v>
      </c>
      <c r="C987">
        <v>100</v>
      </c>
      <c r="D987">
        <v>1000</v>
      </c>
      <c r="E987">
        <v>10</v>
      </c>
      <c r="F987" t="s">
        <v>104</v>
      </c>
      <c r="G987" t="s">
        <v>22</v>
      </c>
      <c r="H987">
        <v>0</v>
      </c>
      <c r="I987">
        <v>0</v>
      </c>
      <c r="K987">
        <v>5773600</v>
      </c>
      <c r="L987">
        <v>1.4652999999999999E-2</v>
      </c>
      <c r="M987">
        <v>5773500</v>
      </c>
      <c r="N987">
        <v>1.4453000000000001E-2</v>
      </c>
      <c r="O987" t="s">
        <v>295</v>
      </c>
    </row>
    <row r="988" spans="1:15" x14ac:dyDescent="0.25">
      <c r="A988" t="s">
        <v>56</v>
      </c>
      <c r="B988" t="s">
        <v>7</v>
      </c>
      <c r="C988">
        <v>1000</v>
      </c>
      <c r="D988">
        <v>10000</v>
      </c>
      <c r="E988">
        <v>1E-3</v>
      </c>
      <c r="F988" t="s">
        <v>104</v>
      </c>
      <c r="G988" t="s">
        <v>48</v>
      </c>
      <c r="H988">
        <v>0</v>
      </c>
      <c r="I988">
        <v>0</v>
      </c>
      <c r="K988">
        <v>5.9</v>
      </c>
      <c r="L988">
        <v>1.2E-2</v>
      </c>
      <c r="M988">
        <v>5.8777999999999997</v>
      </c>
      <c r="N988">
        <v>1.1642E-2</v>
      </c>
      <c r="O988" t="s">
        <v>296</v>
      </c>
    </row>
    <row r="989" spans="1:15" x14ac:dyDescent="0.25">
      <c r="A989" t="s">
        <v>56</v>
      </c>
      <c r="B989" t="s">
        <v>7</v>
      </c>
      <c r="C989">
        <v>1000</v>
      </c>
      <c r="D989">
        <v>10000</v>
      </c>
      <c r="E989">
        <v>0.01</v>
      </c>
      <c r="F989" t="s">
        <v>104</v>
      </c>
      <c r="G989" t="s">
        <v>48</v>
      </c>
      <c r="H989">
        <v>0</v>
      </c>
      <c r="I989">
        <v>0</v>
      </c>
      <c r="K989">
        <v>6.5110999999999999</v>
      </c>
      <c r="L989">
        <v>1.1939E-2</v>
      </c>
      <c r="M989">
        <v>6.8826999999999998</v>
      </c>
      <c r="N989">
        <v>1.1554999999999999E-2</v>
      </c>
      <c r="O989" t="s">
        <v>297</v>
      </c>
    </row>
    <row r="990" spans="1:15" x14ac:dyDescent="0.25">
      <c r="A990" t="s">
        <v>56</v>
      </c>
      <c r="B990" t="s">
        <v>7</v>
      </c>
      <c r="C990">
        <v>1000</v>
      </c>
      <c r="D990">
        <v>10000</v>
      </c>
      <c r="E990">
        <v>0.1</v>
      </c>
      <c r="F990" t="s">
        <v>104</v>
      </c>
      <c r="G990" t="s">
        <v>48</v>
      </c>
      <c r="H990">
        <v>0</v>
      </c>
      <c r="I990">
        <v>0</v>
      </c>
      <c r="K990">
        <v>52.024000000000001</v>
      </c>
      <c r="L990">
        <v>8.3239000000000004E-3</v>
      </c>
      <c r="M990">
        <v>52.009</v>
      </c>
      <c r="N990">
        <v>8.3230999999999999E-3</v>
      </c>
      <c r="O990" t="s">
        <v>298</v>
      </c>
    </row>
    <row r="991" spans="1:15" x14ac:dyDescent="0.25">
      <c r="A991" t="s">
        <v>56</v>
      </c>
      <c r="B991" t="s">
        <v>7</v>
      </c>
      <c r="C991">
        <v>1000</v>
      </c>
      <c r="D991">
        <v>10000</v>
      </c>
      <c r="E991">
        <v>1</v>
      </c>
      <c r="F991" t="s">
        <v>104</v>
      </c>
      <c r="G991" t="s">
        <v>48</v>
      </c>
      <c r="H991">
        <v>0</v>
      </c>
      <c r="I991">
        <v>0</v>
      </c>
      <c r="K991">
        <v>576.23</v>
      </c>
      <c r="L991">
        <v>1.3955E-3</v>
      </c>
      <c r="M991">
        <v>576.23</v>
      </c>
      <c r="N991">
        <v>1.3939E-3</v>
      </c>
      <c r="O991" t="s">
        <v>299</v>
      </c>
    </row>
    <row r="992" spans="1:15" x14ac:dyDescent="0.25">
      <c r="A992" t="s">
        <v>56</v>
      </c>
      <c r="B992" t="s">
        <v>7</v>
      </c>
      <c r="C992">
        <v>1000</v>
      </c>
      <c r="D992">
        <v>10000</v>
      </c>
      <c r="E992">
        <v>10</v>
      </c>
      <c r="F992" t="s">
        <v>104</v>
      </c>
      <c r="G992" t="s">
        <v>48</v>
      </c>
      <c r="H992">
        <v>0</v>
      </c>
      <c r="I992">
        <v>0</v>
      </c>
      <c r="K992">
        <v>5773.4</v>
      </c>
      <c r="L992">
        <v>1.416E-4</v>
      </c>
      <c r="M992">
        <v>5773.4</v>
      </c>
      <c r="N992">
        <v>1.4095000000000001E-4</v>
      </c>
      <c r="O992" t="s">
        <v>300</v>
      </c>
    </row>
    <row r="993" spans="1:15" x14ac:dyDescent="0.25">
      <c r="A993" t="s">
        <v>56</v>
      </c>
      <c r="B993" t="s">
        <v>7</v>
      </c>
      <c r="C993">
        <v>1000</v>
      </c>
      <c r="D993">
        <v>10000</v>
      </c>
      <c r="E993">
        <v>100</v>
      </c>
      <c r="F993" t="s">
        <v>104</v>
      </c>
      <c r="G993" t="s">
        <v>48</v>
      </c>
      <c r="H993">
        <v>0</v>
      </c>
      <c r="I993">
        <v>0</v>
      </c>
      <c r="K993">
        <v>57736</v>
      </c>
      <c r="L993">
        <v>1.4357E-5</v>
      </c>
      <c r="M993">
        <v>57735</v>
      </c>
      <c r="N993">
        <v>1.4097000000000001E-5</v>
      </c>
      <c r="O993" t="s">
        <v>301</v>
      </c>
    </row>
    <row r="994" spans="1:15" x14ac:dyDescent="0.25">
      <c r="A994" t="s">
        <v>56</v>
      </c>
      <c r="B994" t="s">
        <v>7</v>
      </c>
      <c r="C994">
        <v>10000</v>
      </c>
      <c r="D994">
        <v>100000</v>
      </c>
      <c r="E994">
        <v>0.01</v>
      </c>
      <c r="F994" t="s">
        <v>104</v>
      </c>
      <c r="G994" t="s">
        <v>48</v>
      </c>
      <c r="H994">
        <v>0</v>
      </c>
      <c r="I994">
        <v>0</v>
      </c>
      <c r="K994">
        <v>58</v>
      </c>
      <c r="L994">
        <v>1.2E-2</v>
      </c>
      <c r="M994">
        <v>53.872999999999998</v>
      </c>
      <c r="N994">
        <v>1.2026999999999999E-2</v>
      </c>
      <c r="O994" t="s">
        <v>302</v>
      </c>
    </row>
    <row r="995" spans="1:15" x14ac:dyDescent="0.25">
      <c r="A995" t="s">
        <v>56</v>
      </c>
      <c r="B995" t="s">
        <v>7</v>
      </c>
      <c r="C995">
        <v>10000</v>
      </c>
      <c r="D995">
        <v>100000</v>
      </c>
      <c r="E995">
        <v>0.1</v>
      </c>
      <c r="F995" t="s">
        <v>104</v>
      </c>
      <c r="G995" t="s">
        <v>48</v>
      </c>
      <c r="H995">
        <v>0</v>
      </c>
      <c r="I995">
        <v>0</v>
      </c>
      <c r="K995">
        <v>64.108000000000004</v>
      </c>
      <c r="L995">
        <v>1.1939E-2</v>
      </c>
      <c r="M995">
        <v>63.985999999999997</v>
      </c>
      <c r="N995">
        <v>1.1939E-2</v>
      </c>
      <c r="O995" t="s">
        <v>303</v>
      </c>
    </row>
    <row r="996" spans="1:15" x14ac:dyDescent="0.25">
      <c r="A996" t="s">
        <v>56</v>
      </c>
      <c r="B996" t="s">
        <v>7</v>
      </c>
      <c r="C996">
        <v>10000</v>
      </c>
      <c r="D996">
        <v>100000</v>
      </c>
      <c r="E996">
        <v>1</v>
      </c>
      <c r="F996" t="s">
        <v>104</v>
      </c>
      <c r="G996" t="s">
        <v>48</v>
      </c>
      <c r="H996">
        <v>0</v>
      </c>
      <c r="I996">
        <v>0</v>
      </c>
      <c r="K996">
        <v>516.51</v>
      </c>
      <c r="L996">
        <v>8.6656000000000007E-3</v>
      </c>
      <c r="M996">
        <v>516.37</v>
      </c>
      <c r="N996">
        <v>8.6648999999999997E-3</v>
      </c>
      <c r="O996" t="s">
        <v>304</v>
      </c>
    </row>
    <row r="997" spans="1:15" x14ac:dyDescent="0.25">
      <c r="A997" t="s">
        <v>56</v>
      </c>
      <c r="B997" t="s">
        <v>7</v>
      </c>
      <c r="C997">
        <v>10000</v>
      </c>
      <c r="D997">
        <v>100000</v>
      </c>
      <c r="E997">
        <v>10</v>
      </c>
      <c r="F997" t="s">
        <v>104</v>
      </c>
      <c r="G997" t="s">
        <v>48</v>
      </c>
      <c r="H997">
        <v>0</v>
      </c>
      <c r="I997">
        <v>0</v>
      </c>
      <c r="K997">
        <v>5761.5</v>
      </c>
      <c r="L997">
        <v>1.4741999999999999E-3</v>
      </c>
      <c r="M997">
        <v>5761.5</v>
      </c>
      <c r="N997">
        <v>1.4725999999999999E-3</v>
      </c>
      <c r="O997" t="s">
        <v>305</v>
      </c>
    </row>
    <row r="998" spans="1:15" x14ac:dyDescent="0.25">
      <c r="A998" t="s">
        <v>56</v>
      </c>
      <c r="B998" t="s">
        <v>7</v>
      </c>
      <c r="C998">
        <v>10000</v>
      </c>
      <c r="D998">
        <v>100000</v>
      </c>
      <c r="E998">
        <v>100</v>
      </c>
      <c r="F998" t="s">
        <v>104</v>
      </c>
      <c r="G998" t="s">
        <v>48</v>
      </c>
      <c r="H998">
        <v>0</v>
      </c>
      <c r="I998">
        <v>0</v>
      </c>
      <c r="K998">
        <v>57734</v>
      </c>
      <c r="L998">
        <v>1.4965000000000001E-4</v>
      </c>
      <c r="M998">
        <v>57734</v>
      </c>
      <c r="N998">
        <v>1.4899999999999999E-4</v>
      </c>
      <c r="O998" t="s">
        <v>306</v>
      </c>
    </row>
    <row r="999" spans="1:15" x14ac:dyDescent="0.25">
      <c r="A999" t="s">
        <v>56</v>
      </c>
      <c r="B999" t="s">
        <v>7</v>
      </c>
      <c r="C999">
        <v>10000</v>
      </c>
      <c r="D999">
        <v>100000</v>
      </c>
      <c r="E999">
        <v>1000</v>
      </c>
      <c r="F999" t="s">
        <v>104</v>
      </c>
      <c r="G999" t="s">
        <v>48</v>
      </c>
      <c r="H999">
        <v>0</v>
      </c>
      <c r="I999">
        <v>0</v>
      </c>
      <c r="K999">
        <v>577360</v>
      </c>
      <c r="L999">
        <v>1.5162E-5</v>
      </c>
      <c r="M999">
        <v>577350</v>
      </c>
      <c r="N999">
        <v>1.4902000000000001E-5</v>
      </c>
      <c r="O999" t="s">
        <v>307</v>
      </c>
    </row>
    <row r="1000" spans="1:15" x14ac:dyDescent="0.25">
      <c r="A1000" t="s">
        <v>56</v>
      </c>
      <c r="B1000" t="s">
        <v>7</v>
      </c>
      <c r="C1000">
        <v>100000</v>
      </c>
      <c r="D1000">
        <v>1000000</v>
      </c>
      <c r="E1000">
        <v>0.1</v>
      </c>
      <c r="F1000" t="s">
        <v>104</v>
      </c>
      <c r="G1000" t="s">
        <v>49</v>
      </c>
      <c r="H1000">
        <v>0</v>
      </c>
      <c r="I1000">
        <v>0</v>
      </c>
      <c r="K1000">
        <v>2.2999999999999998</v>
      </c>
      <c r="L1000">
        <v>1.8E-5</v>
      </c>
      <c r="M1000">
        <v>2.2686999999999999</v>
      </c>
      <c r="N1000">
        <v>1.7870999999999999E-5</v>
      </c>
      <c r="O1000" t="s">
        <v>308</v>
      </c>
    </row>
    <row r="1001" spans="1:15" x14ac:dyDescent="0.25">
      <c r="A1001" t="s">
        <v>56</v>
      </c>
      <c r="B1001" t="s">
        <v>7</v>
      </c>
      <c r="C1001">
        <v>100000</v>
      </c>
      <c r="D1001">
        <v>1000000</v>
      </c>
      <c r="E1001">
        <v>1</v>
      </c>
      <c r="F1001" t="s">
        <v>104</v>
      </c>
      <c r="G1001" t="s">
        <v>49</v>
      </c>
      <c r="H1001">
        <v>0</v>
      </c>
      <c r="I1001">
        <v>0</v>
      </c>
      <c r="K1001">
        <v>2.2999999999999998</v>
      </c>
      <c r="L1001">
        <v>1.8E-5</v>
      </c>
      <c r="M1001">
        <v>2.3129</v>
      </c>
      <c r="N1001">
        <v>1.7835000000000001E-5</v>
      </c>
      <c r="O1001" t="s">
        <v>309</v>
      </c>
    </row>
    <row r="1002" spans="1:15" x14ac:dyDescent="0.25">
      <c r="A1002" t="s">
        <v>56</v>
      </c>
      <c r="B1002" t="s">
        <v>7</v>
      </c>
      <c r="C1002">
        <v>100000</v>
      </c>
      <c r="D1002">
        <v>1000000</v>
      </c>
      <c r="E1002">
        <v>10</v>
      </c>
      <c r="F1002" t="s">
        <v>104</v>
      </c>
      <c r="G1002" t="s">
        <v>49</v>
      </c>
      <c r="H1002">
        <v>0</v>
      </c>
      <c r="I1002">
        <v>0</v>
      </c>
      <c r="K1002">
        <v>5.5163000000000002</v>
      </c>
      <c r="L1002">
        <v>1.5438E-5</v>
      </c>
      <c r="M1002">
        <v>5.5115999999999996</v>
      </c>
      <c r="N1002">
        <v>1.5438999999999999E-5</v>
      </c>
      <c r="O1002" t="s">
        <v>310</v>
      </c>
    </row>
    <row r="1003" spans="1:15" x14ac:dyDescent="0.25">
      <c r="A1003" t="s">
        <v>56</v>
      </c>
      <c r="B1003" t="s">
        <v>7</v>
      </c>
      <c r="C1003">
        <v>100000</v>
      </c>
      <c r="D1003">
        <v>1000000</v>
      </c>
      <c r="E1003">
        <v>100</v>
      </c>
      <c r="F1003" t="s">
        <v>104</v>
      </c>
      <c r="G1003" t="s">
        <v>49</v>
      </c>
      <c r="H1003">
        <v>0</v>
      </c>
      <c r="I1003">
        <v>0</v>
      </c>
      <c r="K1003">
        <v>57.515999999999998</v>
      </c>
      <c r="L1003">
        <v>3.6360999999999998E-6</v>
      </c>
      <c r="M1003">
        <v>57.515000000000001</v>
      </c>
      <c r="N1003">
        <v>3.6327E-6</v>
      </c>
      <c r="O1003" t="s">
        <v>311</v>
      </c>
    </row>
    <row r="1004" spans="1:15" x14ac:dyDescent="0.25">
      <c r="A1004" t="s">
        <v>56</v>
      </c>
      <c r="B1004" t="s">
        <v>7</v>
      </c>
      <c r="C1004">
        <v>100000</v>
      </c>
      <c r="D1004">
        <v>1000000</v>
      </c>
      <c r="E1004">
        <v>1000</v>
      </c>
      <c r="F1004" t="s">
        <v>104</v>
      </c>
      <c r="G1004" t="s">
        <v>49</v>
      </c>
      <c r="H1004">
        <v>0</v>
      </c>
      <c r="I1004">
        <v>0</v>
      </c>
      <c r="K1004">
        <v>577.33000000000004</v>
      </c>
      <c r="L1004">
        <v>3.7584000000000001E-7</v>
      </c>
      <c r="M1004">
        <v>577.33000000000004</v>
      </c>
      <c r="N1004">
        <v>3.7432999999999999E-7</v>
      </c>
      <c r="O1004" t="s">
        <v>312</v>
      </c>
    </row>
    <row r="1005" spans="1:15" x14ac:dyDescent="0.25">
      <c r="A1005" t="s">
        <v>56</v>
      </c>
      <c r="B1005" t="s">
        <v>7</v>
      </c>
      <c r="C1005">
        <v>100000</v>
      </c>
      <c r="D1005">
        <v>1000000</v>
      </c>
      <c r="E1005">
        <v>10000</v>
      </c>
      <c r="F1005" t="s">
        <v>104</v>
      </c>
      <c r="G1005" t="s">
        <v>49</v>
      </c>
      <c r="H1005">
        <v>0</v>
      </c>
      <c r="I1005">
        <v>0</v>
      </c>
      <c r="K1005">
        <v>5773.6</v>
      </c>
      <c r="L1005">
        <v>3.8047999999999998E-8</v>
      </c>
      <c r="M1005">
        <v>5773.5</v>
      </c>
      <c r="N1005">
        <v>3.7445000000000002E-8</v>
      </c>
      <c r="O1005" t="s">
        <v>313</v>
      </c>
    </row>
    <row r="1006" spans="1:15" x14ac:dyDescent="0.25">
      <c r="A1006" t="s">
        <v>56</v>
      </c>
      <c r="B1006" t="s">
        <v>7</v>
      </c>
      <c r="C1006">
        <v>1000000</v>
      </c>
      <c r="D1006">
        <v>10000000</v>
      </c>
      <c r="E1006">
        <v>1</v>
      </c>
      <c r="F1006" t="s">
        <v>104</v>
      </c>
      <c r="G1006" t="s">
        <v>49</v>
      </c>
      <c r="H1006">
        <v>0</v>
      </c>
      <c r="I1006">
        <v>0</v>
      </c>
      <c r="K1006">
        <v>120</v>
      </c>
      <c r="L1006">
        <v>5.8999999999999998E-5</v>
      </c>
      <c r="M1006">
        <v>115.5</v>
      </c>
      <c r="N1006">
        <v>5.7738999999999997E-5</v>
      </c>
      <c r="O1006" t="s">
        <v>314</v>
      </c>
    </row>
    <row r="1007" spans="1:15" x14ac:dyDescent="0.25">
      <c r="A1007" t="s">
        <v>56</v>
      </c>
      <c r="B1007" t="s">
        <v>7</v>
      </c>
      <c r="C1007">
        <v>1000000</v>
      </c>
      <c r="D1007">
        <v>10000000</v>
      </c>
      <c r="E1007">
        <v>10</v>
      </c>
      <c r="F1007" t="s">
        <v>104</v>
      </c>
      <c r="G1007" t="s">
        <v>49</v>
      </c>
      <c r="H1007">
        <v>0</v>
      </c>
      <c r="I1007">
        <v>0</v>
      </c>
      <c r="K1007">
        <v>120</v>
      </c>
      <c r="L1007">
        <v>5.8999999999999998E-5</v>
      </c>
      <c r="M1007">
        <v>115.61</v>
      </c>
      <c r="N1007">
        <v>5.7731E-5</v>
      </c>
      <c r="O1007" t="s">
        <v>315</v>
      </c>
    </row>
    <row r="1008" spans="1:15" x14ac:dyDescent="0.25">
      <c r="A1008" t="s">
        <v>56</v>
      </c>
      <c r="B1008" t="s">
        <v>7</v>
      </c>
      <c r="C1008">
        <v>1000000</v>
      </c>
      <c r="D1008">
        <v>10000000</v>
      </c>
      <c r="E1008">
        <v>100</v>
      </c>
      <c r="F1008" t="s">
        <v>104</v>
      </c>
      <c r="G1008" t="s">
        <v>49</v>
      </c>
      <c r="H1008">
        <v>0</v>
      </c>
      <c r="I1008">
        <v>0</v>
      </c>
      <c r="K1008">
        <v>124.34</v>
      </c>
      <c r="L1008">
        <v>5.8566999999999997E-5</v>
      </c>
      <c r="M1008">
        <v>125.65</v>
      </c>
      <c r="N1008">
        <v>5.6965000000000001E-5</v>
      </c>
      <c r="O1008" t="s">
        <v>316</v>
      </c>
    </row>
    <row r="1009" spans="1:15" x14ac:dyDescent="0.25">
      <c r="A1009" t="s">
        <v>56</v>
      </c>
      <c r="B1009" t="s">
        <v>7</v>
      </c>
      <c r="C1009">
        <v>1000000</v>
      </c>
      <c r="D1009">
        <v>10000000</v>
      </c>
      <c r="E1009">
        <v>1000</v>
      </c>
      <c r="F1009" t="s">
        <v>104</v>
      </c>
      <c r="G1009" t="s">
        <v>49</v>
      </c>
      <c r="H1009">
        <v>0</v>
      </c>
      <c r="I1009">
        <v>0</v>
      </c>
      <c r="K1009">
        <v>569.84</v>
      </c>
      <c r="L1009">
        <v>3.3312999999999998E-5</v>
      </c>
      <c r="M1009">
        <v>569.54999999999995</v>
      </c>
      <c r="N1009">
        <v>3.3235999999999998E-5</v>
      </c>
      <c r="O1009" t="s">
        <v>317</v>
      </c>
    </row>
    <row r="1010" spans="1:15" x14ac:dyDescent="0.25">
      <c r="A1010" t="s">
        <v>56</v>
      </c>
      <c r="B1010" t="s">
        <v>7</v>
      </c>
      <c r="C1010">
        <v>1000000</v>
      </c>
      <c r="D1010">
        <v>10000000</v>
      </c>
      <c r="E1010">
        <v>10000</v>
      </c>
      <c r="F1010" t="s">
        <v>104</v>
      </c>
      <c r="G1010" t="s">
        <v>49</v>
      </c>
      <c r="H1010">
        <v>0</v>
      </c>
      <c r="I1010">
        <v>0</v>
      </c>
      <c r="K1010">
        <v>5771.9</v>
      </c>
      <c r="L1010">
        <v>4.3707999999999997E-6</v>
      </c>
      <c r="M1010">
        <v>5771.8</v>
      </c>
      <c r="N1010">
        <v>4.3144999999999999E-6</v>
      </c>
      <c r="O1010" t="s">
        <v>318</v>
      </c>
    </row>
    <row r="1011" spans="1:15" x14ac:dyDescent="0.25">
      <c r="A1011" t="s">
        <v>56</v>
      </c>
      <c r="B1011" t="s">
        <v>7</v>
      </c>
      <c r="C1011">
        <v>1000000</v>
      </c>
      <c r="D1011">
        <v>10000000</v>
      </c>
      <c r="E1011">
        <v>100000</v>
      </c>
      <c r="F1011" t="s">
        <v>104</v>
      </c>
      <c r="G1011" t="s">
        <v>49</v>
      </c>
      <c r="H1011">
        <v>0</v>
      </c>
      <c r="I1011">
        <v>0</v>
      </c>
      <c r="K1011">
        <v>57735</v>
      </c>
      <c r="L1011">
        <v>4.5578999999999998E-7</v>
      </c>
      <c r="M1011">
        <v>57731</v>
      </c>
      <c r="N1011">
        <v>4.3308000000000001E-7</v>
      </c>
      <c r="O1011" t="s">
        <v>319</v>
      </c>
    </row>
    <row r="1012" spans="1:15" x14ac:dyDescent="0.25">
      <c r="A1012" t="s">
        <v>56</v>
      </c>
      <c r="B1012" t="s">
        <v>7</v>
      </c>
      <c r="C1012">
        <v>10000000</v>
      </c>
      <c r="D1012">
        <v>100000000</v>
      </c>
      <c r="E1012">
        <v>10</v>
      </c>
      <c r="F1012" t="s">
        <v>104</v>
      </c>
      <c r="G1012" t="s">
        <v>194</v>
      </c>
      <c r="H1012">
        <v>0</v>
      </c>
      <c r="I1012">
        <v>0</v>
      </c>
      <c r="K1012">
        <v>1.2</v>
      </c>
      <c r="L1012">
        <v>5.7999999999999995E-7</v>
      </c>
      <c r="M1012">
        <v>1.1508</v>
      </c>
      <c r="N1012">
        <v>5.7800000000000001E-7</v>
      </c>
      <c r="O1012" t="s">
        <v>320</v>
      </c>
    </row>
    <row r="1013" spans="1:15" x14ac:dyDescent="0.25">
      <c r="A1013" t="s">
        <v>56</v>
      </c>
      <c r="B1013" t="s">
        <v>7</v>
      </c>
      <c r="C1013">
        <v>10000000</v>
      </c>
      <c r="D1013">
        <v>100000000</v>
      </c>
      <c r="E1013">
        <v>100</v>
      </c>
      <c r="F1013" t="s">
        <v>104</v>
      </c>
      <c r="G1013" t="s">
        <v>194</v>
      </c>
      <c r="H1013">
        <v>0</v>
      </c>
      <c r="I1013">
        <v>0</v>
      </c>
      <c r="K1013">
        <v>1.2</v>
      </c>
      <c r="L1013">
        <v>5.7999999999999995E-7</v>
      </c>
      <c r="M1013">
        <v>1.1511</v>
      </c>
      <c r="N1013">
        <v>5.778E-7</v>
      </c>
      <c r="O1013" t="s">
        <v>321</v>
      </c>
    </row>
    <row r="1014" spans="1:15" x14ac:dyDescent="0.25">
      <c r="A1014" t="s">
        <v>56</v>
      </c>
      <c r="B1014" t="s">
        <v>7</v>
      </c>
      <c r="C1014">
        <v>10000000</v>
      </c>
      <c r="D1014">
        <v>100000000</v>
      </c>
      <c r="E1014">
        <v>1000</v>
      </c>
      <c r="F1014" t="s">
        <v>104</v>
      </c>
      <c r="G1014" t="s">
        <v>194</v>
      </c>
      <c r="H1014">
        <v>0</v>
      </c>
      <c r="I1014">
        <v>0</v>
      </c>
      <c r="K1014">
        <v>1.2</v>
      </c>
      <c r="L1014">
        <v>5.7999999999999995E-7</v>
      </c>
      <c r="M1014">
        <v>1.1777</v>
      </c>
      <c r="N1014">
        <v>5.7756000000000004E-7</v>
      </c>
      <c r="O1014" t="s">
        <v>322</v>
      </c>
    </row>
    <row r="1015" spans="1:15" x14ac:dyDescent="0.25">
      <c r="A1015" t="s">
        <v>56</v>
      </c>
      <c r="B1015" t="s">
        <v>7</v>
      </c>
      <c r="C1015">
        <v>10000000</v>
      </c>
      <c r="D1015">
        <v>100000000</v>
      </c>
      <c r="E1015">
        <v>10000</v>
      </c>
      <c r="F1015" t="s">
        <v>104</v>
      </c>
      <c r="G1015" t="s">
        <v>194</v>
      </c>
      <c r="H1015">
        <v>0</v>
      </c>
      <c r="I1015">
        <v>0</v>
      </c>
      <c r="K1015">
        <v>3.4529000000000001</v>
      </c>
      <c r="L1015">
        <v>5.5767999999999995E-7</v>
      </c>
      <c r="M1015">
        <v>3.4420000000000002</v>
      </c>
      <c r="N1015">
        <v>5.5771000000000004E-7</v>
      </c>
      <c r="O1015" t="s">
        <v>323</v>
      </c>
    </row>
    <row r="1016" spans="1:15" x14ac:dyDescent="0.25">
      <c r="A1016" t="s">
        <v>56</v>
      </c>
      <c r="B1016" t="s">
        <v>7</v>
      </c>
      <c r="C1016">
        <v>10000000</v>
      </c>
      <c r="D1016">
        <v>100000000</v>
      </c>
      <c r="E1016">
        <v>100000</v>
      </c>
      <c r="F1016" t="s">
        <v>104</v>
      </c>
      <c r="G1016" t="s">
        <v>194</v>
      </c>
      <c r="H1016">
        <v>0</v>
      </c>
      <c r="I1016">
        <v>0</v>
      </c>
      <c r="K1016">
        <v>55.448999999999998</v>
      </c>
      <c r="L1016">
        <v>2.7074E-7</v>
      </c>
      <c r="M1016">
        <v>55.444000000000003</v>
      </c>
      <c r="N1016">
        <v>2.7056000000000001E-7</v>
      </c>
      <c r="O1016" t="s">
        <v>324</v>
      </c>
    </row>
    <row r="1017" spans="1:15" x14ac:dyDescent="0.25">
      <c r="A1017" t="s">
        <v>56</v>
      </c>
      <c r="B1017" t="s">
        <v>7</v>
      </c>
      <c r="C1017">
        <v>10000000</v>
      </c>
      <c r="D1017">
        <v>100000000</v>
      </c>
      <c r="E1017">
        <v>10000000</v>
      </c>
      <c r="F1017" t="s">
        <v>104</v>
      </c>
      <c r="G1017" t="s">
        <v>194</v>
      </c>
      <c r="H1017">
        <v>0</v>
      </c>
      <c r="I1017">
        <v>0</v>
      </c>
      <c r="K1017">
        <v>5773.5</v>
      </c>
      <c r="L1017">
        <v>3.3069999999999999E-9</v>
      </c>
      <c r="M1017">
        <v>5770.9</v>
      </c>
      <c r="N1017">
        <v>3.2960000000000002E-9</v>
      </c>
      <c r="O1017" t="s">
        <v>325</v>
      </c>
    </row>
    <row r="1018" spans="1:15" x14ac:dyDescent="0.25">
      <c r="A1018" t="s">
        <v>56</v>
      </c>
      <c r="B1018" t="s">
        <v>7</v>
      </c>
      <c r="C1018">
        <v>100000000</v>
      </c>
      <c r="D1018">
        <v>1000000000</v>
      </c>
      <c r="E1018">
        <v>100</v>
      </c>
      <c r="F1018" t="s">
        <v>104</v>
      </c>
      <c r="G1018" t="s">
        <v>194</v>
      </c>
      <c r="H1018">
        <v>0</v>
      </c>
      <c r="I1018">
        <v>0</v>
      </c>
      <c r="K1018">
        <v>12</v>
      </c>
      <c r="L1018">
        <v>5.8000000000000004E-6</v>
      </c>
      <c r="M1018">
        <v>11.592000000000001</v>
      </c>
      <c r="N1018">
        <v>5.7734999999999999E-6</v>
      </c>
      <c r="O1018" t="s">
        <v>326</v>
      </c>
    </row>
    <row r="1019" spans="1:15" x14ac:dyDescent="0.25">
      <c r="A1019" t="s">
        <v>56</v>
      </c>
      <c r="B1019" t="s">
        <v>7</v>
      </c>
      <c r="C1019">
        <v>100000000</v>
      </c>
      <c r="D1019">
        <v>1000000000</v>
      </c>
      <c r="E1019">
        <v>1000</v>
      </c>
      <c r="F1019" t="s">
        <v>104</v>
      </c>
      <c r="G1019" t="s">
        <v>194</v>
      </c>
      <c r="H1019">
        <v>0</v>
      </c>
      <c r="I1019">
        <v>0</v>
      </c>
      <c r="K1019">
        <v>12</v>
      </c>
      <c r="L1019">
        <v>5.8000000000000004E-6</v>
      </c>
      <c r="M1019">
        <v>11.592000000000001</v>
      </c>
      <c r="N1019">
        <v>5.7734999999999999E-6</v>
      </c>
      <c r="O1019" t="s">
        <v>327</v>
      </c>
    </row>
    <row r="1020" spans="1:15" x14ac:dyDescent="0.25">
      <c r="A1020" t="s">
        <v>56</v>
      </c>
      <c r="B1020" t="s">
        <v>7</v>
      </c>
      <c r="C1020">
        <v>100000000</v>
      </c>
      <c r="D1020">
        <v>1000000000</v>
      </c>
      <c r="E1020">
        <v>10000</v>
      </c>
      <c r="F1020" t="s">
        <v>104</v>
      </c>
      <c r="G1020" t="s">
        <v>194</v>
      </c>
      <c r="H1020">
        <v>0</v>
      </c>
      <c r="I1020">
        <v>0</v>
      </c>
      <c r="K1020">
        <v>12</v>
      </c>
      <c r="L1020">
        <v>5.8000000000000004E-6</v>
      </c>
      <c r="M1020">
        <v>11.595000000000001</v>
      </c>
      <c r="N1020">
        <v>5.7706999999999997E-6</v>
      </c>
      <c r="O1020" t="s">
        <v>328</v>
      </c>
    </row>
    <row r="1021" spans="1:15" x14ac:dyDescent="0.25">
      <c r="A1021" t="s">
        <v>56</v>
      </c>
      <c r="B1021" t="s">
        <v>7</v>
      </c>
      <c r="C1021">
        <v>100000000</v>
      </c>
      <c r="D1021">
        <v>1000000000</v>
      </c>
      <c r="E1021">
        <v>100000</v>
      </c>
      <c r="F1021" t="s">
        <v>104</v>
      </c>
      <c r="G1021" t="s">
        <v>194</v>
      </c>
      <c r="H1021">
        <v>0</v>
      </c>
      <c r="I1021">
        <v>0</v>
      </c>
      <c r="K1021">
        <v>12</v>
      </c>
      <c r="L1021">
        <v>5.8000000000000004E-6</v>
      </c>
      <c r="M1021">
        <v>14.68</v>
      </c>
      <c r="N1021">
        <v>5.7706999999999997E-6</v>
      </c>
      <c r="O1021" t="s">
        <v>329</v>
      </c>
    </row>
    <row r="1022" spans="1:15" x14ac:dyDescent="0.25">
      <c r="A1022" t="s">
        <v>56</v>
      </c>
      <c r="B1022" t="s">
        <v>7</v>
      </c>
      <c r="C1022">
        <v>100000000</v>
      </c>
      <c r="D1022">
        <v>1000000000</v>
      </c>
      <c r="E1022">
        <v>10000000</v>
      </c>
      <c r="F1022" t="s">
        <v>104</v>
      </c>
      <c r="G1022" t="s">
        <v>194</v>
      </c>
      <c r="H1022">
        <v>0</v>
      </c>
      <c r="I1022">
        <v>0</v>
      </c>
      <c r="K1022">
        <v>5540.2</v>
      </c>
      <c r="L1022">
        <v>2.6330999999999998E-6</v>
      </c>
      <c r="M1022">
        <v>5540.2</v>
      </c>
      <c r="N1022">
        <v>2.633E-6</v>
      </c>
      <c r="O1022" t="s">
        <v>330</v>
      </c>
    </row>
    <row r="1023" spans="1:15" x14ac:dyDescent="0.25">
      <c r="A1023" t="s">
        <v>56</v>
      </c>
      <c r="B1023" t="s">
        <v>7</v>
      </c>
      <c r="C1023">
        <v>100000000</v>
      </c>
      <c r="D1023">
        <v>1000000000</v>
      </c>
      <c r="E1023">
        <v>100000000</v>
      </c>
      <c r="F1023" t="s">
        <v>104</v>
      </c>
      <c r="G1023" t="s">
        <v>194</v>
      </c>
      <c r="H1023">
        <v>0</v>
      </c>
      <c r="I1023">
        <v>0</v>
      </c>
      <c r="K1023">
        <v>57707</v>
      </c>
      <c r="L1023">
        <v>3.1791000000000002E-7</v>
      </c>
      <c r="M1023">
        <v>57475</v>
      </c>
      <c r="N1023">
        <v>3.1790000000000001E-7</v>
      </c>
      <c r="O1023" t="s">
        <v>331</v>
      </c>
    </row>
    <row r="1024" spans="1:15" x14ac:dyDescent="0.25">
      <c r="A1024" t="s">
        <v>55</v>
      </c>
      <c r="B1024" t="s">
        <v>47</v>
      </c>
      <c r="C1024">
        <v>0</v>
      </c>
      <c r="D1024">
        <v>3.3000999999999999E-4</v>
      </c>
      <c r="E1024">
        <v>1E-8</v>
      </c>
      <c r="F1024" t="s">
        <v>13</v>
      </c>
      <c r="G1024" t="s">
        <v>11</v>
      </c>
      <c r="H1024">
        <v>4.4999999999999998E-2</v>
      </c>
      <c r="I1024">
        <v>1.0000100000000001</v>
      </c>
      <c r="J1024" t="s">
        <v>10</v>
      </c>
      <c r="K1024">
        <v>0.14000000000000001</v>
      </c>
      <c r="L1024">
        <v>1400</v>
      </c>
      <c r="M1024">
        <v>0.11584999999999999</v>
      </c>
      <c r="N1024">
        <v>1442.9</v>
      </c>
      <c r="O1024" t="s">
        <v>2769</v>
      </c>
    </row>
    <row r="1025" spans="1:15" x14ac:dyDescent="0.25">
      <c r="A1025" t="s">
        <v>55</v>
      </c>
      <c r="B1025" t="s">
        <v>47</v>
      </c>
      <c r="C1025">
        <v>0</v>
      </c>
      <c r="D1025">
        <v>3.3000999999999999E-4</v>
      </c>
      <c r="E1025">
        <v>1E-8</v>
      </c>
      <c r="F1025" t="s">
        <v>13</v>
      </c>
      <c r="G1025" t="s">
        <v>11</v>
      </c>
      <c r="H1025">
        <v>1</v>
      </c>
      <c r="I1025">
        <v>5.01</v>
      </c>
      <c r="J1025" t="s">
        <v>10</v>
      </c>
      <c r="K1025">
        <v>0.18</v>
      </c>
      <c r="L1025">
        <v>3500</v>
      </c>
      <c r="M1025">
        <v>0.17344000000000001</v>
      </c>
      <c r="N1025">
        <v>3463.7</v>
      </c>
      <c r="O1025" t="s">
        <v>2296</v>
      </c>
    </row>
    <row r="1026" spans="1:15" x14ac:dyDescent="0.25">
      <c r="A1026" t="s">
        <v>55</v>
      </c>
      <c r="B1026" t="s">
        <v>47</v>
      </c>
      <c r="C1026">
        <v>0</v>
      </c>
      <c r="D1026">
        <v>3.3000999999999999E-4</v>
      </c>
      <c r="E1026">
        <v>1E-8</v>
      </c>
      <c r="F1026" t="s">
        <v>13</v>
      </c>
      <c r="G1026" t="s">
        <v>11</v>
      </c>
      <c r="H1026">
        <v>0.01</v>
      </c>
      <c r="I1026">
        <v>2.001E-2</v>
      </c>
      <c r="J1026" t="s">
        <v>10</v>
      </c>
      <c r="K1026">
        <v>0.13</v>
      </c>
      <c r="L1026">
        <v>2300</v>
      </c>
      <c r="M1026">
        <v>0.11565</v>
      </c>
      <c r="N1026">
        <v>2314.1999999999998</v>
      </c>
      <c r="O1026" t="s">
        <v>2300</v>
      </c>
    </row>
    <row r="1027" spans="1:15" x14ac:dyDescent="0.25">
      <c r="A1027" t="s">
        <v>55</v>
      </c>
      <c r="B1027" t="s">
        <v>47</v>
      </c>
      <c r="C1027">
        <v>0</v>
      </c>
      <c r="D1027">
        <v>3.3000999999999999E-4</v>
      </c>
      <c r="E1027">
        <v>1E-8</v>
      </c>
      <c r="F1027" t="s">
        <v>13</v>
      </c>
      <c r="G1027" t="s">
        <v>11</v>
      </c>
      <c r="H1027">
        <v>10</v>
      </c>
      <c r="I1027">
        <v>30</v>
      </c>
      <c r="J1027" t="s">
        <v>10</v>
      </c>
      <c r="K1027">
        <v>0.62</v>
      </c>
      <c r="L1027">
        <v>18000</v>
      </c>
      <c r="M1027">
        <v>0.46198</v>
      </c>
      <c r="N1027">
        <v>18475</v>
      </c>
      <c r="O1027" t="s">
        <v>2770</v>
      </c>
    </row>
    <row r="1028" spans="1:15" x14ac:dyDescent="0.25">
      <c r="A1028" t="s">
        <v>55</v>
      </c>
      <c r="B1028" t="s">
        <v>47</v>
      </c>
      <c r="C1028">
        <v>0</v>
      </c>
      <c r="D1028">
        <v>3.3000999999999999E-4</v>
      </c>
      <c r="E1028">
        <v>1E-8</v>
      </c>
      <c r="F1028" t="s">
        <v>13</v>
      </c>
      <c r="G1028" t="s">
        <v>11</v>
      </c>
      <c r="H1028">
        <v>0.02</v>
      </c>
      <c r="I1028">
        <v>4.5010000000000001E-2</v>
      </c>
      <c r="J1028" t="s">
        <v>10</v>
      </c>
      <c r="K1028">
        <v>0.13</v>
      </c>
      <c r="L1028">
        <v>1700</v>
      </c>
      <c r="M1028">
        <v>0.11582000000000001</v>
      </c>
      <c r="N1028">
        <v>1731.6</v>
      </c>
      <c r="O1028" t="s">
        <v>2297</v>
      </c>
    </row>
    <row r="1029" spans="1:15" x14ac:dyDescent="0.25">
      <c r="A1029" t="s">
        <v>55</v>
      </c>
      <c r="B1029" t="s">
        <v>47</v>
      </c>
      <c r="C1029">
        <v>0</v>
      </c>
      <c r="D1029">
        <v>3.3000999999999999E-4</v>
      </c>
      <c r="E1029">
        <v>1E-8</v>
      </c>
      <c r="F1029" t="s">
        <v>13</v>
      </c>
      <c r="G1029" t="s">
        <v>11</v>
      </c>
      <c r="H1029">
        <v>5</v>
      </c>
      <c r="I1029">
        <v>10.01</v>
      </c>
      <c r="J1029" t="s">
        <v>10</v>
      </c>
      <c r="K1029">
        <v>0.25</v>
      </c>
      <c r="L1029">
        <v>9200</v>
      </c>
      <c r="M1029">
        <v>0.23105999999999999</v>
      </c>
      <c r="N1029">
        <v>9237.4</v>
      </c>
      <c r="O1029" t="s">
        <v>2298</v>
      </c>
    </row>
    <row r="1030" spans="1:15" x14ac:dyDescent="0.25">
      <c r="A1030" t="s">
        <v>55</v>
      </c>
      <c r="B1030" t="s">
        <v>47</v>
      </c>
      <c r="C1030">
        <v>0</v>
      </c>
      <c r="D1030">
        <v>3.3000999999999999E-4</v>
      </c>
      <c r="E1030">
        <v>1E-8</v>
      </c>
      <c r="F1030" t="s">
        <v>13</v>
      </c>
      <c r="G1030" t="s">
        <v>11</v>
      </c>
      <c r="H1030">
        <v>30</v>
      </c>
      <c r="I1030">
        <v>30.1</v>
      </c>
      <c r="J1030" t="s">
        <v>10</v>
      </c>
      <c r="K1030">
        <v>0.62</v>
      </c>
      <c r="L1030">
        <v>18000</v>
      </c>
      <c r="M1030">
        <v>0.46198</v>
      </c>
      <c r="N1030">
        <v>18475</v>
      </c>
      <c r="O1030" t="s">
        <v>2299</v>
      </c>
    </row>
    <row r="1031" spans="1:15" x14ac:dyDescent="0.25">
      <c r="A1031" t="s">
        <v>55</v>
      </c>
      <c r="B1031" t="s">
        <v>47</v>
      </c>
      <c r="C1031">
        <v>0</v>
      </c>
      <c r="D1031">
        <v>3.3000999999999999E-4</v>
      </c>
      <c r="E1031">
        <v>9.9999999999999995E-8</v>
      </c>
      <c r="F1031" t="s">
        <v>13</v>
      </c>
      <c r="G1031" t="s">
        <v>11</v>
      </c>
      <c r="H1031">
        <v>4.4999999999999998E-2</v>
      </c>
      <c r="I1031">
        <v>1.0000100000000001</v>
      </c>
      <c r="J1031" t="s">
        <v>10</v>
      </c>
      <c r="K1031">
        <v>0.14000000000000001</v>
      </c>
      <c r="L1031">
        <v>1400</v>
      </c>
      <c r="M1031">
        <v>0.12669</v>
      </c>
      <c r="N1031">
        <v>1418.5</v>
      </c>
      <c r="O1031" t="s">
        <v>2306</v>
      </c>
    </row>
    <row r="1032" spans="1:15" x14ac:dyDescent="0.25">
      <c r="A1032" t="s">
        <v>55</v>
      </c>
      <c r="B1032" t="s">
        <v>47</v>
      </c>
      <c r="C1032">
        <v>0</v>
      </c>
      <c r="D1032">
        <v>3.3000999999999999E-4</v>
      </c>
      <c r="E1032">
        <v>9.9999999999999995E-8</v>
      </c>
      <c r="F1032" t="s">
        <v>13</v>
      </c>
      <c r="G1032" t="s">
        <v>11</v>
      </c>
      <c r="H1032">
        <v>5</v>
      </c>
      <c r="I1032">
        <v>10.01</v>
      </c>
      <c r="J1032" t="s">
        <v>10</v>
      </c>
      <c r="K1032">
        <v>0.25</v>
      </c>
      <c r="L1032">
        <v>9200</v>
      </c>
      <c r="M1032">
        <v>0.23463000000000001</v>
      </c>
      <c r="N1032">
        <v>9228.1</v>
      </c>
      <c r="O1032" t="s">
        <v>2305</v>
      </c>
    </row>
    <row r="1033" spans="1:15" x14ac:dyDescent="0.25">
      <c r="A1033" t="s">
        <v>55</v>
      </c>
      <c r="B1033" t="s">
        <v>47</v>
      </c>
      <c r="C1033">
        <v>0</v>
      </c>
      <c r="D1033">
        <v>3.3000999999999999E-4</v>
      </c>
      <c r="E1033">
        <v>9.9999999999999995E-8</v>
      </c>
      <c r="F1033" t="s">
        <v>13</v>
      </c>
      <c r="G1033" t="s">
        <v>11</v>
      </c>
      <c r="H1033">
        <v>1</v>
      </c>
      <c r="I1033">
        <v>5.01</v>
      </c>
      <c r="J1033" t="s">
        <v>10</v>
      </c>
      <c r="K1033">
        <v>0.18</v>
      </c>
      <c r="L1033">
        <v>3500</v>
      </c>
      <c r="M1033">
        <v>0.17984</v>
      </c>
      <c r="N1033">
        <v>3448.1</v>
      </c>
      <c r="O1033" t="s">
        <v>2302</v>
      </c>
    </row>
    <row r="1034" spans="1:15" x14ac:dyDescent="0.25">
      <c r="A1034" t="s">
        <v>55</v>
      </c>
      <c r="B1034" t="s">
        <v>47</v>
      </c>
      <c r="C1034">
        <v>0</v>
      </c>
      <c r="D1034">
        <v>3.3000999999999999E-4</v>
      </c>
      <c r="E1034">
        <v>9.9999999999999995E-8</v>
      </c>
      <c r="F1034" t="s">
        <v>13</v>
      </c>
      <c r="G1034" t="s">
        <v>11</v>
      </c>
      <c r="H1034">
        <v>0.02</v>
      </c>
      <c r="I1034">
        <v>4.5010000000000001E-2</v>
      </c>
      <c r="J1034" t="s">
        <v>10</v>
      </c>
      <c r="K1034">
        <v>0.13</v>
      </c>
      <c r="L1034">
        <v>1700</v>
      </c>
      <c r="M1034">
        <v>0.12620000000000001</v>
      </c>
      <c r="N1034">
        <v>1707.4</v>
      </c>
      <c r="O1034" t="s">
        <v>2301</v>
      </c>
    </row>
    <row r="1035" spans="1:15" x14ac:dyDescent="0.25">
      <c r="A1035" t="s">
        <v>55</v>
      </c>
      <c r="B1035" t="s">
        <v>47</v>
      </c>
      <c r="C1035">
        <v>0</v>
      </c>
      <c r="D1035">
        <v>3.3000999999999999E-4</v>
      </c>
      <c r="E1035">
        <v>9.9999999999999995E-8</v>
      </c>
      <c r="F1035" t="s">
        <v>13</v>
      </c>
      <c r="G1035" t="s">
        <v>11</v>
      </c>
      <c r="H1035">
        <v>30</v>
      </c>
      <c r="I1035">
        <v>30.1</v>
      </c>
      <c r="J1035" t="s">
        <v>10</v>
      </c>
      <c r="K1035">
        <v>0.62</v>
      </c>
      <c r="L1035">
        <v>18000</v>
      </c>
      <c r="M1035">
        <v>0.46389000000000002</v>
      </c>
      <c r="N1035">
        <v>18470</v>
      </c>
      <c r="O1035" t="s">
        <v>2771</v>
      </c>
    </row>
    <row r="1036" spans="1:15" x14ac:dyDescent="0.25">
      <c r="A1036" t="s">
        <v>55</v>
      </c>
      <c r="B1036" t="s">
        <v>47</v>
      </c>
      <c r="C1036">
        <v>0</v>
      </c>
      <c r="D1036">
        <v>3.3000999999999999E-4</v>
      </c>
      <c r="E1036">
        <v>9.9999999999999995E-8</v>
      </c>
      <c r="F1036" t="s">
        <v>13</v>
      </c>
      <c r="G1036" t="s">
        <v>11</v>
      </c>
      <c r="H1036">
        <v>0.01</v>
      </c>
      <c r="I1036">
        <v>2.001E-2</v>
      </c>
      <c r="J1036" t="s">
        <v>10</v>
      </c>
      <c r="K1036">
        <v>0.13</v>
      </c>
      <c r="L1036">
        <v>2300</v>
      </c>
      <c r="M1036">
        <v>0.12522</v>
      </c>
      <c r="N1036">
        <v>2290.9</v>
      </c>
      <c r="O1036" t="s">
        <v>2303</v>
      </c>
    </row>
    <row r="1037" spans="1:15" x14ac:dyDescent="0.25">
      <c r="A1037" t="s">
        <v>55</v>
      </c>
      <c r="B1037" t="s">
        <v>47</v>
      </c>
      <c r="C1037">
        <v>0</v>
      </c>
      <c r="D1037">
        <v>3.3000999999999999E-4</v>
      </c>
      <c r="E1037">
        <v>9.9999999999999995E-8</v>
      </c>
      <c r="F1037" t="s">
        <v>13</v>
      </c>
      <c r="G1037" t="s">
        <v>11</v>
      </c>
      <c r="H1037">
        <v>10</v>
      </c>
      <c r="I1037">
        <v>30</v>
      </c>
      <c r="J1037" t="s">
        <v>10</v>
      </c>
      <c r="K1037">
        <v>0.62</v>
      </c>
      <c r="L1037">
        <v>18000</v>
      </c>
      <c r="M1037">
        <v>0.46389000000000002</v>
      </c>
      <c r="N1037">
        <v>18470</v>
      </c>
      <c r="O1037" t="s">
        <v>2304</v>
      </c>
    </row>
    <row r="1038" spans="1:15" x14ac:dyDescent="0.25">
      <c r="A1038" t="s">
        <v>55</v>
      </c>
      <c r="B1038" t="s">
        <v>47</v>
      </c>
      <c r="C1038">
        <v>0</v>
      </c>
      <c r="D1038">
        <v>3.3000999999999999E-4</v>
      </c>
      <c r="E1038">
        <v>9.9999999999999995E-7</v>
      </c>
      <c r="F1038" t="s">
        <v>13</v>
      </c>
      <c r="G1038" t="s">
        <v>11</v>
      </c>
      <c r="H1038">
        <v>4.4999999999999998E-2</v>
      </c>
      <c r="I1038">
        <v>1.0000100000000001</v>
      </c>
      <c r="J1038" t="s">
        <v>10</v>
      </c>
      <c r="K1038">
        <v>0.57669999999999999</v>
      </c>
      <c r="L1038">
        <v>759.64</v>
      </c>
      <c r="M1038">
        <v>0.57647000000000004</v>
      </c>
      <c r="N1038">
        <v>758.92</v>
      </c>
      <c r="O1038" t="s">
        <v>2309</v>
      </c>
    </row>
    <row r="1039" spans="1:15" x14ac:dyDescent="0.25">
      <c r="A1039" t="s">
        <v>55</v>
      </c>
      <c r="B1039" t="s">
        <v>47</v>
      </c>
      <c r="C1039">
        <v>0</v>
      </c>
      <c r="D1039">
        <v>3.3000999999999999E-4</v>
      </c>
      <c r="E1039">
        <v>9.9999999999999995E-7</v>
      </c>
      <c r="F1039" t="s">
        <v>13</v>
      </c>
      <c r="G1039" t="s">
        <v>11</v>
      </c>
      <c r="H1039">
        <v>0.02</v>
      </c>
      <c r="I1039">
        <v>4.5010000000000001E-2</v>
      </c>
      <c r="J1039" t="s">
        <v>10</v>
      </c>
      <c r="K1039">
        <v>0.57237000000000005</v>
      </c>
      <c r="L1039">
        <v>986.73</v>
      </c>
      <c r="M1039">
        <v>0.57213000000000003</v>
      </c>
      <c r="N1039">
        <v>986.13</v>
      </c>
      <c r="O1039" t="s">
        <v>2774</v>
      </c>
    </row>
    <row r="1040" spans="1:15" x14ac:dyDescent="0.25">
      <c r="A1040" t="s">
        <v>55</v>
      </c>
      <c r="B1040" t="s">
        <v>47</v>
      </c>
      <c r="C1040">
        <v>0</v>
      </c>
      <c r="D1040">
        <v>3.3000999999999999E-4</v>
      </c>
      <c r="E1040">
        <v>9.9999999999999995E-7</v>
      </c>
      <c r="F1040" t="s">
        <v>13</v>
      </c>
      <c r="G1040" t="s">
        <v>11</v>
      </c>
      <c r="H1040">
        <v>10</v>
      </c>
      <c r="I1040">
        <v>30</v>
      </c>
      <c r="J1040" t="s">
        <v>10</v>
      </c>
      <c r="K1040">
        <v>0.62980000000000003</v>
      </c>
      <c r="L1040">
        <v>18044</v>
      </c>
      <c r="M1040">
        <v>0.62958000000000003</v>
      </c>
      <c r="N1040">
        <v>18044</v>
      </c>
      <c r="O1040" t="s">
        <v>2772</v>
      </c>
    </row>
    <row r="1041" spans="1:15" x14ac:dyDescent="0.25">
      <c r="A1041" t="s">
        <v>55</v>
      </c>
      <c r="B1041" t="s">
        <v>47</v>
      </c>
      <c r="C1041">
        <v>0</v>
      </c>
      <c r="D1041">
        <v>3.3000999999999999E-4</v>
      </c>
      <c r="E1041">
        <v>9.9999999999999995E-7</v>
      </c>
      <c r="F1041" t="s">
        <v>13</v>
      </c>
      <c r="G1041" t="s">
        <v>11</v>
      </c>
      <c r="H1041">
        <v>5</v>
      </c>
      <c r="I1041">
        <v>10.01</v>
      </c>
      <c r="J1041" t="s">
        <v>10</v>
      </c>
      <c r="K1041">
        <v>0.51629999999999998</v>
      </c>
      <c r="L1041">
        <v>8526.7000000000007</v>
      </c>
      <c r="M1041">
        <v>0.51576</v>
      </c>
      <c r="N1041">
        <v>8527.5</v>
      </c>
      <c r="O1041" t="s">
        <v>2308</v>
      </c>
    </row>
    <row r="1042" spans="1:15" x14ac:dyDescent="0.25">
      <c r="A1042" t="s">
        <v>55</v>
      </c>
      <c r="B1042" t="s">
        <v>47</v>
      </c>
      <c r="C1042">
        <v>0</v>
      </c>
      <c r="D1042">
        <v>3.3000999999999999E-4</v>
      </c>
      <c r="E1042">
        <v>9.9999999999999995E-7</v>
      </c>
      <c r="F1042" t="s">
        <v>13</v>
      </c>
      <c r="G1042" t="s">
        <v>11</v>
      </c>
      <c r="H1042">
        <v>30</v>
      </c>
      <c r="I1042">
        <v>30.1</v>
      </c>
      <c r="J1042" t="s">
        <v>10</v>
      </c>
      <c r="K1042">
        <v>0.62980000000000003</v>
      </c>
      <c r="L1042">
        <v>18044</v>
      </c>
      <c r="M1042">
        <v>0.62958000000000003</v>
      </c>
      <c r="N1042">
        <v>18044</v>
      </c>
      <c r="O1042" t="s">
        <v>2310</v>
      </c>
    </row>
    <row r="1043" spans="1:15" x14ac:dyDescent="0.25">
      <c r="A1043" t="s">
        <v>55</v>
      </c>
      <c r="B1043" t="s">
        <v>47</v>
      </c>
      <c r="C1043">
        <v>0</v>
      </c>
      <c r="D1043">
        <v>3.3000999999999999E-4</v>
      </c>
      <c r="E1043">
        <v>9.9999999999999995E-7</v>
      </c>
      <c r="F1043" t="s">
        <v>13</v>
      </c>
      <c r="G1043" t="s">
        <v>11</v>
      </c>
      <c r="H1043">
        <v>0.01</v>
      </c>
      <c r="I1043">
        <v>2.001E-2</v>
      </c>
      <c r="J1043" t="s">
        <v>10</v>
      </c>
      <c r="K1043">
        <v>0.56557999999999997</v>
      </c>
      <c r="L1043">
        <v>1474.9</v>
      </c>
      <c r="M1043">
        <v>0.56533</v>
      </c>
      <c r="N1043">
        <v>1474.5</v>
      </c>
      <c r="O1043" t="s">
        <v>2307</v>
      </c>
    </row>
    <row r="1044" spans="1:15" x14ac:dyDescent="0.25">
      <c r="A1044" t="s">
        <v>55</v>
      </c>
      <c r="B1044" t="s">
        <v>47</v>
      </c>
      <c r="C1044">
        <v>0</v>
      </c>
      <c r="D1044">
        <v>3.3000999999999999E-4</v>
      </c>
      <c r="E1044">
        <v>9.9999999999999995E-7</v>
      </c>
      <c r="F1044" t="s">
        <v>13</v>
      </c>
      <c r="G1044" t="s">
        <v>11</v>
      </c>
      <c r="H1044">
        <v>1</v>
      </c>
      <c r="I1044">
        <v>5.01</v>
      </c>
      <c r="J1044" t="s">
        <v>10</v>
      </c>
      <c r="K1044">
        <v>0.56230999999999998</v>
      </c>
      <c r="L1044">
        <v>2652.9</v>
      </c>
      <c r="M1044">
        <v>0.56206999999999996</v>
      </c>
      <c r="N1044">
        <v>2652.8</v>
      </c>
      <c r="O1044" t="s">
        <v>2773</v>
      </c>
    </row>
    <row r="1045" spans="1:15" x14ac:dyDescent="0.25">
      <c r="A1045" t="s">
        <v>55</v>
      </c>
      <c r="B1045" t="s">
        <v>47</v>
      </c>
      <c r="C1045">
        <v>0</v>
      </c>
      <c r="D1045">
        <v>3.3000999999999999E-4</v>
      </c>
      <c r="E1045">
        <v>1.0000000000000001E-5</v>
      </c>
      <c r="F1045" t="s">
        <v>13</v>
      </c>
      <c r="G1045" t="s">
        <v>11</v>
      </c>
      <c r="H1045">
        <v>0.01</v>
      </c>
      <c r="I1045">
        <v>2.001E-2</v>
      </c>
      <c r="J1045" t="s">
        <v>10</v>
      </c>
      <c r="K1045">
        <v>5.7994000000000003</v>
      </c>
      <c r="L1045">
        <v>124.28</v>
      </c>
      <c r="M1045">
        <v>5.7992999999999997</v>
      </c>
      <c r="N1045">
        <v>123.73</v>
      </c>
      <c r="O1045" t="s">
        <v>2313</v>
      </c>
    </row>
    <row r="1046" spans="1:15" x14ac:dyDescent="0.25">
      <c r="A1046" t="s">
        <v>55</v>
      </c>
      <c r="B1046" t="s">
        <v>47</v>
      </c>
      <c r="C1046">
        <v>0</v>
      </c>
      <c r="D1046">
        <v>3.3000999999999999E-4</v>
      </c>
      <c r="E1046">
        <v>1.0000000000000001E-5</v>
      </c>
      <c r="F1046" t="s">
        <v>13</v>
      </c>
      <c r="G1046" t="s">
        <v>11</v>
      </c>
      <c r="H1046">
        <v>0.02</v>
      </c>
      <c r="I1046">
        <v>4.5010000000000001E-2</v>
      </c>
      <c r="J1046" t="s">
        <v>10</v>
      </c>
      <c r="K1046">
        <v>5.7723000000000004</v>
      </c>
      <c r="L1046">
        <v>128.02000000000001</v>
      </c>
      <c r="M1046">
        <v>5.7721999999999998</v>
      </c>
      <c r="N1046">
        <v>127.48</v>
      </c>
      <c r="O1046" t="s">
        <v>2776</v>
      </c>
    </row>
    <row r="1047" spans="1:15" x14ac:dyDescent="0.25">
      <c r="A1047" t="s">
        <v>55</v>
      </c>
      <c r="B1047" t="s">
        <v>47</v>
      </c>
      <c r="C1047">
        <v>0</v>
      </c>
      <c r="D1047">
        <v>3.3000999999999999E-4</v>
      </c>
      <c r="E1047">
        <v>1.0000000000000001E-5</v>
      </c>
      <c r="F1047" t="s">
        <v>13</v>
      </c>
      <c r="G1047" t="s">
        <v>11</v>
      </c>
      <c r="H1047">
        <v>30</v>
      </c>
      <c r="I1047">
        <v>30.1</v>
      </c>
      <c r="J1047" t="s">
        <v>10</v>
      </c>
      <c r="K1047">
        <v>5.5819999999999999</v>
      </c>
      <c r="L1047">
        <v>9564.6</v>
      </c>
      <c r="M1047">
        <v>5.5818000000000003</v>
      </c>
      <c r="N1047">
        <v>9564.1</v>
      </c>
      <c r="O1047" t="s">
        <v>2775</v>
      </c>
    </row>
    <row r="1048" spans="1:15" x14ac:dyDescent="0.25">
      <c r="A1048" t="s">
        <v>55</v>
      </c>
      <c r="B1048" t="s">
        <v>47</v>
      </c>
      <c r="C1048">
        <v>0</v>
      </c>
      <c r="D1048">
        <v>3.3000999999999999E-4</v>
      </c>
      <c r="E1048">
        <v>1.0000000000000001E-5</v>
      </c>
      <c r="F1048" t="s">
        <v>13</v>
      </c>
      <c r="G1048" t="s">
        <v>11</v>
      </c>
      <c r="H1048">
        <v>10</v>
      </c>
      <c r="I1048">
        <v>30</v>
      </c>
      <c r="J1048" t="s">
        <v>10</v>
      </c>
      <c r="K1048">
        <v>5.5819999999999999</v>
      </c>
      <c r="L1048">
        <v>9564.6</v>
      </c>
      <c r="M1048">
        <v>5.5818000000000003</v>
      </c>
      <c r="N1048">
        <v>9564.1</v>
      </c>
      <c r="O1048" t="s">
        <v>2311</v>
      </c>
    </row>
    <row r="1049" spans="1:15" x14ac:dyDescent="0.25">
      <c r="A1049" t="s">
        <v>55</v>
      </c>
      <c r="B1049" t="s">
        <v>47</v>
      </c>
      <c r="C1049">
        <v>0</v>
      </c>
      <c r="D1049">
        <v>3.3000999999999999E-4</v>
      </c>
      <c r="E1049">
        <v>1.0000000000000001E-5</v>
      </c>
      <c r="F1049" t="s">
        <v>13</v>
      </c>
      <c r="G1049" t="s">
        <v>11</v>
      </c>
      <c r="H1049">
        <v>1</v>
      </c>
      <c r="I1049">
        <v>5.01</v>
      </c>
      <c r="J1049" t="s">
        <v>10</v>
      </c>
      <c r="K1049">
        <v>5.7664999999999997</v>
      </c>
      <c r="L1049">
        <v>471.27</v>
      </c>
      <c r="M1049">
        <v>5.7664</v>
      </c>
      <c r="N1049">
        <v>470.74</v>
      </c>
      <c r="O1049" t="s">
        <v>2315</v>
      </c>
    </row>
    <row r="1050" spans="1:15" x14ac:dyDescent="0.25">
      <c r="A1050" t="s">
        <v>55</v>
      </c>
      <c r="B1050" t="s">
        <v>47</v>
      </c>
      <c r="C1050">
        <v>0</v>
      </c>
      <c r="D1050">
        <v>3.3000999999999999E-4</v>
      </c>
      <c r="E1050">
        <v>1.0000000000000001E-5</v>
      </c>
      <c r="F1050" t="s">
        <v>13</v>
      </c>
      <c r="G1050" t="s">
        <v>11</v>
      </c>
      <c r="H1050">
        <v>5</v>
      </c>
      <c r="I1050">
        <v>10.01</v>
      </c>
      <c r="J1050" t="s">
        <v>10</v>
      </c>
      <c r="K1050">
        <v>5.7138999999999998</v>
      </c>
      <c r="L1050">
        <v>2807.7</v>
      </c>
      <c r="M1050">
        <v>5.7137000000000002</v>
      </c>
      <c r="N1050">
        <v>2806.8</v>
      </c>
      <c r="O1050" t="s">
        <v>2312</v>
      </c>
    </row>
    <row r="1051" spans="1:15" x14ac:dyDescent="0.25">
      <c r="A1051" t="s">
        <v>55</v>
      </c>
      <c r="B1051" t="s">
        <v>47</v>
      </c>
      <c r="C1051">
        <v>0</v>
      </c>
      <c r="D1051">
        <v>3.3000999999999999E-4</v>
      </c>
      <c r="E1051">
        <v>1.0000000000000001E-5</v>
      </c>
      <c r="F1051" t="s">
        <v>13</v>
      </c>
      <c r="G1051" t="s">
        <v>11</v>
      </c>
      <c r="H1051">
        <v>4.4999999999999998E-2</v>
      </c>
      <c r="I1051">
        <v>1.0000100000000001</v>
      </c>
      <c r="J1051" t="s">
        <v>10</v>
      </c>
      <c r="K1051">
        <v>5.7731000000000003</v>
      </c>
      <c r="L1051">
        <v>93.963999999999999</v>
      </c>
      <c r="M1051">
        <v>5.7729999999999997</v>
      </c>
      <c r="N1051">
        <v>93.42</v>
      </c>
      <c r="O1051" t="s">
        <v>2314</v>
      </c>
    </row>
    <row r="1052" spans="1:15" x14ac:dyDescent="0.25">
      <c r="A1052" t="s">
        <v>55</v>
      </c>
      <c r="B1052" t="s">
        <v>47</v>
      </c>
      <c r="C1052">
        <v>0</v>
      </c>
      <c r="D1052">
        <v>3.3000999999999999E-4</v>
      </c>
      <c r="E1052">
        <v>1E-4</v>
      </c>
      <c r="F1052" t="s">
        <v>13</v>
      </c>
      <c r="G1052" t="s">
        <v>11</v>
      </c>
      <c r="H1052">
        <v>30</v>
      </c>
      <c r="I1052">
        <v>30.1</v>
      </c>
      <c r="J1052" t="s">
        <v>10</v>
      </c>
      <c r="K1052">
        <v>57.709000000000003</v>
      </c>
      <c r="L1052">
        <v>1205.5</v>
      </c>
      <c r="M1052">
        <v>57.709000000000003</v>
      </c>
      <c r="N1052">
        <v>1205.0999999999999</v>
      </c>
      <c r="O1052" t="s">
        <v>2777</v>
      </c>
    </row>
    <row r="1053" spans="1:15" x14ac:dyDescent="0.25">
      <c r="A1053" t="s">
        <v>55</v>
      </c>
      <c r="B1053" t="s">
        <v>47</v>
      </c>
      <c r="C1053">
        <v>0</v>
      </c>
      <c r="D1053">
        <v>3.3000999999999999E-4</v>
      </c>
      <c r="E1053">
        <v>1E-4</v>
      </c>
      <c r="F1053" t="s">
        <v>13</v>
      </c>
      <c r="G1053" t="s">
        <v>11</v>
      </c>
      <c r="H1053">
        <v>0.01</v>
      </c>
      <c r="I1053">
        <v>2.001E-2</v>
      </c>
      <c r="J1053" t="s">
        <v>10</v>
      </c>
      <c r="K1053">
        <v>58.024999999999999</v>
      </c>
      <c r="L1053">
        <v>-857.45</v>
      </c>
      <c r="M1053">
        <v>58.024999999999999</v>
      </c>
      <c r="N1053">
        <v>-857.67</v>
      </c>
      <c r="O1053" t="s">
        <v>2317</v>
      </c>
    </row>
    <row r="1054" spans="1:15" x14ac:dyDescent="0.25">
      <c r="A1054" t="s">
        <v>55</v>
      </c>
      <c r="B1054" t="s">
        <v>47</v>
      </c>
      <c r="C1054">
        <v>0</v>
      </c>
      <c r="D1054">
        <v>3.3000999999999999E-4</v>
      </c>
      <c r="E1054">
        <v>1E-4</v>
      </c>
      <c r="F1054" t="s">
        <v>13</v>
      </c>
      <c r="G1054" t="s">
        <v>11</v>
      </c>
      <c r="H1054">
        <v>0.02</v>
      </c>
      <c r="I1054">
        <v>4.5010000000000001E-2</v>
      </c>
      <c r="J1054" t="s">
        <v>10</v>
      </c>
      <c r="K1054">
        <v>57.734999999999999</v>
      </c>
      <c r="L1054">
        <v>13.015000000000001</v>
      </c>
      <c r="M1054">
        <v>57.734999999999999</v>
      </c>
      <c r="N1054">
        <v>12.795</v>
      </c>
      <c r="O1054" t="s">
        <v>2316</v>
      </c>
    </row>
    <row r="1055" spans="1:15" x14ac:dyDescent="0.25">
      <c r="A1055" t="s">
        <v>55</v>
      </c>
      <c r="B1055" t="s">
        <v>47</v>
      </c>
      <c r="C1055">
        <v>0</v>
      </c>
      <c r="D1055">
        <v>3.3000999999999999E-4</v>
      </c>
      <c r="E1055">
        <v>1E-4</v>
      </c>
      <c r="F1055" t="s">
        <v>13</v>
      </c>
      <c r="G1055" t="s">
        <v>11</v>
      </c>
      <c r="H1055">
        <v>1</v>
      </c>
      <c r="I1055">
        <v>5.01</v>
      </c>
      <c r="J1055" t="s">
        <v>10</v>
      </c>
      <c r="K1055">
        <v>57.734999999999999</v>
      </c>
      <c r="L1055">
        <v>47.917999999999999</v>
      </c>
      <c r="M1055">
        <v>57.734999999999999</v>
      </c>
      <c r="N1055">
        <v>47.698999999999998</v>
      </c>
      <c r="O1055" t="s">
        <v>2319</v>
      </c>
    </row>
    <row r="1056" spans="1:15" x14ac:dyDescent="0.25">
      <c r="A1056" t="s">
        <v>55</v>
      </c>
      <c r="B1056" t="s">
        <v>47</v>
      </c>
      <c r="C1056">
        <v>0</v>
      </c>
      <c r="D1056">
        <v>3.3000999999999999E-4</v>
      </c>
      <c r="E1056">
        <v>1E-4</v>
      </c>
      <c r="F1056" t="s">
        <v>13</v>
      </c>
      <c r="G1056" t="s">
        <v>11</v>
      </c>
      <c r="H1056">
        <v>4.4999999999999998E-2</v>
      </c>
      <c r="I1056">
        <v>1.0000100000000001</v>
      </c>
      <c r="J1056" t="s">
        <v>10</v>
      </c>
      <c r="K1056">
        <v>57.735999999999997</v>
      </c>
      <c r="L1056">
        <v>9.5875000000000004</v>
      </c>
      <c r="M1056">
        <v>57.734999999999999</v>
      </c>
      <c r="N1056">
        <v>9.3679000000000006</v>
      </c>
      <c r="O1056" t="s">
        <v>2318</v>
      </c>
    </row>
    <row r="1057" spans="1:15" x14ac:dyDescent="0.25">
      <c r="A1057" t="s">
        <v>55</v>
      </c>
      <c r="B1057" t="s">
        <v>47</v>
      </c>
      <c r="C1057">
        <v>0</v>
      </c>
      <c r="D1057">
        <v>3.3000999999999999E-4</v>
      </c>
      <c r="E1057">
        <v>1E-4</v>
      </c>
      <c r="F1057" t="s">
        <v>13</v>
      </c>
      <c r="G1057" t="s">
        <v>11</v>
      </c>
      <c r="H1057">
        <v>5</v>
      </c>
      <c r="I1057">
        <v>10.01</v>
      </c>
      <c r="J1057" t="s">
        <v>10</v>
      </c>
      <c r="K1057">
        <v>57.728999999999999</v>
      </c>
      <c r="L1057">
        <v>302.48</v>
      </c>
      <c r="M1057">
        <v>57.728999999999999</v>
      </c>
      <c r="N1057">
        <v>302.01</v>
      </c>
      <c r="O1057" t="s">
        <v>2320</v>
      </c>
    </row>
    <row r="1058" spans="1:15" x14ac:dyDescent="0.25">
      <c r="A1058" t="s">
        <v>55</v>
      </c>
      <c r="B1058" t="s">
        <v>47</v>
      </c>
      <c r="C1058">
        <v>0</v>
      </c>
      <c r="D1058">
        <v>3.3000999999999999E-4</v>
      </c>
      <c r="E1058">
        <v>1E-4</v>
      </c>
      <c r="F1058" t="s">
        <v>13</v>
      </c>
      <c r="G1058" t="s">
        <v>11</v>
      </c>
      <c r="H1058">
        <v>10</v>
      </c>
      <c r="I1058">
        <v>30</v>
      </c>
      <c r="J1058" t="s">
        <v>10</v>
      </c>
      <c r="K1058">
        <v>57.709000000000003</v>
      </c>
      <c r="L1058">
        <v>1205.5</v>
      </c>
      <c r="M1058">
        <v>57.709000000000003</v>
      </c>
      <c r="N1058">
        <v>1205.0999999999999</v>
      </c>
      <c r="O1058" t="s">
        <v>2321</v>
      </c>
    </row>
    <row r="1059" spans="1:15" x14ac:dyDescent="0.25">
      <c r="A1059" t="s">
        <v>55</v>
      </c>
      <c r="B1059" t="s">
        <v>47</v>
      </c>
      <c r="C1059">
        <v>0</v>
      </c>
      <c r="D1059">
        <v>3.3000999999999999E-4</v>
      </c>
      <c r="E1059">
        <v>1E-3</v>
      </c>
      <c r="F1059" t="s">
        <v>13</v>
      </c>
      <c r="G1059" t="s">
        <v>11</v>
      </c>
      <c r="H1059">
        <v>30</v>
      </c>
      <c r="I1059">
        <v>30.1</v>
      </c>
      <c r="J1059" t="s">
        <v>10</v>
      </c>
      <c r="K1059">
        <v>577.35</v>
      </c>
      <c r="L1059">
        <v>121.09</v>
      </c>
      <c r="M1059">
        <v>577.32000000000005</v>
      </c>
      <c r="N1059">
        <v>120.9</v>
      </c>
      <c r="O1059" t="s">
        <v>2322</v>
      </c>
    </row>
    <row r="1060" spans="1:15" x14ac:dyDescent="0.25">
      <c r="A1060" t="s">
        <v>55</v>
      </c>
      <c r="B1060" t="s">
        <v>47</v>
      </c>
      <c r="C1060">
        <v>0</v>
      </c>
      <c r="D1060">
        <v>3.3000999999999999E-4</v>
      </c>
      <c r="E1060">
        <v>1E-3</v>
      </c>
      <c r="F1060" t="s">
        <v>13</v>
      </c>
      <c r="G1060" t="s">
        <v>11</v>
      </c>
      <c r="H1060">
        <v>0.01</v>
      </c>
      <c r="I1060">
        <v>2.001E-2</v>
      </c>
      <c r="J1060" t="s">
        <v>10</v>
      </c>
      <c r="K1060">
        <v>580.26</v>
      </c>
      <c r="L1060">
        <v>-8787.4</v>
      </c>
      <c r="M1060">
        <v>580.03</v>
      </c>
      <c r="N1060">
        <v>-8787.5</v>
      </c>
      <c r="O1060" t="s">
        <v>2325</v>
      </c>
    </row>
    <row r="1061" spans="1:15" x14ac:dyDescent="0.25">
      <c r="A1061" t="s">
        <v>55</v>
      </c>
      <c r="B1061" t="s">
        <v>47</v>
      </c>
      <c r="C1061">
        <v>0</v>
      </c>
      <c r="D1061">
        <v>3.3000999999999999E-4</v>
      </c>
      <c r="E1061">
        <v>1E-3</v>
      </c>
      <c r="F1061" t="s">
        <v>13</v>
      </c>
      <c r="G1061" t="s">
        <v>11</v>
      </c>
      <c r="H1061">
        <v>0.02</v>
      </c>
      <c r="I1061">
        <v>4.5010000000000001E-2</v>
      </c>
      <c r="J1061" t="s">
        <v>10</v>
      </c>
      <c r="K1061">
        <v>577.36</v>
      </c>
      <c r="L1061">
        <v>1.3673999999999999</v>
      </c>
      <c r="M1061">
        <v>577.35</v>
      </c>
      <c r="N1061">
        <v>1.2795000000000001</v>
      </c>
      <c r="O1061" t="s">
        <v>2326</v>
      </c>
    </row>
    <row r="1062" spans="1:15" x14ac:dyDescent="0.25">
      <c r="A1062" t="s">
        <v>55</v>
      </c>
      <c r="B1062" t="s">
        <v>47</v>
      </c>
      <c r="C1062">
        <v>0</v>
      </c>
      <c r="D1062">
        <v>3.3000999999999999E-4</v>
      </c>
      <c r="E1062">
        <v>1E-3</v>
      </c>
      <c r="F1062" t="s">
        <v>13</v>
      </c>
      <c r="G1062" t="s">
        <v>11</v>
      </c>
      <c r="H1062">
        <v>1</v>
      </c>
      <c r="I1062">
        <v>5.01</v>
      </c>
      <c r="J1062" t="s">
        <v>10</v>
      </c>
      <c r="K1062">
        <v>577.36</v>
      </c>
      <c r="L1062">
        <v>4.8582999999999998</v>
      </c>
      <c r="M1062">
        <v>577.35</v>
      </c>
      <c r="N1062">
        <v>4.7705000000000002</v>
      </c>
      <c r="O1062" t="s">
        <v>2778</v>
      </c>
    </row>
    <row r="1063" spans="1:15" x14ac:dyDescent="0.25">
      <c r="A1063" t="s">
        <v>55</v>
      </c>
      <c r="B1063" t="s">
        <v>47</v>
      </c>
      <c r="C1063">
        <v>0</v>
      </c>
      <c r="D1063">
        <v>3.3000999999999999E-4</v>
      </c>
      <c r="E1063">
        <v>1E-3</v>
      </c>
      <c r="F1063" t="s">
        <v>13</v>
      </c>
      <c r="G1063" t="s">
        <v>11</v>
      </c>
      <c r="H1063">
        <v>5</v>
      </c>
      <c r="I1063">
        <v>10.01</v>
      </c>
      <c r="J1063" t="s">
        <v>10</v>
      </c>
      <c r="K1063">
        <v>577.35</v>
      </c>
      <c r="L1063">
        <v>30.413</v>
      </c>
      <c r="M1063">
        <v>577.35</v>
      </c>
      <c r="N1063">
        <v>30.225999999999999</v>
      </c>
      <c r="O1063" t="s">
        <v>2323</v>
      </c>
    </row>
    <row r="1064" spans="1:15" x14ac:dyDescent="0.25">
      <c r="A1064" t="s">
        <v>55</v>
      </c>
      <c r="B1064" t="s">
        <v>47</v>
      </c>
      <c r="C1064">
        <v>0</v>
      </c>
      <c r="D1064">
        <v>3.3000999999999999E-4</v>
      </c>
      <c r="E1064">
        <v>1E-3</v>
      </c>
      <c r="F1064" t="s">
        <v>13</v>
      </c>
      <c r="G1064" t="s">
        <v>11</v>
      </c>
      <c r="H1064">
        <v>4.4999999999999998E-2</v>
      </c>
      <c r="I1064">
        <v>1.0000100000000001</v>
      </c>
      <c r="J1064" t="s">
        <v>10</v>
      </c>
      <c r="K1064">
        <v>577.36</v>
      </c>
      <c r="L1064">
        <v>1.0246</v>
      </c>
      <c r="M1064">
        <v>577.36</v>
      </c>
      <c r="N1064">
        <v>0.93681999999999999</v>
      </c>
      <c r="O1064" t="s">
        <v>2779</v>
      </c>
    </row>
    <row r="1065" spans="1:15" x14ac:dyDescent="0.25">
      <c r="A1065" t="s">
        <v>55</v>
      </c>
      <c r="B1065" t="s">
        <v>47</v>
      </c>
      <c r="C1065">
        <v>0</v>
      </c>
      <c r="D1065">
        <v>3.3000999999999999E-4</v>
      </c>
      <c r="E1065">
        <v>1E-3</v>
      </c>
      <c r="F1065" t="s">
        <v>13</v>
      </c>
      <c r="G1065" t="s">
        <v>11</v>
      </c>
      <c r="H1065">
        <v>10</v>
      </c>
      <c r="I1065">
        <v>30</v>
      </c>
      <c r="J1065" t="s">
        <v>10</v>
      </c>
      <c r="K1065">
        <v>577.35</v>
      </c>
      <c r="L1065">
        <v>121.09</v>
      </c>
      <c r="M1065">
        <v>577.32000000000005</v>
      </c>
      <c r="N1065">
        <v>120.9</v>
      </c>
      <c r="O1065" t="s">
        <v>2324</v>
      </c>
    </row>
    <row r="1066" spans="1:15" x14ac:dyDescent="0.25">
      <c r="A1066" t="s">
        <v>55</v>
      </c>
      <c r="B1066" t="s">
        <v>47</v>
      </c>
      <c r="C1066">
        <v>0</v>
      </c>
      <c r="D1066">
        <v>3.3000999999999999E-4</v>
      </c>
      <c r="E1066">
        <v>0.01</v>
      </c>
      <c r="F1066" t="s">
        <v>13</v>
      </c>
      <c r="G1066" t="s">
        <v>11</v>
      </c>
      <c r="H1066">
        <v>30</v>
      </c>
      <c r="I1066">
        <v>30.1</v>
      </c>
      <c r="J1066" t="s">
        <v>10</v>
      </c>
      <c r="K1066">
        <v>5773.6</v>
      </c>
      <c r="L1066">
        <v>12.164999999999999</v>
      </c>
      <c r="M1066">
        <v>5773.5</v>
      </c>
      <c r="N1066">
        <v>12.09</v>
      </c>
      <c r="O1066" t="s">
        <v>2330</v>
      </c>
    </row>
    <row r="1067" spans="1:15" x14ac:dyDescent="0.25">
      <c r="A1067" t="s">
        <v>55</v>
      </c>
      <c r="B1067" t="s">
        <v>47</v>
      </c>
      <c r="C1067">
        <v>0</v>
      </c>
      <c r="D1067">
        <v>3.3000999999999999E-4</v>
      </c>
      <c r="E1067">
        <v>0.01</v>
      </c>
      <c r="F1067" t="s">
        <v>13</v>
      </c>
      <c r="G1067" t="s">
        <v>11</v>
      </c>
      <c r="H1067">
        <v>1</v>
      </c>
      <c r="I1067">
        <v>5.01</v>
      </c>
      <c r="J1067" t="s">
        <v>10</v>
      </c>
      <c r="K1067">
        <v>5773.6</v>
      </c>
      <c r="L1067">
        <v>0.51217999999999997</v>
      </c>
      <c r="M1067">
        <v>5773.6</v>
      </c>
      <c r="N1067">
        <v>0.47704999999999997</v>
      </c>
      <c r="O1067" t="s">
        <v>2782</v>
      </c>
    </row>
    <row r="1068" spans="1:15" x14ac:dyDescent="0.25">
      <c r="A1068" t="s">
        <v>55</v>
      </c>
      <c r="B1068" t="s">
        <v>47</v>
      </c>
      <c r="C1068">
        <v>0</v>
      </c>
      <c r="D1068">
        <v>3.3000999999999999E-4</v>
      </c>
      <c r="E1068">
        <v>0.01</v>
      </c>
      <c r="F1068" t="s">
        <v>13</v>
      </c>
      <c r="G1068" t="s">
        <v>11</v>
      </c>
      <c r="H1068">
        <v>0.01</v>
      </c>
      <c r="I1068">
        <v>2.001E-2</v>
      </c>
      <c r="J1068" t="s">
        <v>10</v>
      </c>
      <c r="K1068">
        <v>5802.6</v>
      </c>
      <c r="L1068">
        <v>-87896</v>
      </c>
      <c r="M1068">
        <v>5800</v>
      </c>
      <c r="N1068">
        <v>-87896</v>
      </c>
      <c r="O1068" t="s">
        <v>2328</v>
      </c>
    </row>
    <row r="1069" spans="1:15" x14ac:dyDescent="0.25">
      <c r="A1069" t="s">
        <v>55</v>
      </c>
      <c r="B1069" t="s">
        <v>47</v>
      </c>
      <c r="C1069">
        <v>0</v>
      </c>
      <c r="D1069">
        <v>3.3000999999999999E-4</v>
      </c>
      <c r="E1069">
        <v>0.01</v>
      </c>
      <c r="F1069" t="s">
        <v>13</v>
      </c>
      <c r="G1069" t="s">
        <v>11</v>
      </c>
      <c r="H1069">
        <v>10</v>
      </c>
      <c r="I1069">
        <v>30</v>
      </c>
      <c r="J1069" t="s">
        <v>10</v>
      </c>
      <c r="K1069">
        <v>5773.6</v>
      </c>
      <c r="L1069">
        <v>12.164999999999999</v>
      </c>
      <c r="M1069">
        <v>5773.5</v>
      </c>
      <c r="N1069">
        <v>12.09</v>
      </c>
      <c r="O1069" t="s">
        <v>2781</v>
      </c>
    </row>
    <row r="1070" spans="1:15" x14ac:dyDescent="0.25">
      <c r="A1070" t="s">
        <v>55</v>
      </c>
      <c r="B1070" t="s">
        <v>47</v>
      </c>
      <c r="C1070">
        <v>0</v>
      </c>
      <c r="D1070">
        <v>3.3000999999999999E-4</v>
      </c>
      <c r="E1070">
        <v>0.01</v>
      </c>
      <c r="F1070" t="s">
        <v>13</v>
      </c>
      <c r="G1070" t="s">
        <v>11</v>
      </c>
      <c r="H1070">
        <v>0.02</v>
      </c>
      <c r="I1070">
        <v>4.5010000000000001E-2</v>
      </c>
      <c r="J1070" t="s">
        <v>10</v>
      </c>
      <c r="K1070">
        <v>5773.6</v>
      </c>
      <c r="L1070">
        <v>0.16308</v>
      </c>
      <c r="M1070">
        <v>5773.6</v>
      </c>
      <c r="N1070">
        <v>0.12795999999999999</v>
      </c>
      <c r="O1070" t="s">
        <v>2329</v>
      </c>
    </row>
    <row r="1071" spans="1:15" x14ac:dyDescent="0.25">
      <c r="A1071" t="s">
        <v>55</v>
      </c>
      <c r="B1071" t="s">
        <v>47</v>
      </c>
      <c r="C1071">
        <v>0</v>
      </c>
      <c r="D1071">
        <v>3.3000999999999999E-4</v>
      </c>
      <c r="E1071">
        <v>0.01</v>
      </c>
      <c r="F1071" t="s">
        <v>13</v>
      </c>
      <c r="G1071" t="s">
        <v>11</v>
      </c>
      <c r="H1071">
        <v>4.4999999999999998E-2</v>
      </c>
      <c r="I1071">
        <v>1.0000100000000001</v>
      </c>
      <c r="J1071" t="s">
        <v>10</v>
      </c>
      <c r="K1071">
        <v>5773.6</v>
      </c>
      <c r="L1071">
        <v>0.12881000000000001</v>
      </c>
      <c r="M1071">
        <v>5773.6</v>
      </c>
      <c r="N1071">
        <v>9.3682000000000001E-2</v>
      </c>
      <c r="O1071" t="s">
        <v>2780</v>
      </c>
    </row>
    <row r="1072" spans="1:15" x14ac:dyDescent="0.25">
      <c r="A1072" t="s">
        <v>55</v>
      </c>
      <c r="B1072" t="s">
        <v>47</v>
      </c>
      <c r="C1072">
        <v>0</v>
      </c>
      <c r="D1072">
        <v>3.3000999999999999E-4</v>
      </c>
      <c r="E1072">
        <v>0.01</v>
      </c>
      <c r="F1072" t="s">
        <v>13</v>
      </c>
      <c r="G1072" t="s">
        <v>11</v>
      </c>
      <c r="H1072">
        <v>5</v>
      </c>
      <c r="I1072">
        <v>10.01</v>
      </c>
      <c r="J1072" t="s">
        <v>10</v>
      </c>
      <c r="K1072">
        <v>5773.6</v>
      </c>
      <c r="L1072">
        <v>3.0975999999999999</v>
      </c>
      <c r="M1072">
        <v>5773.5</v>
      </c>
      <c r="N1072">
        <v>3.0226000000000002</v>
      </c>
      <c r="O1072" t="s">
        <v>2327</v>
      </c>
    </row>
    <row r="1073" spans="1:15" x14ac:dyDescent="0.25">
      <c r="A1073" t="s">
        <v>55</v>
      </c>
      <c r="B1073" t="s">
        <v>47</v>
      </c>
      <c r="C1073">
        <v>0</v>
      </c>
      <c r="D1073">
        <v>3.3000999999999999E-4</v>
      </c>
      <c r="E1073">
        <v>0.1</v>
      </c>
      <c r="F1073" t="s">
        <v>13</v>
      </c>
      <c r="G1073" t="s">
        <v>11</v>
      </c>
      <c r="H1073">
        <v>1</v>
      </c>
      <c r="I1073">
        <v>5.01</v>
      </c>
      <c r="J1073" t="s">
        <v>10</v>
      </c>
      <c r="K1073">
        <v>57736</v>
      </c>
      <c r="L1073">
        <v>6.1755999999999998E-2</v>
      </c>
      <c r="M1073">
        <v>57736</v>
      </c>
      <c r="N1073">
        <v>4.7704999999999997E-2</v>
      </c>
      <c r="O1073" t="s">
        <v>2783</v>
      </c>
    </row>
    <row r="1074" spans="1:15" x14ac:dyDescent="0.25">
      <c r="A1074" t="s">
        <v>55</v>
      </c>
      <c r="B1074" t="s">
        <v>47</v>
      </c>
      <c r="C1074">
        <v>0</v>
      </c>
      <c r="D1074">
        <v>3.3000999999999999E-4</v>
      </c>
      <c r="E1074">
        <v>0.1</v>
      </c>
      <c r="F1074" t="s">
        <v>13</v>
      </c>
      <c r="G1074" t="s">
        <v>11</v>
      </c>
      <c r="H1074">
        <v>30</v>
      </c>
      <c r="I1074">
        <v>30.1</v>
      </c>
      <c r="J1074" t="s">
        <v>10</v>
      </c>
      <c r="K1074">
        <v>57736</v>
      </c>
      <c r="L1074">
        <v>1.2390000000000001</v>
      </c>
      <c r="M1074">
        <v>57735</v>
      </c>
      <c r="N1074">
        <v>1.2090000000000001</v>
      </c>
      <c r="O1074" t="s">
        <v>2334</v>
      </c>
    </row>
    <row r="1075" spans="1:15" x14ac:dyDescent="0.25">
      <c r="A1075" t="s">
        <v>55</v>
      </c>
      <c r="B1075" t="s">
        <v>47</v>
      </c>
      <c r="C1075">
        <v>0</v>
      </c>
      <c r="D1075">
        <v>3.3000999999999999E-4</v>
      </c>
      <c r="E1075">
        <v>0.1</v>
      </c>
      <c r="F1075" t="s">
        <v>13</v>
      </c>
      <c r="G1075" t="s">
        <v>11</v>
      </c>
      <c r="H1075">
        <v>0.01</v>
      </c>
      <c r="I1075">
        <v>2.001E-2</v>
      </c>
      <c r="J1075" t="s">
        <v>10</v>
      </c>
      <c r="K1075">
        <v>58026</v>
      </c>
      <c r="L1075">
        <v>-878960</v>
      </c>
      <c r="M1075">
        <v>58000</v>
      </c>
      <c r="N1075">
        <v>-878960</v>
      </c>
      <c r="O1075" t="s">
        <v>2331</v>
      </c>
    </row>
    <row r="1076" spans="1:15" x14ac:dyDescent="0.25">
      <c r="A1076" t="s">
        <v>55</v>
      </c>
      <c r="B1076" t="s">
        <v>47</v>
      </c>
      <c r="C1076">
        <v>0</v>
      </c>
      <c r="D1076">
        <v>3.3000999999999999E-4</v>
      </c>
      <c r="E1076">
        <v>0.1</v>
      </c>
      <c r="F1076" t="s">
        <v>13</v>
      </c>
      <c r="G1076" t="s">
        <v>11</v>
      </c>
      <c r="H1076">
        <v>10</v>
      </c>
      <c r="I1076">
        <v>30</v>
      </c>
      <c r="J1076" t="s">
        <v>10</v>
      </c>
      <c r="K1076">
        <v>57736</v>
      </c>
      <c r="L1076">
        <v>1.2390000000000001</v>
      </c>
      <c r="M1076">
        <v>57735</v>
      </c>
      <c r="N1076">
        <v>1.2090000000000001</v>
      </c>
      <c r="O1076" t="s">
        <v>2332</v>
      </c>
    </row>
    <row r="1077" spans="1:15" x14ac:dyDescent="0.25">
      <c r="A1077" t="s">
        <v>55</v>
      </c>
      <c r="B1077" t="s">
        <v>47</v>
      </c>
      <c r="C1077">
        <v>0</v>
      </c>
      <c r="D1077">
        <v>3.3000999999999999E-4</v>
      </c>
      <c r="E1077">
        <v>0.1</v>
      </c>
      <c r="F1077" t="s">
        <v>13</v>
      </c>
      <c r="G1077" t="s">
        <v>11</v>
      </c>
      <c r="H1077">
        <v>5</v>
      </c>
      <c r="I1077">
        <v>10.01</v>
      </c>
      <c r="J1077" t="s">
        <v>10</v>
      </c>
      <c r="K1077">
        <v>57736</v>
      </c>
      <c r="L1077">
        <v>0.33223999999999998</v>
      </c>
      <c r="M1077">
        <v>57736</v>
      </c>
      <c r="N1077">
        <v>0.30225999999999997</v>
      </c>
      <c r="O1077" t="s">
        <v>2333</v>
      </c>
    </row>
    <row r="1078" spans="1:15" x14ac:dyDescent="0.25">
      <c r="A1078" t="s">
        <v>55</v>
      </c>
      <c r="B1078" t="s">
        <v>47</v>
      </c>
      <c r="C1078">
        <v>0</v>
      </c>
      <c r="D1078">
        <v>3.3000999999999999E-4</v>
      </c>
      <c r="E1078">
        <v>0.1</v>
      </c>
      <c r="F1078" t="s">
        <v>13</v>
      </c>
      <c r="G1078" t="s">
        <v>11</v>
      </c>
      <c r="H1078">
        <v>4.4999999999999998E-2</v>
      </c>
      <c r="I1078">
        <v>1.0000100000000001</v>
      </c>
      <c r="J1078" t="s">
        <v>10</v>
      </c>
      <c r="K1078">
        <v>57736</v>
      </c>
      <c r="L1078">
        <v>2.342E-2</v>
      </c>
      <c r="M1078">
        <v>57736</v>
      </c>
      <c r="N1078">
        <v>9.3682000000000001E-3</v>
      </c>
      <c r="O1078" t="s">
        <v>2335</v>
      </c>
    </row>
    <row r="1079" spans="1:15" x14ac:dyDescent="0.25">
      <c r="A1079" t="s">
        <v>55</v>
      </c>
      <c r="B1079" t="s">
        <v>47</v>
      </c>
      <c r="C1079">
        <v>0</v>
      </c>
      <c r="D1079">
        <v>3.3000999999999999E-4</v>
      </c>
      <c r="E1079">
        <v>0.1</v>
      </c>
      <c r="F1079" t="s">
        <v>13</v>
      </c>
      <c r="G1079" t="s">
        <v>11</v>
      </c>
      <c r="H1079">
        <v>0.02</v>
      </c>
      <c r="I1079">
        <v>4.5010000000000001E-2</v>
      </c>
      <c r="J1079" t="s">
        <v>10</v>
      </c>
      <c r="K1079">
        <v>57736</v>
      </c>
      <c r="L1079">
        <v>2.6846999999999999E-2</v>
      </c>
      <c r="M1079">
        <v>57736</v>
      </c>
      <c r="N1079">
        <v>1.2796E-2</v>
      </c>
      <c r="O1079" t="s">
        <v>2336</v>
      </c>
    </row>
    <row r="1080" spans="1:15" x14ac:dyDescent="0.25">
      <c r="A1080" t="s">
        <v>55</v>
      </c>
      <c r="B1080" t="s">
        <v>47</v>
      </c>
      <c r="C1080">
        <v>0</v>
      </c>
      <c r="D1080">
        <v>3.3000999999999999E-4</v>
      </c>
      <c r="E1080">
        <v>1</v>
      </c>
      <c r="F1080" t="s">
        <v>13</v>
      </c>
      <c r="G1080" t="s">
        <v>11</v>
      </c>
      <c r="H1080">
        <v>4.4999999999999998E-2</v>
      </c>
      <c r="I1080">
        <v>1.0000100000000001</v>
      </c>
      <c r="J1080" t="s">
        <v>10</v>
      </c>
      <c r="K1080">
        <v>577360</v>
      </c>
      <c r="L1080">
        <v>6.5572E-3</v>
      </c>
      <c r="M1080">
        <v>577360</v>
      </c>
      <c r="N1080">
        <v>9.3674000000000003E-4</v>
      </c>
      <c r="O1080" t="s">
        <v>2342</v>
      </c>
    </row>
    <row r="1081" spans="1:15" x14ac:dyDescent="0.25">
      <c r="A1081" t="s">
        <v>55</v>
      </c>
      <c r="B1081" t="s">
        <v>47</v>
      </c>
      <c r="C1081">
        <v>0</v>
      </c>
      <c r="D1081">
        <v>3.3000999999999999E-4</v>
      </c>
      <c r="E1081">
        <v>1</v>
      </c>
      <c r="F1081" t="s">
        <v>13</v>
      </c>
      <c r="G1081" t="s">
        <v>11</v>
      </c>
      <c r="H1081">
        <v>5</v>
      </c>
      <c r="I1081">
        <v>10.01</v>
      </c>
      <c r="J1081" t="s">
        <v>10</v>
      </c>
      <c r="K1081">
        <v>577360</v>
      </c>
      <c r="L1081">
        <v>4.2220000000000001E-2</v>
      </c>
      <c r="M1081">
        <v>577360</v>
      </c>
      <c r="N1081">
        <v>3.0225999999999999E-2</v>
      </c>
      <c r="O1081" t="s">
        <v>2341</v>
      </c>
    </row>
    <row r="1082" spans="1:15" x14ac:dyDescent="0.25">
      <c r="A1082" t="s">
        <v>55</v>
      </c>
      <c r="B1082" t="s">
        <v>47</v>
      </c>
      <c r="C1082">
        <v>0</v>
      </c>
      <c r="D1082">
        <v>3.3000999999999999E-4</v>
      </c>
      <c r="E1082">
        <v>1</v>
      </c>
      <c r="F1082" t="s">
        <v>13</v>
      </c>
      <c r="G1082" t="s">
        <v>11</v>
      </c>
      <c r="H1082">
        <v>30</v>
      </c>
      <c r="I1082">
        <v>30.1</v>
      </c>
      <c r="J1082" t="s">
        <v>10</v>
      </c>
      <c r="K1082">
        <v>577360</v>
      </c>
      <c r="L1082">
        <v>0.13289999999999999</v>
      </c>
      <c r="M1082">
        <v>577360</v>
      </c>
      <c r="N1082">
        <v>0.12089999999999999</v>
      </c>
      <c r="O1082" t="s">
        <v>2340</v>
      </c>
    </row>
    <row r="1083" spans="1:15" x14ac:dyDescent="0.25">
      <c r="A1083" t="s">
        <v>55</v>
      </c>
      <c r="B1083" t="s">
        <v>47</v>
      </c>
      <c r="C1083">
        <v>0</v>
      </c>
      <c r="D1083">
        <v>3.3000999999999999E-4</v>
      </c>
      <c r="E1083">
        <v>1</v>
      </c>
      <c r="F1083" t="s">
        <v>13</v>
      </c>
      <c r="G1083" t="s">
        <v>11</v>
      </c>
      <c r="H1083">
        <v>10</v>
      </c>
      <c r="I1083">
        <v>30</v>
      </c>
      <c r="J1083" t="s">
        <v>10</v>
      </c>
      <c r="K1083">
        <v>577360</v>
      </c>
      <c r="L1083">
        <v>0.13289999999999999</v>
      </c>
      <c r="M1083">
        <v>577360</v>
      </c>
      <c r="N1083">
        <v>0.12089999999999999</v>
      </c>
      <c r="O1083" t="s">
        <v>2337</v>
      </c>
    </row>
    <row r="1084" spans="1:15" x14ac:dyDescent="0.25">
      <c r="A1084" t="s">
        <v>55</v>
      </c>
      <c r="B1084" t="s">
        <v>47</v>
      </c>
      <c r="C1084">
        <v>0</v>
      </c>
      <c r="D1084">
        <v>3.3000999999999999E-4</v>
      </c>
      <c r="E1084">
        <v>1</v>
      </c>
      <c r="F1084" t="s">
        <v>13</v>
      </c>
      <c r="G1084" t="s">
        <v>11</v>
      </c>
      <c r="H1084">
        <v>1</v>
      </c>
      <c r="I1084">
        <v>5.01</v>
      </c>
      <c r="J1084" t="s">
        <v>10</v>
      </c>
      <c r="K1084">
        <v>577360</v>
      </c>
      <c r="L1084">
        <v>1.0390999999999999E-2</v>
      </c>
      <c r="M1084">
        <v>577360</v>
      </c>
      <c r="N1084">
        <v>4.7702999999999999E-3</v>
      </c>
      <c r="O1084" t="s">
        <v>2339</v>
      </c>
    </row>
    <row r="1085" spans="1:15" x14ac:dyDescent="0.25">
      <c r="A1085" t="s">
        <v>55</v>
      </c>
      <c r="B1085" t="s">
        <v>47</v>
      </c>
      <c r="C1085">
        <v>0</v>
      </c>
      <c r="D1085">
        <v>3.3000999999999999E-4</v>
      </c>
      <c r="E1085">
        <v>1</v>
      </c>
      <c r="F1085" t="s">
        <v>13</v>
      </c>
      <c r="G1085" t="s">
        <v>11</v>
      </c>
      <c r="H1085">
        <v>0.02</v>
      </c>
      <c r="I1085">
        <v>4.5010000000000001E-2</v>
      </c>
      <c r="J1085" t="s">
        <v>10</v>
      </c>
      <c r="K1085">
        <v>577360</v>
      </c>
      <c r="L1085">
        <v>6.8998000000000002E-3</v>
      </c>
      <c r="M1085">
        <v>577360</v>
      </c>
      <c r="N1085">
        <v>1.2794E-3</v>
      </c>
      <c r="O1085" t="s">
        <v>2784</v>
      </c>
    </row>
    <row r="1086" spans="1:15" x14ac:dyDescent="0.25">
      <c r="A1086" t="s">
        <v>55</v>
      </c>
      <c r="B1086" t="s">
        <v>47</v>
      </c>
      <c r="C1086">
        <v>0</v>
      </c>
      <c r="D1086">
        <v>3.3000999999999999E-4</v>
      </c>
      <c r="E1086">
        <v>1</v>
      </c>
      <c r="F1086" t="s">
        <v>13</v>
      </c>
      <c r="G1086" t="s">
        <v>11</v>
      </c>
      <c r="H1086">
        <v>0.01</v>
      </c>
      <c r="I1086">
        <v>2.001E-2</v>
      </c>
      <c r="J1086" t="s">
        <v>10</v>
      </c>
      <c r="K1086">
        <v>580260</v>
      </c>
      <c r="L1086">
        <v>-8789600</v>
      </c>
      <c r="M1086">
        <v>580000</v>
      </c>
      <c r="N1086">
        <v>-8789600</v>
      </c>
      <c r="O1086" t="s">
        <v>2338</v>
      </c>
    </row>
    <row r="1087" spans="1:15" x14ac:dyDescent="0.25">
      <c r="A1087" t="s">
        <v>55</v>
      </c>
      <c r="B1087" t="s">
        <v>47</v>
      </c>
      <c r="C1087">
        <v>0</v>
      </c>
      <c r="D1087">
        <v>3.3000999999999999E-4</v>
      </c>
      <c r="E1087">
        <v>10</v>
      </c>
      <c r="F1087" t="s">
        <v>13</v>
      </c>
      <c r="G1087" t="s">
        <v>11</v>
      </c>
      <c r="H1087">
        <v>30</v>
      </c>
      <c r="I1087">
        <v>30.1</v>
      </c>
      <c r="J1087" t="s">
        <v>10</v>
      </c>
      <c r="K1087">
        <v>5773600</v>
      </c>
      <c r="L1087">
        <v>1.6888E-2</v>
      </c>
      <c r="M1087">
        <v>5773600</v>
      </c>
      <c r="N1087">
        <v>1.2089000000000001E-2</v>
      </c>
      <c r="O1087" t="s">
        <v>2786</v>
      </c>
    </row>
    <row r="1088" spans="1:15" x14ac:dyDescent="0.25">
      <c r="A1088" t="s">
        <v>55</v>
      </c>
      <c r="B1088" t="s">
        <v>47</v>
      </c>
      <c r="C1088">
        <v>0</v>
      </c>
      <c r="D1088">
        <v>3.3000999999999999E-4</v>
      </c>
      <c r="E1088">
        <v>10</v>
      </c>
      <c r="F1088" t="s">
        <v>13</v>
      </c>
      <c r="G1088" t="s">
        <v>11</v>
      </c>
      <c r="H1088">
        <v>10</v>
      </c>
      <c r="I1088">
        <v>30</v>
      </c>
      <c r="J1088" t="s">
        <v>10</v>
      </c>
      <c r="K1088">
        <v>5773600</v>
      </c>
      <c r="L1088">
        <v>1.6888E-2</v>
      </c>
      <c r="M1088">
        <v>5773600</v>
      </c>
      <c r="N1088">
        <v>1.2089000000000001E-2</v>
      </c>
      <c r="O1088" t="s">
        <v>2345</v>
      </c>
    </row>
    <row r="1089" spans="1:15" x14ac:dyDescent="0.25">
      <c r="A1089" t="s">
        <v>55</v>
      </c>
      <c r="B1089" t="s">
        <v>47</v>
      </c>
      <c r="C1089">
        <v>0</v>
      </c>
      <c r="D1089">
        <v>3.3000999999999999E-4</v>
      </c>
      <c r="E1089">
        <v>10</v>
      </c>
      <c r="F1089" t="s">
        <v>13</v>
      </c>
      <c r="G1089" t="s">
        <v>11</v>
      </c>
      <c r="H1089">
        <v>1</v>
      </c>
      <c r="I1089">
        <v>5.01</v>
      </c>
      <c r="J1089" t="s">
        <v>10</v>
      </c>
      <c r="K1089">
        <v>5773600</v>
      </c>
      <c r="L1089">
        <v>2.7258999999999999E-3</v>
      </c>
      <c r="M1089">
        <v>5773600</v>
      </c>
      <c r="N1089">
        <v>4.7648999999999999E-4</v>
      </c>
      <c r="O1089" t="s">
        <v>2344</v>
      </c>
    </row>
    <row r="1090" spans="1:15" x14ac:dyDescent="0.25">
      <c r="A1090" t="s">
        <v>55</v>
      </c>
      <c r="B1090" t="s">
        <v>47</v>
      </c>
      <c r="C1090">
        <v>0</v>
      </c>
      <c r="D1090">
        <v>3.3000999999999999E-4</v>
      </c>
      <c r="E1090">
        <v>10</v>
      </c>
      <c r="F1090" t="s">
        <v>13</v>
      </c>
      <c r="G1090" t="s">
        <v>11</v>
      </c>
      <c r="H1090">
        <v>0.02</v>
      </c>
      <c r="I1090">
        <v>4.5010000000000001E-2</v>
      </c>
      <c r="J1090" t="s">
        <v>10</v>
      </c>
      <c r="K1090">
        <v>5773600</v>
      </c>
      <c r="L1090">
        <v>2.3793999999999998E-3</v>
      </c>
      <c r="M1090">
        <v>5773600</v>
      </c>
      <c r="N1090">
        <v>1.2994999999999999E-4</v>
      </c>
      <c r="O1090" t="s">
        <v>2346</v>
      </c>
    </row>
    <row r="1091" spans="1:15" x14ac:dyDescent="0.25">
      <c r="A1091" t="s">
        <v>55</v>
      </c>
      <c r="B1091" t="s">
        <v>47</v>
      </c>
      <c r="C1091">
        <v>0</v>
      </c>
      <c r="D1091">
        <v>3.3000999999999999E-4</v>
      </c>
      <c r="E1091">
        <v>10</v>
      </c>
      <c r="F1091" t="s">
        <v>13</v>
      </c>
      <c r="G1091" t="s">
        <v>11</v>
      </c>
      <c r="H1091">
        <v>0.01</v>
      </c>
      <c r="I1091">
        <v>2.001E-2</v>
      </c>
      <c r="J1091" t="s">
        <v>10</v>
      </c>
      <c r="K1091">
        <v>5802600</v>
      </c>
      <c r="L1091">
        <v>-87896000</v>
      </c>
      <c r="M1091">
        <v>5800000</v>
      </c>
      <c r="N1091">
        <v>-87896000</v>
      </c>
      <c r="O1091" t="s">
        <v>2785</v>
      </c>
    </row>
    <row r="1092" spans="1:15" x14ac:dyDescent="0.25">
      <c r="A1092" t="s">
        <v>55</v>
      </c>
      <c r="B1092" t="s">
        <v>47</v>
      </c>
      <c r="C1092">
        <v>0</v>
      </c>
      <c r="D1092">
        <v>3.3000999999999999E-4</v>
      </c>
      <c r="E1092">
        <v>10</v>
      </c>
      <c r="F1092" t="s">
        <v>13</v>
      </c>
      <c r="G1092" t="s">
        <v>11</v>
      </c>
      <c r="H1092">
        <v>5</v>
      </c>
      <c r="I1092">
        <v>10.01</v>
      </c>
      <c r="J1092" t="s">
        <v>10</v>
      </c>
      <c r="K1092">
        <v>5773600</v>
      </c>
      <c r="L1092">
        <v>7.8188000000000007E-3</v>
      </c>
      <c r="M1092">
        <v>5773600</v>
      </c>
      <c r="N1092">
        <v>3.0228999999999998E-3</v>
      </c>
      <c r="O1092" t="s">
        <v>2787</v>
      </c>
    </row>
    <row r="1093" spans="1:15" x14ac:dyDescent="0.25">
      <c r="A1093" t="s">
        <v>55</v>
      </c>
      <c r="B1093" t="s">
        <v>47</v>
      </c>
      <c r="C1093">
        <v>0</v>
      </c>
      <c r="D1093">
        <v>3.3000999999999999E-4</v>
      </c>
      <c r="E1093">
        <v>10</v>
      </c>
      <c r="F1093" t="s">
        <v>13</v>
      </c>
      <c r="G1093" t="s">
        <v>11</v>
      </c>
      <c r="H1093">
        <v>4.4999999999999998E-2</v>
      </c>
      <c r="I1093">
        <v>1.0000100000000001</v>
      </c>
      <c r="J1093" t="s">
        <v>10</v>
      </c>
      <c r="K1093">
        <v>5773600</v>
      </c>
      <c r="L1093">
        <v>2.3422E-3</v>
      </c>
      <c r="M1093">
        <v>5773600</v>
      </c>
      <c r="N1093">
        <v>9.5916999999999997E-5</v>
      </c>
      <c r="O1093" t="s">
        <v>2343</v>
      </c>
    </row>
    <row r="1094" spans="1:15" x14ac:dyDescent="0.25">
      <c r="A1094" t="s">
        <v>55</v>
      </c>
      <c r="B1094" t="s">
        <v>47</v>
      </c>
      <c r="C1094">
        <v>3.3E-4</v>
      </c>
      <c r="D1094">
        <v>3.3000999999999998E-3</v>
      </c>
      <c r="E1094">
        <v>1E-8</v>
      </c>
      <c r="F1094" t="s">
        <v>13</v>
      </c>
      <c r="G1094" t="s">
        <v>11</v>
      </c>
      <c r="H1094">
        <v>1</v>
      </c>
      <c r="I1094">
        <v>5.01</v>
      </c>
      <c r="J1094" t="s">
        <v>10</v>
      </c>
      <c r="K1094">
        <v>0.27</v>
      </c>
      <c r="L1094">
        <v>2300</v>
      </c>
      <c r="M1094">
        <v>0.23111999999999999</v>
      </c>
      <c r="N1094">
        <v>2309.6999999999998</v>
      </c>
      <c r="O1094" t="s">
        <v>2790</v>
      </c>
    </row>
    <row r="1095" spans="1:15" x14ac:dyDescent="0.25">
      <c r="A1095" t="s">
        <v>55</v>
      </c>
      <c r="B1095" t="s">
        <v>47</v>
      </c>
      <c r="C1095">
        <v>3.3E-4</v>
      </c>
      <c r="D1095">
        <v>3.3000999999999998E-3</v>
      </c>
      <c r="E1095">
        <v>1E-8</v>
      </c>
      <c r="F1095" t="s">
        <v>13</v>
      </c>
      <c r="G1095" t="s">
        <v>11</v>
      </c>
      <c r="H1095">
        <v>0.02</v>
      </c>
      <c r="I1095">
        <v>4.5010000000000001E-2</v>
      </c>
      <c r="J1095" t="s">
        <v>10</v>
      </c>
      <c r="K1095">
        <v>0.32</v>
      </c>
      <c r="L1095">
        <v>1400</v>
      </c>
      <c r="M1095">
        <v>0.17327000000000001</v>
      </c>
      <c r="N1095">
        <v>1443.8</v>
      </c>
      <c r="O1095" t="s">
        <v>2349</v>
      </c>
    </row>
    <row r="1096" spans="1:15" x14ac:dyDescent="0.25">
      <c r="A1096" t="s">
        <v>55</v>
      </c>
      <c r="B1096" t="s">
        <v>47</v>
      </c>
      <c r="C1096">
        <v>3.3E-4</v>
      </c>
      <c r="D1096">
        <v>3.3000999999999998E-3</v>
      </c>
      <c r="E1096">
        <v>1E-8</v>
      </c>
      <c r="F1096" t="s">
        <v>13</v>
      </c>
      <c r="G1096" t="s">
        <v>11</v>
      </c>
      <c r="H1096">
        <v>0.01</v>
      </c>
      <c r="I1096">
        <v>2.001E-2</v>
      </c>
      <c r="J1096" t="s">
        <v>10</v>
      </c>
      <c r="K1096">
        <v>0.23</v>
      </c>
      <c r="L1096">
        <v>2300</v>
      </c>
      <c r="M1096">
        <v>0.17326</v>
      </c>
      <c r="N1096">
        <v>2315.4</v>
      </c>
      <c r="O1096" t="s">
        <v>2789</v>
      </c>
    </row>
    <row r="1097" spans="1:15" x14ac:dyDescent="0.25">
      <c r="A1097" t="s">
        <v>55</v>
      </c>
      <c r="B1097" t="s">
        <v>47</v>
      </c>
      <c r="C1097">
        <v>3.3E-4</v>
      </c>
      <c r="D1097">
        <v>3.3000999999999998E-3</v>
      </c>
      <c r="E1097">
        <v>1E-8</v>
      </c>
      <c r="F1097" t="s">
        <v>13</v>
      </c>
      <c r="G1097" t="s">
        <v>11</v>
      </c>
      <c r="H1097">
        <v>30</v>
      </c>
      <c r="I1097">
        <v>30.1</v>
      </c>
      <c r="J1097" t="s">
        <v>10</v>
      </c>
      <c r="K1097">
        <v>0.7</v>
      </c>
      <c r="L1097">
        <v>12000</v>
      </c>
      <c r="M1097">
        <v>0.69332000000000005</v>
      </c>
      <c r="N1097">
        <v>11547</v>
      </c>
      <c r="O1097" t="s">
        <v>2348</v>
      </c>
    </row>
    <row r="1098" spans="1:15" x14ac:dyDescent="0.25">
      <c r="A1098" t="s">
        <v>55</v>
      </c>
      <c r="B1098" t="s">
        <v>47</v>
      </c>
      <c r="C1098">
        <v>3.3E-4</v>
      </c>
      <c r="D1098">
        <v>3.3000999999999998E-3</v>
      </c>
      <c r="E1098">
        <v>1E-8</v>
      </c>
      <c r="F1098" t="s">
        <v>13</v>
      </c>
      <c r="G1098" t="s">
        <v>11</v>
      </c>
      <c r="H1098">
        <v>10</v>
      </c>
      <c r="I1098">
        <v>30</v>
      </c>
      <c r="J1098" t="s">
        <v>10</v>
      </c>
      <c r="K1098">
        <v>0.7</v>
      </c>
      <c r="L1098">
        <v>12000</v>
      </c>
      <c r="M1098">
        <v>0.69332000000000005</v>
      </c>
      <c r="N1098">
        <v>11547</v>
      </c>
      <c r="O1098" t="s">
        <v>2350</v>
      </c>
    </row>
    <row r="1099" spans="1:15" x14ac:dyDescent="0.25">
      <c r="A1099" t="s">
        <v>55</v>
      </c>
      <c r="B1099" t="s">
        <v>47</v>
      </c>
      <c r="C1099">
        <v>3.3E-4</v>
      </c>
      <c r="D1099">
        <v>3.3000999999999998E-3</v>
      </c>
      <c r="E1099">
        <v>1E-8</v>
      </c>
      <c r="F1099" t="s">
        <v>13</v>
      </c>
      <c r="G1099" t="s">
        <v>11</v>
      </c>
      <c r="H1099">
        <v>4.4999999999999998E-2</v>
      </c>
      <c r="I1099">
        <v>1.0000100000000001</v>
      </c>
      <c r="J1099" t="s">
        <v>10</v>
      </c>
      <c r="K1099">
        <v>0.18</v>
      </c>
      <c r="L1099">
        <v>1200</v>
      </c>
      <c r="M1099">
        <v>0.17374999999999999</v>
      </c>
      <c r="N1099">
        <v>1155.2</v>
      </c>
      <c r="O1099" t="s">
        <v>2788</v>
      </c>
    </row>
    <row r="1100" spans="1:15" x14ac:dyDescent="0.25">
      <c r="A1100" t="s">
        <v>55</v>
      </c>
      <c r="B1100" t="s">
        <v>47</v>
      </c>
      <c r="C1100">
        <v>3.3E-4</v>
      </c>
      <c r="D1100">
        <v>3.3000999999999998E-3</v>
      </c>
      <c r="E1100">
        <v>1E-8</v>
      </c>
      <c r="F1100" t="s">
        <v>13</v>
      </c>
      <c r="G1100" t="s">
        <v>11</v>
      </c>
      <c r="H1100">
        <v>5</v>
      </c>
      <c r="I1100">
        <v>10.01</v>
      </c>
      <c r="J1100" t="s">
        <v>10</v>
      </c>
      <c r="K1100">
        <v>0.35</v>
      </c>
      <c r="L1100">
        <v>5800</v>
      </c>
      <c r="M1100">
        <v>0.34654000000000001</v>
      </c>
      <c r="N1100">
        <v>5773.6</v>
      </c>
      <c r="O1100" t="s">
        <v>2347</v>
      </c>
    </row>
    <row r="1101" spans="1:15" x14ac:dyDescent="0.25">
      <c r="A1101" t="s">
        <v>55</v>
      </c>
      <c r="B1101" t="s">
        <v>47</v>
      </c>
      <c r="C1101">
        <v>3.3E-4</v>
      </c>
      <c r="D1101">
        <v>3.3000999999999998E-3</v>
      </c>
      <c r="E1101">
        <v>9.9999999999999995E-8</v>
      </c>
      <c r="F1101" t="s">
        <v>13</v>
      </c>
      <c r="G1101" t="s">
        <v>11</v>
      </c>
      <c r="H1101">
        <v>4.4999999999999998E-2</v>
      </c>
      <c r="I1101">
        <v>1.0000100000000001</v>
      </c>
      <c r="J1101" t="s">
        <v>10</v>
      </c>
      <c r="K1101">
        <v>0.18</v>
      </c>
      <c r="L1101">
        <v>1200</v>
      </c>
      <c r="M1101">
        <v>0.17651</v>
      </c>
      <c r="N1101">
        <v>1154.4000000000001</v>
      </c>
      <c r="O1101" t="s">
        <v>2353</v>
      </c>
    </row>
    <row r="1102" spans="1:15" x14ac:dyDescent="0.25">
      <c r="A1102" t="s">
        <v>55</v>
      </c>
      <c r="B1102" t="s">
        <v>47</v>
      </c>
      <c r="C1102">
        <v>3.3E-4</v>
      </c>
      <c r="D1102">
        <v>3.3000999999999998E-3</v>
      </c>
      <c r="E1102">
        <v>9.9999999999999995E-8</v>
      </c>
      <c r="F1102" t="s">
        <v>13</v>
      </c>
      <c r="G1102" t="s">
        <v>11</v>
      </c>
      <c r="H1102">
        <v>30</v>
      </c>
      <c r="I1102">
        <v>30.1</v>
      </c>
      <c r="J1102" t="s">
        <v>10</v>
      </c>
      <c r="K1102">
        <v>0.7</v>
      </c>
      <c r="L1102">
        <v>12000</v>
      </c>
      <c r="M1102">
        <v>0.69338999999999995</v>
      </c>
      <c r="N1102">
        <v>11547</v>
      </c>
      <c r="O1102" t="s">
        <v>2791</v>
      </c>
    </row>
    <row r="1103" spans="1:15" x14ac:dyDescent="0.25">
      <c r="A1103" t="s">
        <v>55</v>
      </c>
      <c r="B1103" t="s">
        <v>47</v>
      </c>
      <c r="C1103">
        <v>3.3E-4</v>
      </c>
      <c r="D1103">
        <v>3.3000999999999998E-3</v>
      </c>
      <c r="E1103">
        <v>9.9999999999999995E-8</v>
      </c>
      <c r="F1103" t="s">
        <v>13</v>
      </c>
      <c r="G1103" t="s">
        <v>11</v>
      </c>
      <c r="H1103">
        <v>0.01</v>
      </c>
      <c r="I1103">
        <v>2.001E-2</v>
      </c>
      <c r="J1103" t="s">
        <v>10</v>
      </c>
      <c r="K1103">
        <v>0.23</v>
      </c>
      <c r="L1103">
        <v>2300</v>
      </c>
      <c r="M1103">
        <v>0.17480999999999999</v>
      </c>
      <c r="N1103">
        <v>2314.9</v>
      </c>
      <c r="O1103" t="s">
        <v>2354</v>
      </c>
    </row>
    <row r="1104" spans="1:15" x14ac:dyDescent="0.25">
      <c r="A1104" t="s">
        <v>55</v>
      </c>
      <c r="B1104" t="s">
        <v>47</v>
      </c>
      <c r="C1104">
        <v>3.3E-4</v>
      </c>
      <c r="D1104">
        <v>3.3000999999999998E-3</v>
      </c>
      <c r="E1104">
        <v>9.9999999999999995E-8</v>
      </c>
      <c r="F1104" t="s">
        <v>13</v>
      </c>
      <c r="G1104" t="s">
        <v>11</v>
      </c>
      <c r="H1104">
        <v>0.02</v>
      </c>
      <c r="I1104">
        <v>4.5010000000000001E-2</v>
      </c>
      <c r="J1104" t="s">
        <v>10</v>
      </c>
      <c r="K1104">
        <v>0.32</v>
      </c>
      <c r="L1104">
        <v>1400</v>
      </c>
      <c r="M1104">
        <v>0.17604</v>
      </c>
      <c r="N1104">
        <v>1443.1</v>
      </c>
      <c r="O1104" t="s">
        <v>2356</v>
      </c>
    </row>
    <row r="1105" spans="1:15" x14ac:dyDescent="0.25">
      <c r="A1105" t="s">
        <v>55</v>
      </c>
      <c r="B1105" t="s">
        <v>47</v>
      </c>
      <c r="C1105">
        <v>3.3E-4</v>
      </c>
      <c r="D1105">
        <v>3.3000999999999998E-3</v>
      </c>
      <c r="E1105">
        <v>9.9999999999999995E-8</v>
      </c>
      <c r="F1105" t="s">
        <v>13</v>
      </c>
      <c r="G1105" t="s">
        <v>11</v>
      </c>
      <c r="H1105">
        <v>10</v>
      </c>
      <c r="I1105">
        <v>30</v>
      </c>
      <c r="J1105" t="s">
        <v>10</v>
      </c>
      <c r="K1105">
        <v>0.7</v>
      </c>
      <c r="L1105">
        <v>12000</v>
      </c>
      <c r="M1105">
        <v>0.69338999999999995</v>
      </c>
      <c r="N1105">
        <v>11547</v>
      </c>
      <c r="O1105" t="s">
        <v>2351</v>
      </c>
    </row>
    <row r="1106" spans="1:15" x14ac:dyDescent="0.25">
      <c r="A1106" t="s">
        <v>55</v>
      </c>
      <c r="B1106" t="s">
        <v>47</v>
      </c>
      <c r="C1106">
        <v>3.3E-4</v>
      </c>
      <c r="D1106">
        <v>3.3000999999999998E-3</v>
      </c>
      <c r="E1106">
        <v>9.9999999999999995E-8</v>
      </c>
      <c r="F1106" t="s">
        <v>13</v>
      </c>
      <c r="G1106" t="s">
        <v>11</v>
      </c>
      <c r="H1106">
        <v>1</v>
      </c>
      <c r="I1106">
        <v>5.01</v>
      </c>
      <c r="J1106" t="s">
        <v>10</v>
      </c>
      <c r="K1106">
        <v>0.27</v>
      </c>
      <c r="L1106">
        <v>2300</v>
      </c>
      <c r="M1106">
        <v>0.23280000000000001</v>
      </c>
      <c r="N1106">
        <v>2309.1999999999998</v>
      </c>
      <c r="O1106" t="s">
        <v>2355</v>
      </c>
    </row>
    <row r="1107" spans="1:15" x14ac:dyDescent="0.25">
      <c r="A1107" t="s">
        <v>55</v>
      </c>
      <c r="B1107" t="s">
        <v>47</v>
      </c>
      <c r="C1107">
        <v>3.3E-4</v>
      </c>
      <c r="D1107">
        <v>3.3000999999999998E-3</v>
      </c>
      <c r="E1107">
        <v>9.9999999999999995E-8</v>
      </c>
      <c r="F1107" t="s">
        <v>13</v>
      </c>
      <c r="G1107" t="s">
        <v>11</v>
      </c>
      <c r="H1107">
        <v>5</v>
      </c>
      <c r="I1107">
        <v>10.01</v>
      </c>
      <c r="J1107" t="s">
        <v>10</v>
      </c>
      <c r="K1107">
        <v>0.35</v>
      </c>
      <c r="L1107">
        <v>5800</v>
      </c>
      <c r="M1107">
        <v>0.34723999999999999</v>
      </c>
      <c r="N1107">
        <v>5773.4</v>
      </c>
      <c r="O1107" t="s">
        <v>2352</v>
      </c>
    </row>
    <row r="1108" spans="1:15" x14ac:dyDescent="0.25">
      <c r="A1108" t="s">
        <v>55</v>
      </c>
      <c r="B1108" t="s">
        <v>47</v>
      </c>
      <c r="C1108">
        <v>3.3E-4</v>
      </c>
      <c r="D1108">
        <v>3.3000999999999998E-3</v>
      </c>
      <c r="E1108">
        <v>9.9999999999999995E-7</v>
      </c>
      <c r="F1108" t="s">
        <v>13</v>
      </c>
      <c r="G1108" t="s">
        <v>11</v>
      </c>
      <c r="H1108">
        <v>5</v>
      </c>
      <c r="I1108">
        <v>10.01</v>
      </c>
      <c r="J1108" t="s">
        <v>10</v>
      </c>
      <c r="K1108">
        <v>0.41769000000000001</v>
      </c>
      <c r="L1108">
        <v>5779.5</v>
      </c>
      <c r="M1108">
        <v>0.4264</v>
      </c>
      <c r="N1108">
        <v>5752</v>
      </c>
      <c r="O1108" t="s">
        <v>2361</v>
      </c>
    </row>
    <row r="1109" spans="1:15" x14ac:dyDescent="0.25">
      <c r="A1109" t="s">
        <v>55</v>
      </c>
      <c r="B1109" t="s">
        <v>47</v>
      </c>
      <c r="C1109">
        <v>3.3E-4</v>
      </c>
      <c r="D1109">
        <v>3.3000999999999998E-3</v>
      </c>
      <c r="E1109">
        <v>9.9999999999999995E-7</v>
      </c>
      <c r="F1109" t="s">
        <v>13</v>
      </c>
      <c r="G1109" t="s">
        <v>11</v>
      </c>
      <c r="H1109">
        <v>0.01</v>
      </c>
      <c r="I1109">
        <v>2.001E-2</v>
      </c>
      <c r="J1109" t="s">
        <v>10</v>
      </c>
      <c r="K1109">
        <v>0.35293999999999998</v>
      </c>
      <c r="L1109">
        <v>2267.3000000000002</v>
      </c>
      <c r="M1109">
        <v>0.35227000000000003</v>
      </c>
      <c r="N1109">
        <v>2267.5</v>
      </c>
      <c r="O1109" t="s">
        <v>2792</v>
      </c>
    </row>
    <row r="1110" spans="1:15" x14ac:dyDescent="0.25">
      <c r="A1110" t="s">
        <v>55</v>
      </c>
      <c r="B1110" t="s">
        <v>47</v>
      </c>
      <c r="C1110">
        <v>3.3E-4</v>
      </c>
      <c r="D1110">
        <v>3.3000999999999998E-3</v>
      </c>
      <c r="E1110">
        <v>9.9999999999999995E-7</v>
      </c>
      <c r="F1110" t="s">
        <v>13</v>
      </c>
      <c r="G1110" t="s">
        <v>11</v>
      </c>
      <c r="H1110">
        <v>30</v>
      </c>
      <c r="I1110">
        <v>30.1</v>
      </c>
      <c r="J1110" t="s">
        <v>10</v>
      </c>
      <c r="K1110">
        <v>0.7</v>
      </c>
      <c r="L1110">
        <v>12000</v>
      </c>
      <c r="M1110">
        <v>0.7339</v>
      </c>
      <c r="N1110">
        <v>11536</v>
      </c>
      <c r="O1110" t="s">
        <v>2360</v>
      </c>
    </row>
    <row r="1111" spans="1:15" x14ac:dyDescent="0.25">
      <c r="A1111" t="s">
        <v>55</v>
      </c>
      <c r="B1111" t="s">
        <v>47</v>
      </c>
      <c r="C1111">
        <v>3.3E-4</v>
      </c>
      <c r="D1111">
        <v>3.3000999999999998E-3</v>
      </c>
      <c r="E1111">
        <v>9.9999999999999995E-7</v>
      </c>
      <c r="F1111" t="s">
        <v>13</v>
      </c>
      <c r="G1111" t="s">
        <v>11</v>
      </c>
      <c r="H1111">
        <v>10</v>
      </c>
      <c r="I1111">
        <v>30</v>
      </c>
      <c r="J1111" t="s">
        <v>10</v>
      </c>
      <c r="K1111">
        <v>0.7</v>
      </c>
      <c r="L1111">
        <v>12000</v>
      </c>
      <c r="M1111">
        <v>0.7339</v>
      </c>
      <c r="N1111">
        <v>11536</v>
      </c>
      <c r="O1111" t="s">
        <v>2358</v>
      </c>
    </row>
    <row r="1112" spans="1:15" x14ac:dyDescent="0.25">
      <c r="A1112" t="s">
        <v>55</v>
      </c>
      <c r="B1112" t="s">
        <v>47</v>
      </c>
      <c r="C1112">
        <v>3.3E-4</v>
      </c>
      <c r="D1112">
        <v>3.3000999999999998E-3</v>
      </c>
      <c r="E1112">
        <v>9.9999999999999995E-7</v>
      </c>
      <c r="F1112" t="s">
        <v>13</v>
      </c>
      <c r="G1112" t="s">
        <v>11</v>
      </c>
      <c r="H1112">
        <v>0.02</v>
      </c>
      <c r="I1112">
        <v>4.5010000000000001E-2</v>
      </c>
      <c r="J1112" t="s">
        <v>10</v>
      </c>
      <c r="K1112">
        <v>0.41399000000000002</v>
      </c>
      <c r="L1112">
        <v>1381.1</v>
      </c>
      <c r="M1112">
        <v>0.41349000000000002</v>
      </c>
      <c r="N1112">
        <v>1381.2</v>
      </c>
      <c r="O1112" t="s">
        <v>2359</v>
      </c>
    </row>
    <row r="1113" spans="1:15" x14ac:dyDescent="0.25">
      <c r="A1113" t="s">
        <v>55</v>
      </c>
      <c r="B1113" t="s">
        <v>47</v>
      </c>
      <c r="C1113">
        <v>3.3E-4</v>
      </c>
      <c r="D1113">
        <v>3.3000999999999998E-3</v>
      </c>
      <c r="E1113">
        <v>9.9999999999999995E-7</v>
      </c>
      <c r="F1113" t="s">
        <v>13</v>
      </c>
      <c r="G1113" t="s">
        <v>11</v>
      </c>
      <c r="H1113">
        <v>1</v>
      </c>
      <c r="I1113">
        <v>5.01</v>
      </c>
      <c r="J1113" t="s">
        <v>10</v>
      </c>
      <c r="K1113">
        <v>0.40200999999999998</v>
      </c>
      <c r="L1113">
        <v>2264.3000000000002</v>
      </c>
      <c r="M1113">
        <v>0.40155999999999997</v>
      </c>
      <c r="N1113">
        <v>2264.4</v>
      </c>
      <c r="O1113" t="s">
        <v>2362</v>
      </c>
    </row>
    <row r="1114" spans="1:15" x14ac:dyDescent="0.25">
      <c r="A1114" t="s">
        <v>55</v>
      </c>
      <c r="B1114" t="s">
        <v>47</v>
      </c>
      <c r="C1114">
        <v>3.3E-4</v>
      </c>
      <c r="D1114">
        <v>3.3000999999999998E-3</v>
      </c>
      <c r="E1114">
        <v>9.9999999999999995E-7</v>
      </c>
      <c r="F1114" t="s">
        <v>13</v>
      </c>
      <c r="G1114" t="s">
        <v>11</v>
      </c>
      <c r="H1114">
        <v>4.4999999999999998E-2</v>
      </c>
      <c r="I1114">
        <v>1.0000100000000001</v>
      </c>
      <c r="J1114" t="s">
        <v>10</v>
      </c>
      <c r="K1114">
        <v>0.43013000000000001</v>
      </c>
      <c r="L1114">
        <v>1124.2</v>
      </c>
      <c r="M1114">
        <v>0.44201000000000001</v>
      </c>
      <c r="N1114">
        <v>1086.4000000000001</v>
      </c>
      <c r="O1114" t="s">
        <v>2357</v>
      </c>
    </row>
    <row r="1115" spans="1:15" x14ac:dyDescent="0.25">
      <c r="A1115" t="s">
        <v>55</v>
      </c>
      <c r="B1115" t="s">
        <v>47</v>
      </c>
      <c r="C1115">
        <v>3.3E-4</v>
      </c>
      <c r="D1115">
        <v>3.3000999999999998E-3</v>
      </c>
      <c r="E1115">
        <v>1.0000000000000001E-5</v>
      </c>
      <c r="F1115" t="s">
        <v>13</v>
      </c>
      <c r="G1115" t="s">
        <v>11</v>
      </c>
      <c r="H1115">
        <v>0.02</v>
      </c>
      <c r="I1115">
        <v>4.5010000000000001E-2</v>
      </c>
      <c r="J1115" t="s">
        <v>10</v>
      </c>
      <c r="K1115">
        <v>5.6117999999999997</v>
      </c>
      <c r="L1115">
        <v>601.75</v>
      </c>
      <c r="M1115">
        <v>5.6113999999999997</v>
      </c>
      <c r="N1115">
        <v>601.72</v>
      </c>
      <c r="O1115" t="s">
        <v>2365</v>
      </c>
    </row>
    <row r="1116" spans="1:15" x14ac:dyDescent="0.25">
      <c r="A1116" t="s">
        <v>55</v>
      </c>
      <c r="B1116" t="s">
        <v>47</v>
      </c>
      <c r="C1116">
        <v>3.3E-4</v>
      </c>
      <c r="D1116">
        <v>3.3000999999999998E-3</v>
      </c>
      <c r="E1116">
        <v>1.0000000000000001E-5</v>
      </c>
      <c r="F1116" t="s">
        <v>13</v>
      </c>
      <c r="G1116" t="s">
        <v>11</v>
      </c>
      <c r="H1116">
        <v>1</v>
      </c>
      <c r="I1116">
        <v>5.01</v>
      </c>
      <c r="J1116" t="s">
        <v>10</v>
      </c>
      <c r="K1116">
        <v>5.4265999999999996</v>
      </c>
      <c r="L1116">
        <v>1309.3</v>
      </c>
      <c r="M1116">
        <v>5.4263000000000003</v>
      </c>
      <c r="N1116">
        <v>1309.3</v>
      </c>
      <c r="O1116" t="s">
        <v>2795</v>
      </c>
    </row>
    <row r="1117" spans="1:15" x14ac:dyDescent="0.25">
      <c r="A1117" t="s">
        <v>55</v>
      </c>
      <c r="B1117" t="s">
        <v>47</v>
      </c>
      <c r="C1117">
        <v>3.3E-4</v>
      </c>
      <c r="D1117">
        <v>3.3000999999999998E-3</v>
      </c>
      <c r="E1117">
        <v>1.0000000000000001E-5</v>
      </c>
      <c r="F1117" t="s">
        <v>13</v>
      </c>
      <c r="G1117" t="s">
        <v>11</v>
      </c>
      <c r="H1117">
        <v>4.4999999999999998E-2</v>
      </c>
      <c r="I1117">
        <v>1.0000100000000001</v>
      </c>
      <c r="J1117" t="s">
        <v>10</v>
      </c>
      <c r="K1117">
        <v>5.6654</v>
      </c>
      <c r="L1117">
        <v>409.29</v>
      </c>
      <c r="M1117">
        <v>5.6650999999999998</v>
      </c>
      <c r="N1117">
        <v>409.25</v>
      </c>
      <c r="O1117" t="s">
        <v>2363</v>
      </c>
    </row>
    <row r="1118" spans="1:15" x14ac:dyDescent="0.25">
      <c r="A1118" t="s">
        <v>55</v>
      </c>
      <c r="B1118" t="s">
        <v>47</v>
      </c>
      <c r="C1118">
        <v>3.3E-4</v>
      </c>
      <c r="D1118">
        <v>3.3000999999999998E-3</v>
      </c>
      <c r="E1118">
        <v>1.0000000000000001E-5</v>
      </c>
      <c r="F1118" t="s">
        <v>13</v>
      </c>
      <c r="G1118" t="s">
        <v>11</v>
      </c>
      <c r="H1118">
        <v>10</v>
      </c>
      <c r="I1118">
        <v>30</v>
      </c>
      <c r="J1118" t="s">
        <v>10</v>
      </c>
      <c r="K1118">
        <v>3.6591999999999998</v>
      </c>
      <c r="L1118">
        <v>11103</v>
      </c>
      <c r="M1118">
        <v>3.7772999999999999</v>
      </c>
      <c r="N1118">
        <v>10742</v>
      </c>
      <c r="O1118" t="s">
        <v>2366</v>
      </c>
    </row>
    <row r="1119" spans="1:15" x14ac:dyDescent="0.25">
      <c r="A1119" t="s">
        <v>55</v>
      </c>
      <c r="B1119" t="s">
        <v>47</v>
      </c>
      <c r="C1119">
        <v>3.3E-4</v>
      </c>
      <c r="D1119">
        <v>3.3000999999999998E-3</v>
      </c>
      <c r="E1119">
        <v>1.0000000000000001E-5</v>
      </c>
      <c r="F1119" t="s">
        <v>13</v>
      </c>
      <c r="G1119" t="s">
        <v>11</v>
      </c>
      <c r="H1119">
        <v>30</v>
      </c>
      <c r="I1119">
        <v>30.1</v>
      </c>
      <c r="J1119" t="s">
        <v>10</v>
      </c>
      <c r="K1119">
        <v>3.6591999999999998</v>
      </c>
      <c r="L1119">
        <v>11103</v>
      </c>
      <c r="M1119">
        <v>3.7772999999999999</v>
      </c>
      <c r="N1119">
        <v>10742</v>
      </c>
      <c r="O1119" t="s">
        <v>2794</v>
      </c>
    </row>
    <row r="1120" spans="1:15" x14ac:dyDescent="0.25">
      <c r="A1120" t="s">
        <v>55</v>
      </c>
      <c r="B1120" t="s">
        <v>47</v>
      </c>
      <c r="C1120">
        <v>3.3E-4</v>
      </c>
      <c r="D1120">
        <v>3.3000999999999998E-3</v>
      </c>
      <c r="E1120">
        <v>1.0000000000000001E-5</v>
      </c>
      <c r="F1120" t="s">
        <v>13</v>
      </c>
      <c r="G1120" t="s">
        <v>11</v>
      </c>
      <c r="H1120">
        <v>0.01</v>
      </c>
      <c r="I1120">
        <v>2.001E-2</v>
      </c>
      <c r="J1120" t="s">
        <v>10</v>
      </c>
      <c r="K1120">
        <v>5.4199000000000002</v>
      </c>
      <c r="L1120">
        <v>1301.8</v>
      </c>
      <c r="M1120">
        <v>5.4195000000000002</v>
      </c>
      <c r="N1120">
        <v>1301.8</v>
      </c>
      <c r="O1120" t="s">
        <v>2364</v>
      </c>
    </row>
    <row r="1121" spans="1:15" x14ac:dyDescent="0.25">
      <c r="A1121" t="s">
        <v>55</v>
      </c>
      <c r="B1121" t="s">
        <v>47</v>
      </c>
      <c r="C1121">
        <v>3.3E-4</v>
      </c>
      <c r="D1121">
        <v>3.3000999999999998E-3</v>
      </c>
      <c r="E1121">
        <v>1.0000000000000001E-5</v>
      </c>
      <c r="F1121" t="s">
        <v>13</v>
      </c>
      <c r="G1121" t="s">
        <v>11</v>
      </c>
      <c r="H1121">
        <v>5</v>
      </c>
      <c r="I1121">
        <v>10.01</v>
      </c>
      <c r="J1121" t="s">
        <v>10</v>
      </c>
      <c r="K1121">
        <v>4.6372999999999998</v>
      </c>
      <c r="L1121">
        <v>4728.3</v>
      </c>
      <c r="M1121">
        <v>4.6368999999999998</v>
      </c>
      <c r="N1121">
        <v>4728.3</v>
      </c>
      <c r="O1121" t="s">
        <v>2793</v>
      </c>
    </row>
    <row r="1122" spans="1:15" x14ac:dyDescent="0.25">
      <c r="A1122" t="s">
        <v>55</v>
      </c>
      <c r="B1122" t="s">
        <v>47</v>
      </c>
      <c r="C1122">
        <v>3.3E-4</v>
      </c>
      <c r="D1122">
        <v>3.3000999999999998E-3</v>
      </c>
      <c r="E1122">
        <v>1E-4</v>
      </c>
      <c r="F1122" t="s">
        <v>13</v>
      </c>
      <c r="G1122" t="s">
        <v>11</v>
      </c>
      <c r="H1122">
        <v>0.01</v>
      </c>
      <c r="I1122">
        <v>2.001E-2</v>
      </c>
      <c r="J1122" t="s">
        <v>10</v>
      </c>
      <c r="K1122">
        <v>57.686</v>
      </c>
      <c r="L1122">
        <v>174.69</v>
      </c>
      <c r="M1122">
        <v>57.685000000000002</v>
      </c>
      <c r="N1122">
        <v>174.66</v>
      </c>
      <c r="O1122" t="s">
        <v>2371</v>
      </c>
    </row>
    <row r="1123" spans="1:15" x14ac:dyDescent="0.25">
      <c r="A1123" t="s">
        <v>55</v>
      </c>
      <c r="B1123" t="s">
        <v>47</v>
      </c>
      <c r="C1123">
        <v>3.3E-4</v>
      </c>
      <c r="D1123">
        <v>3.3000999999999998E-3</v>
      </c>
      <c r="E1123">
        <v>1E-4</v>
      </c>
      <c r="F1123" t="s">
        <v>13</v>
      </c>
      <c r="G1123" t="s">
        <v>11</v>
      </c>
      <c r="H1123">
        <v>4.4999999999999998E-2</v>
      </c>
      <c r="I1123">
        <v>1.0000100000000001</v>
      </c>
      <c r="J1123" t="s">
        <v>10</v>
      </c>
      <c r="K1123">
        <v>57.722999999999999</v>
      </c>
      <c r="L1123">
        <v>45.396999999999998</v>
      </c>
      <c r="M1123">
        <v>57.722999999999999</v>
      </c>
      <c r="N1123">
        <v>45.366</v>
      </c>
      <c r="O1123" t="s">
        <v>2368</v>
      </c>
    </row>
    <row r="1124" spans="1:15" x14ac:dyDescent="0.25">
      <c r="A1124" t="s">
        <v>55</v>
      </c>
      <c r="B1124" t="s">
        <v>47</v>
      </c>
      <c r="C1124">
        <v>3.3E-4</v>
      </c>
      <c r="D1124">
        <v>3.3000999999999998E-3</v>
      </c>
      <c r="E1124">
        <v>1E-4</v>
      </c>
      <c r="F1124" t="s">
        <v>13</v>
      </c>
      <c r="G1124" t="s">
        <v>11</v>
      </c>
      <c r="H1124">
        <v>10</v>
      </c>
      <c r="I1124">
        <v>30</v>
      </c>
      <c r="J1124" t="s">
        <v>10</v>
      </c>
      <c r="K1124">
        <v>56.616999999999997</v>
      </c>
      <c r="L1124">
        <v>3922.7</v>
      </c>
      <c r="M1124">
        <v>56.616</v>
      </c>
      <c r="N1124">
        <v>3922.6</v>
      </c>
      <c r="O1124" t="s">
        <v>2796</v>
      </c>
    </row>
    <row r="1125" spans="1:15" x14ac:dyDescent="0.25">
      <c r="A1125" t="s">
        <v>55</v>
      </c>
      <c r="B1125" t="s">
        <v>47</v>
      </c>
      <c r="C1125">
        <v>3.3E-4</v>
      </c>
      <c r="D1125">
        <v>3.3000999999999998E-3</v>
      </c>
      <c r="E1125">
        <v>1E-4</v>
      </c>
      <c r="F1125" t="s">
        <v>13</v>
      </c>
      <c r="G1125" t="s">
        <v>11</v>
      </c>
      <c r="H1125">
        <v>30</v>
      </c>
      <c r="I1125">
        <v>30.1</v>
      </c>
      <c r="J1125" t="s">
        <v>10</v>
      </c>
      <c r="K1125">
        <v>56.616999999999997</v>
      </c>
      <c r="L1125">
        <v>3922.7</v>
      </c>
      <c r="M1125">
        <v>56.616</v>
      </c>
      <c r="N1125">
        <v>3922.6</v>
      </c>
      <c r="O1125" t="s">
        <v>2797</v>
      </c>
    </row>
    <row r="1126" spans="1:15" x14ac:dyDescent="0.25">
      <c r="A1126" t="s">
        <v>55</v>
      </c>
      <c r="B1126" t="s">
        <v>47</v>
      </c>
      <c r="C1126">
        <v>3.3E-4</v>
      </c>
      <c r="D1126">
        <v>3.3000999999999998E-3</v>
      </c>
      <c r="E1126">
        <v>1E-4</v>
      </c>
      <c r="F1126" t="s">
        <v>13</v>
      </c>
      <c r="G1126" t="s">
        <v>11</v>
      </c>
      <c r="H1126">
        <v>1</v>
      </c>
      <c r="I1126">
        <v>5.01</v>
      </c>
      <c r="J1126" t="s">
        <v>10</v>
      </c>
      <c r="K1126">
        <v>57.686</v>
      </c>
      <c r="L1126">
        <v>176.15</v>
      </c>
      <c r="M1126">
        <v>57.686</v>
      </c>
      <c r="N1126">
        <v>176.12</v>
      </c>
      <c r="O1126" t="s">
        <v>2370</v>
      </c>
    </row>
    <row r="1127" spans="1:15" x14ac:dyDescent="0.25">
      <c r="A1127" t="s">
        <v>55</v>
      </c>
      <c r="B1127" t="s">
        <v>47</v>
      </c>
      <c r="C1127">
        <v>3.3E-4</v>
      </c>
      <c r="D1127">
        <v>3.3000999999999998E-3</v>
      </c>
      <c r="E1127">
        <v>1E-4</v>
      </c>
      <c r="F1127" t="s">
        <v>13</v>
      </c>
      <c r="G1127" t="s">
        <v>11</v>
      </c>
      <c r="H1127">
        <v>5</v>
      </c>
      <c r="I1127">
        <v>10.01</v>
      </c>
      <c r="J1127" t="s">
        <v>10</v>
      </c>
      <c r="K1127">
        <v>57.432000000000002</v>
      </c>
      <c r="L1127">
        <v>1053.3</v>
      </c>
      <c r="M1127">
        <v>57.432000000000002</v>
      </c>
      <c r="N1127">
        <v>1053.2</v>
      </c>
      <c r="O1127" t="s">
        <v>2367</v>
      </c>
    </row>
    <row r="1128" spans="1:15" x14ac:dyDescent="0.25">
      <c r="A1128" t="s">
        <v>55</v>
      </c>
      <c r="B1128" t="s">
        <v>47</v>
      </c>
      <c r="C1128">
        <v>3.3E-4</v>
      </c>
      <c r="D1128">
        <v>3.3000999999999998E-3</v>
      </c>
      <c r="E1128">
        <v>1E-4</v>
      </c>
      <c r="F1128" t="s">
        <v>13</v>
      </c>
      <c r="G1128" t="s">
        <v>11</v>
      </c>
      <c r="H1128">
        <v>0.02</v>
      </c>
      <c r="I1128">
        <v>4.5010000000000001E-2</v>
      </c>
      <c r="J1128" t="s">
        <v>10</v>
      </c>
      <c r="K1128">
        <v>57.716000000000001</v>
      </c>
      <c r="L1128">
        <v>69.766000000000005</v>
      </c>
      <c r="M1128">
        <v>57.716000000000001</v>
      </c>
      <c r="N1128">
        <v>69.734999999999999</v>
      </c>
      <c r="O1128" t="s">
        <v>2369</v>
      </c>
    </row>
    <row r="1129" spans="1:15" x14ac:dyDescent="0.25">
      <c r="A1129" t="s">
        <v>55</v>
      </c>
      <c r="B1129" t="s">
        <v>47</v>
      </c>
      <c r="C1129">
        <v>3.3E-3</v>
      </c>
      <c r="D1129">
        <v>3.3001000000000003E-2</v>
      </c>
      <c r="E1129">
        <v>1E-8</v>
      </c>
      <c r="F1129" t="s">
        <v>13</v>
      </c>
      <c r="G1129" t="s">
        <v>11</v>
      </c>
      <c r="H1129">
        <v>10</v>
      </c>
      <c r="I1129">
        <v>30</v>
      </c>
      <c r="J1129" t="s">
        <v>10</v>
      </c>
      <c r="K1129">
        <v>5.3</v>
      </c>
      <c r="L1129">
        <v>4600</v>
      </c>
      <c r="M1129">
        <v>4.6162999999999998</v>
      </c>
      <c r="N1129">
        <v>4619.8999999999996</v>
      </c>
      <c r="O1129" t="s">
        <v>2372</v>
      </c>
    </row>
    <row r="1130" spans="1:15" x14ac:dyDescent="0.25">
      <c r="A1130" t="s">
        <v>55</v>
      </c>
      <c r="B1130" t="s">
        <v>47</v>
      </c>
      <c r="C1130">
        <v>3.3E-3</v>
      </c>
      <c r="D1130">
        <v>3.3001000000000003E-2</v>
      </c>
      <c r="E1130">
        <v>1E-8</v>
      </c>
      <c r="F1130" t="s">
        <v>13</v>
      </c>
      <c r="G1130" t="s">
        <v>11</v>
      </c>
      <c r="H1130">
        <v>1</v>
      </c>
      <c r="I1130">
        <v>5.01</v>
      </c>
      <c r="J1130" t="s">
        <v>10</v>
      </c>
      <c r="K1130">
        <v>2.4</v>
      </c>
      <c r="L1130">
        <v>930</v>
      </c>
      <c r="M1130">
        <v>2.3048000000000002</v>
      </c>
      <c r="N1130">
        <v>925.75</v>
      </c>
      <c r="O1130" t="s">
        <v>2375</v>
      </c>
    </row>
    <row r="1131" spans="1:15" x14ac:dyDescent="0.25">
      <c r="A1131" t="s">
        <v>55</v>
      </c>
      <c r="B1131" t="s">
        <v>47</v>
      </c>
      <c r="C1131">
        <v>3.3E-3</v>
      </c>
      <c r="D1131">
        <v>3.3001000000000003E-2</v>
      </c>
      <c r="E1131">
        <v>1E-8</v>
      </c>
      <c r="F1131" t="s">
        <v>13</v>
      </c>
      <c r="G1131" t="s">
        <v>11</v>
      </c>
      <c r="H1131">
        <v>5</v>
      </c>
      <c r="I1131">
        <v>10.01</v>
      </c>
      <c r="J1131" t="s">
        <v>10</v>
      </c>
      <c r="K1131">
        <v>3.8</v>
      </c>
      <c r="L1131">
        <v>2300</v>
      </c>
      <c r="M1131">
        <v>3.4643999999999999</v>
      </c>
      <c r="N1131">
        <v>2309.4</v>
      </c>
      <c r="O1131" t="s">
        <v>2376</v>
      </c>
    </row>
    <row r="1132" spans="1:15" x14ac:dyDescent="0.25">
      <c r="A1132" t="s">
        <v>55</v>
      </c>
      <c r="B1132" t="s">
        <v>47</v>
      </c>
      <c r="C1132">
        <v>3.3E-3</v>
      </c>
      <c r="D1132">
        <v>3.3001000000000003E-2</v>
      </c>
      <c r="E1132">
        <v>1E-8</v>
      </c>
      <c r="F1132" t="s">
        <v>13</v>
      </c>
      <c r="G1132" t="s">
        <v>11</v>
      </c>
      <c r="H1132">
        <v>4.4999999999999998E-2</v>
      </c>
      <c r="I1132">
        <v>1.0000100000000001</v>
      </c>
      <c r="J1132" t="s">
        <v>10</v>
      </c>
      <c r="K1132">
        <v>2.4</v>
      </c>
      <c r="L1132">
        <v>470</v>
      </c>
      <c r="M1132">
        <v>2.2997999999999998</v>
      </c>
      <c r="N1132">
        <v>465.62</v>
      </c>
      <c r="O1132" t="s">
        <v>2374</v>
      </c>
    </row>
    <row r="1133" spans="1:15" x14ac:dyDescent="0.25">
      <c r="A1133" t="s">
        <v>55</v>
      </c>
      <c r="B1133" t="s">
        <v>47</v>
      </c>
      <c r="C1133">
        <v>3.3E-3</v>
      </c>
      <c r="D1133">
        <v>3.3001000000000003E-2</v>
      </c>
      <c r="E1133">
        <v>1E-8</v>
      </c>
      <c r="F1133" t="s">
        <v>13</v>
      </c>
      <c r="G1133" t="s">
        <v>11</v>
      </c>
      <c r="H1133">
        <v>0.01</v>
      </c>
      <c r="I1133">
        <v>2.001E-2</v>
      </c>
      <c r="J1133" t="s">
        <v>10</v>
      </c>
      <c r="K1133">
        <v>2.4</v>
      </c>
      <c r="L1133">
        <v>2100</v>
      </c>
      <c r="M1133">
        <v>2.3005</v>
      </c>
      <c r="N1133">
        <v>2087.6</v>
      </c>
      <c r="O1133" t="s">
        <v>2373</v>
      </c>
    </row>
    <row r="1134" spans="1:15" x14ac:dyDescent="0.25">
      <c r="A1134" t="s">
        <v>55</v>
      </c>
      <c r="B1134" t="s">
        <v>47</v>
      </c>
      <c r="C1134">
        <v>3.3E-3</v>
      </c>
      <c r="D1134">
        <v>3.3001000000000003E-2</v>
      </c>
      <c r="E1134">
        <v>1E-8</v>
      </c>
      <c r="F1134" t="s">
        <v>13</v>
      </c>
      <c r="G1134" t="s">
        <v>11</v>
      </c>
      <c r="H1134">
        <v>0.02</v>
      </c>
      <c r="I1134">
        <v>4.5010000000000001E-2</v>
      </c>
      <c r="J1134" t="s">
        <v>10</v>
      </c>
      <c r="K1134">
        <v>3.8</v>
      </c>
      <c r="L1134">
        <v>1000</v>
      </c>
      <c r="M1134">
        <v>2.2968000000000002</v>
      </c>
      <c r="N1134">
        <v>1043.5999999999999</v>
      </c>
      <c r="O1134" t="s">
        <v>2798</v>
      </c>
    </row>
    <row r="1135" spans="1:15" x14ac:dyDescent="0.25">
      <c r="A1135" t="s">
        <v>55</v>
      </c>
      <c r="B1135" t="s">
        <v>47</v>
      </c>
      <c r="C1135">
        <v>3.3E-3</v>
      </c>
      <c r="D1135">
        <v>3.3001000000000003E-2</v>
      </c>
      <c r="E1135">
        <v>9.9999999999999995E-8</v>
      </c>
      <c r="F1135" t="s">
        <v>13</v>
      </c>
      <c r="G1135" t="s">
        <v>11</v>
      </c>
      <c r="H1135">
        <v>5</v>
      </c>
      <c r="I1135">
        <v>10.01</v>
      </c>
      <c r="J1135" t="s">
        <v>10</v>
      </c>
      <c r="K1135">
        <v>3.8</v>
      </c>
      <c r="L1135">
        <v>2300</v>
      </c>
      <c r="M1135">
        <v>3.4807000000000001</v>
      </c>
      <c r="N1135">
        <v>2309</v>
      </c>
      <c r="O1135" t="s">
        <v>2799</v>
      </c>
    </row>
    <row r="1136" spans="1:15" x14ac:dyDescent="0.25">
      <c r="A1136" t="s">
        <v>55</v>
      </c>
      <c r="B1136" t="s">
        <v>47</v>
      </c>
      <c r="C1136">
        <v>3.3E-3</v>
      </c>
      <c r="D1136">
        <v>3.3001000000000003E-2</v>
      </c>
      <c r="E1136">
        <v>9.9999999999999995E-8</v>
      </c>
      <c r="F1136" t="s">
        <v>13</v>
      </c>
      <c r="G1136" t="s">
        <v>11</v>
      </c>
      <c r="H1136">
        <v>10</v>
      </c>
      <c r="I1136">
        <v>30</v>
      </c>
      <c r="J1136" t="s">
        <v>10</v>
      </c>
      <c r="K1136">
        <v>5.3</v>
      </c>
      <c r="L1136">
        <v>4600</v>
      </c>
      <c r="M1136">
        <v>4.6261999999999999</v>
      </c>
      <c r="N1136">
        <v>4619.6000000000004</v>
      </c>
      <c r="O1136" t="s">
        <v>2380</v>
      </c>
    </row>
    <row r="1137" spans="1:15" x14ac:dyDescent="0.25">
      <c r="A1137" t="s">
        <v>55</v>
      </c>
      <c r="B1137" t="s">
        <v>47</v>
      </c>
      <c r="C1137">
        <v>3.3E-3</v>
      </c>
      <c r="D1137">
        <v>3.3001000000000003E-2</v>
      </c>
      <c r="E1137">
        <v>9.9999999999999995E-8</v>
      </c>
      <c r="F1137" t="s">
        <v>13</v>
      </c>
      <c r="G1137" t="s">
        <v>11</v>
      </c>
      <c r="H1137">
        <v>0.01</v>
      </c>
      <c r="I1137">
        <v>2.001E-2</v>
      </c>
      <c r="J1137" t="s">
        <v>10</v>
      </c>
      <c r="K1137">
        <v>2.4</v>
      </c>
      <c r="L1137">
        <v>2100</v>
      </c>
      <c r="M1137">
        <v>2.3157000000000001</v>
      </c>
      <c r="N1137">
        <v>2087.1</v>
      </c>
      <c r="O1137" t="s">
        <v>2378</v>
      </c>
    </row>
    <row r="1138" spans="1:15" x14ac:dyDescent="0.25">
      <c r="A1138" t="s">
        <v>55</v>
      </c>
      <c r="B1138" t="s">
        <v>47</v>
      </c>
      <c r="C1138">
        <v>3.3E-3</v>
      </c>
      <c r="D1138">
        <v>3.3001000000000003E-2</v>
      </c>
      <c r="E1138">
        <v>9.9999999999999995E-8</v>
      </c>
      <c r="F1138" t="s">
        <v>13</v>
      </c>
      <c r="G1138" t="s">
        <v>11</v>
      </c>
      <c r="H1138">
        <v>0.02</v>
      </c>
      <c r="I1138">
        <v>4.5010000000000001E-2</v>
      </c>
      <c r="J1138" t="s">
        <v>10</v>
      </c>
      <c r="K1138">
        <v>3.8</v>
      </c>
      <c r="L1138">
        <v>1000</v>
      </c>
      <c r="M1138">
        <v>2.3281999999999998</v>
      </c>
      <c r="N1138">
        <v>1042.8</v>
      </c>
      <c r="O1138" t="s">
        <v>2379</v>
      </c>
    </row>
    <row r="1139" spans="1:15" x14ac:dyDescent="0.25">
      <c r="A1139" t="s">
        <v>55</v>
      </c>
      <c r="B1139" t="s">
        <v>47</v>
      </c>
      <c r="C1139">
        <v>3.3E-3</v>
      </c>
      <c r="D1139">
        <v>3.3001000000000003E-2</v>
      </c>
      <c r="E1139">
        <v>9.9999999999999995E-8</v>
      </c>
      <c r="F1139" t="s">
        <v>13</v>
      </c>
      <c r="G1139" t="s">
        <v>11</v>
      </c>
      <c r="H1139">
        <v>1</v>
      </c>
      <c r="I1139">
        <v>5.01</v>
      </c>
      <c r="J1139" t="s">
        <v>10</v>
      </c>
      <c r="K1139">
        <v>2.4</v>
      </c>
      <c r="L1139">
        <v>930</v>
      </c>
      <c r="M1139">
        <v>2.3386</v>
      </c>
      <c r="N1139">
        <v>924.88</v>
      </c>
      <c r="O1139" t="s">
        <v>2800</v>
      </c>
    </row>
    <row r="1140" spans="1:15" x14ac:dyDescent="0.25">
      <c r="A1140" t="s">
        <v>55</v>
      </c>
      <c r="B1140" t="s">
        <v>47</v>
      </c>
      <c r="C1140">
        <v>3.3E-3</v>
      </c>
      <c r="D1140">
        <v>3.3001000000000003E-2</v>
      </c>
      <c r="E1140">
        <v>9.9999999999999995E-8</v>
      </c>
      <c r="F1140" t="s">
        <v>13</v>
      </c>
      <c r="G1140" t="s">
        <v>11</v>
      </c>
      <c r="H1140">
        <v>4.4999999999999998E-2</v>
      </c>
      <c r="I1140">
        <v>1.0000100000000001</v>
      </c>
      <c r="J1140" t="s">
        <v>10</v>
      </c>
      <c r="K1140">
        <v>2.4</v>
      </c>
      <c r="L1140">
        <v>470</v>
      </c>
      <c r="M1140">
        <v>2.3464</v>
      </c>
      <c r="N1140">
        <v>464.49</v>
      </c>
      <c r="O1140" t="s">
        <v>2377</v>
      </c>
    </row>
    <row r="1141" spans="1:15" x14ac:dyDescent="0.25">
      <c r="A1141" t="s">
        <v>55</v>
      </c>
      <c r="B1141" t="s">
        <v>47</v>
      </c>
      <c r="C1141">
        <v>3.3E-3</v>
      </c>
      <c r="D1141">
        <v>3.3001000000000003E-2</v>
      </c>
      <c r="E1141">
        <v>9.9999999999999995E-7</v>
      </c>
      <c r="F1141" t="s">
        <v>13</v>
      </c>
      <c r="G1141" t="s">
        <v>11</v>
      </c>
      <c r="H1141">
        <v>0.01</v>
      </c>
      <c r="I1141">
        <v>2.001E-2</v>
      </c>
      <c r="J1141" t="s">
        <v>10</v>
      </c>
      <c r="K1141">
        <v>4.0896999999999997</v>
      </c>
      <c r="L1141">
        <v>2048.8000000000002</v>
      </c>
      <c r="M1141">
        <v>4.1185</v>
      </c>
      <c r="N1141">
        <v>2039.5</v>
      </c>
      <c r="O1141" t="s">
        <v>2382</v>
      </c>
    </row>
    <row r="1142" spans="1:15" x14ac:dyDescent="0.25">
      <c r="A1142" t="s">
        <v>55</v>
      </c>
      <c r="B1142" t="s">
        <v>47</v>
      </c>
      <c r="C1142">
        <v>3.3E-3</v>
      </c>
      <c r="D1142">
        <v>3.3001000000000003E-2</v>
      </c>
      <c r="E1142">
        <v>9.9999999999999995E-7</v>
      </c>
      <c r="F1142" t="s">
        <v>13</v>
      </c>
      <c r="G1142" t="s">
        <v>11</v>
      </c>
      <c r="H1142">
        <v>5</v>
      </c>
      <c r="I1142">
        <v>10.01</v>
      </c>
      <c r="J1142" t="s">
        <v>10</v>
      </c>
      <c r="K1142">
        <v>5.0186000000000002</v>
      </c>
      <c r="L1142">
        <v>2268.6999999999998</v>
      </c>
      <c r="M1142">
        <v>5.0129000000000001</v>
      </c>
      <c r="N1142">
        <v>2268.8000000000002</v>
      </c>
      <c r="O1142" t="s">
        <v>2383</v>
      </c>
    </row>
    <row r="1143" spans="1:15" x14ac:dyDescent="0.25">
      <c r="A1143" t="s">
        <v>55</v>
      </c>
      <c r="B1143" t="s">
        <v>47</v>
      </c>
      <c r="C1143">
        <v>3.3E-3</v>
      </c>
      <c r="D1143">
        <v>3.3001000000000003E-2</v>
      </c>
      <c r="E1143">
        <v>9.9999999999999995E-7</v>
      </c>
      <c r="F1143" t="s">
        <v>13</v>
      </c>
      <c r="G1143" t="s">
        <v>11</v>
      </c>
      <c r="H1143">
        <v>1</v>
      </c>
      <c r="I1143">
        <v>5.01</v>
      </c>
      <c r="J1143" t="s">
        <v>10</v>
      </c>
      <c r="K1143">
        <v>5.0491000000000001</v>
      </c>
      <c r="L1143">
        <v>857.92</v>
      </c>
      <c r="M1143">
        <v>5.0465999999999998</v>
      </c>
      <c r="N1143">
        <v>857.92</v>
      </c>
      <c r="O1143" t="s">
        <v>2384</v>
      </c>
    </row>
    <row r="1144" spans="1:15" x14ac:dyDescent="0.25">
      <c r="A1144" t="s">
        <v>55</v>
      </c>
      <c r="B1144" t="s">
        <v>47</v>
      </c>
      <c r="C1144">
        <v>3.3E-3</v>
      </c>
      <c r="D1144">
        <v>3.3001000000000003E-2</v>
      </c>
      <c r="E1144">
        <v>9.9999999999999995E-7</v>
      </c>
      <c r="F1144" t="s">
        <v>13</v>
      </c>
      <c r="G1144" t="s">
        <v>11</v>
      </c>
      <c r="H1144">
        <v>0.02</v>
      </c>
      <c r="I1144">
        <v>4.5010000000000001E-2</v>
      </c>
      <c r="J1144" t="s">
        <v>10</v>
      </c>
      <c r="K1144">
        <v>4.9169999999999998</v>
      </c>
      <c r="L1144">
        <v>977.92</v>
      </c>
      <c r="M1144">
        <v>4.9145000000000003</v>
      </c>
      <c r="N1144">
        <v>977.93</v>
      </c>
      <c r="O1144" t="s">
        <v>2801</v>
      </c>
    </row>
    <row r="1145" spans="1:15" x14ac:dyDescent="0.25">
      <c r="A1145" t="s">
        <v>55</v>
      </c>
      <c r="B1145" t="s">
        <v>47</v>
      </c>
      <c r="C1145">
        <v>3.3E-3</v>
      </c>
      <c r="D1145">
        <v>3.3001000000000003E-2</v>
      </c>
      <c r="E1145">
        <v>9.9999999999999995E-7</v>
      </c>
      <c r="F1145" t="s">
        <v>13</v>
      </c>
      <c r="G1145" t="s">
        <v>11</v>
      </c>
      <c r="H1145">
        <v>4.4999999999999998E-2</v>
      </c>
      <c r="I1145">
        <v>1.0000100000000001</v>
      </c>
      <c r="J1145" t="s">
        <v>10</v>
      </c>
      <c r="K1145">
        <v>5.6395999999999997</v>
      </c>
      <c r="L1145">
        <v>392.41</v>
      </c>
      <c r="M1145">
        <v>5.6368999999999998</v>
      </c>
      <c r="N1145">
        <v>392.36</v>
      </c>
      <c r="O1145" t="s">
        <v>2802</v>
      </c>
    </row>
    <row r="1146" spans="1:15" x14ac:dyDescent="0.25">
      <c r="A1146" t="s">
        <v>55</v>
      </c>
      <c r="B1146" t="s">
        <v>47</v>
      </c>
      <c r="C1146">
        <v>3.3E-3</v>
      </c>
      <c r="D1146">
        <v>3.3001000000000003E-2</v>
      </c>
      <c r="E1146">
        <v>9.9999999999999995E-7</v>
      </c>
      <c r="F1146" t="s">
        <v>13</v>
      </c>
      <c r="G1146" t="s">
        <v>11</v>
      </c>
      <c r="H1146">
        <v>10</v>
      </c>
      <c r="I1146">
        <v>30</v>
      </c>
      <c r="J1146" t="s">
        <v>10</v>
      </c>
      <c r="K1146">
        <v>5.5293999999999999</v>
      </c>
      <c r="L1146">
        <v>4595.5</v>
      </c>
      <c r="M1146">
        <v>5.5179</v>
      </c>
      <c r="N1146">
        <v>4595.8</v>
      </c>
      <c r="O1146" t="s">
        <v>2381</v>
      </c>
    </row>
    <row r="1147" spans="1:15" x14ac:dyDescent="0.25">
      <c r="A1147" t="s">
        <v>55</v>
      </c>
      <c r="B1147" t="s">
        <v>47</v>
      </c>
      <c r="C1147">
        <v>3.3E-3</v>
      </c>
      <c r="D1147">
        <v>3.3001000000000003E-2</v>
      </c>
      <c r="E1147">
        <v>1.0000000000000001E-5</v>
      </c>
      <c r="F1147" t="s">
        <v>13</v>
      </c>
      <c r="G1147" t="s">
        <v>11</v>
      </c>
      <c r="H1147">
        <v>10</v>
      </c>
      <c r="I1147">
        <v>30</v>
      </c>
      <c r="J1147" t="s">
        <v>10</v>
      </c>
      <c r="K1147">
        <v>49.259</v>
      </c>
      <c r="L1147">
        <v>3578.8</v>
      </c>
      <c r="M1147">
        <v>49.247</v>
      </c>
      <c r="N1147">
        <v>3578.8</v>
      </c>
      <c r="O1147" t="s">
        <v>2385</v>
      </c>
    </row>
    <row r="1148" spans="1:15" x14ac:dyDescent="0.25">
      <c r="A1148" t="s">
        <v>55</v>
      </c>
      <c r="B1148" t="s">
        <v>47</v>
      </c>
      <c r="C1148">
        <v>3.3E-3</v>
      </c>
      <c r="D1148">
        <v>3.3001000000000003E-2</v>
      </c>
      <c r="E1148">
        <v>1.0000000000000001E-5</v>
      </c>
      <c r="F1148" t="s">
        <v>13</v>
      </c>
      <c r="G1148" t="s">
        <v>11</v>
      </c>
      <c r="H1148">
        <v>5</v>
      </c>
      <c r="I1148">
        <v>10.01</v>
      </c>
      <c r="J1148" t="s">
        <v>10</v>
      </c>
      <c r="K1148">
        <v>54.396999999999998</v>
      </c>
      <c r="L1148">
        <v>1333.5</v>
      </c>
      <c r="M1148">
        <v>54.39</v>
      </c>
      <c r="N1148">
        <v>1333.5</v>
      </c>
      <c r="O1148" t="s">
        <v>2804</v>
      </c>
    </row>
    <row r="1149" spans="1:15" x14ac:dyDescent="0.25">
      <c r="A1149" t="s">
        <v>55</v>
      </c>
      <c r="B1149" t="s">
        <v>47</v>
      </c>
      <c r="C1149">
        <v>3.3E-3</v>
      </c>
      <c r="D1149">
        <v>3.3001000000000003E-2</v>
      </c>
      <c r="E1149">
        <v>1.0000000000000001E-5</v>
      </c>
      <c r="F1149" t="s">
        <v>13</v>
      </c>
      <c r="G1149" t="s">
        <v>11</v>
      </c>
      <c r="H1149">
        <v>1</v>
      </c>
      <c r="I1149">
        <v>5.01</v>
      </c>
      <c r="J1149" t="s">
        <v>10</v>
      </c>
      <c r="K1149">
        <v>57.046999999999997</v>
      </c>
      <c r="L1149">
        <v>284.47000000000003</v>
      </c>
      <c r="M1149">
        <v>57.045000000000002</v>
      </c>
      <c r="N1149">
        <v>284.35000000000002</v>
      </c>
      <c r="O1149" t="s">
        <v>2803</v>
      </c>
    </row>
    <row r="1150" spans="1:15" x14ac:dyDescent="0.25">
      <c r="A1150" t="s">
        <v>55</v>
      </c>
      <c r="B1150" t="s">
        <v>47</v>
      </c>
      <c r="C1150">
        <v>3.3E-3</v>
      </c>
      <c r="D1150">
        <v>3.3001000000000003E-2</v>
      </c>
      <c r="E1150">
        <v>1.0000000000000001E-5</v>
      </c>
      <c r="F1150" t="s">
        <v>13</v>
      </c>
      <c r="G1150" t="s">
        <v>11</v>
      </c>
      <c r="H1150">
        <v>0.02</v>
      </c>
      <c r="I1150">
        <v>4.5010000000000001E-2</v>
      </c>
      <c r="J1150" t="s">
        <v>10</v>
      </c>
      <c r="K1150">
        <v>56.865000000000002</v>
      </c>
      <c r="L1150">
        <v>350.66</v>
      </c>
      <c r="M1150">
        <v>56.863</v>
      </c>
      <c r="N1150">
        <v>350.55</v>
      </c>
      <c r="O1150" t="s">
        <v>2387</v>
      </c>
    </row>
    <row r="1151" spans="1:15" x14ac:dyDescent="0.25">
      <c r="A1151" t="s">
        <v>55</v>
      </c>
      <c r="B1151" t="s">
        <v>47</v>
      </c>
      <c r="C1151">
        <v>3.3E-3</v>
      </c>
      <c r="D1151">
        <v>3.3001000000000003E-2</v>
      </c>
      <c r="E1151">
        <v>1.0000000000000001E-5</v>
      </c>
      <c r="F1151" t="s">
        <v>13</v>
      </c>
      <c r="G1151" t="s">
        <v>11</v>
      </c>
      <c r="H1151">
        <v>0.01</v>
      </c>
      <c r="I1151">
        <v>2.001E-2</v>
      </c>
      <c r="J1151" t="s">
        <v>10</v>
      </c>
      <c r="K1151">
        <v>54.774000000000001</v>
      </c>
      <c r="L1151">
        <v>1117.8</v>
      </c>
      <c r="M1151">
        <v>54.773000000000003</v>
      </c>
      <c r="N1151">
        <v>1117.7</v>
      </c>
      <c r="O1151" t="s">
        <v>2386</v>
      </c>
    </row>
    <row r="1152" spans="1:15" x14ac:dyDescent="0.25">
      <c r="A1152" t="s">
        <v>55</v>
      </c>
      <c r="B1152" t="s">
        <v>47</v>
      </c>
      <c r="C1152">
        <v>3.3E-3</v>
      </c>
      <c r="D1152">
        <v>3.3001000000000003E-2</v>
      </c>
      <c r="E1152">
        <v>1.0000000000000001E-5</v>
      </c>
      <c r="F1152" t="s">
        <v>13</v>
      </c>
      <c r="G1152" t="s">
        <v>11</v>
      </c>
      <c r="H1152">
        <v>4.4999999999999998E-2</v>
      </c>
      <c r="I1152">
        <v>1.0000100000000001</v>
      </c>
      <c r="J1152" t="s">
        <v>10</v>
      </c>
      <c r="K1152">
        <v>57.584000000000003</v>
      </c>
      <c r="L1152">
        <v>84.81</v>
      </c>
      <c r="M1152">
        <v>57.582999999999998</v>
      </c>
      <c r="N1152">
        <v>84.671999999999997</v>
      </c>
      <c r="O1152" t="s">
        <v>2388</v>
      </c>
    </row>
    <row r="1153" spans="1:15" x14ac:dyDescent="0.25">
      <c r="A1153" t="s">
        <v>55</v>
      </c>
      <c r="B1153" t="s">
        <v>47</v>
      </c>
      <c r="C1153">
        <v>3.3E-3</v>
      </c>
      <c r="D1153">
        <v>3.3001000000000003E-2</v>
      </c>
      <c r="E1153">
        <v>1E-4</v>
      </c>
      <c r="F1153" t="s">
        <v>13</v>
      </c>
      <c r="G1153" t="s">
        <v>11</v>
      </c>
      <c r="H1153">
        <v>1</v>
      </c>
      <c r="I1153">
        <v>5.01</v>
      </c>
      <c r="J1153" t="s">
        <v>10</v>
      </c>
      <c r="K1153">
        <v>577.28</v>
      </c>
      <c r="L1153">
        <v>30.67</v>
      </c>
      <c r="M1153">
        <v>577.28</v>
      </c>
      <c r="N1153">
        <v>30.611999999999998</v>
      </c>
      <c r="O1153" t="s">
        <v>2389</v>
      </c>
    </row>
    <row r="1154" spans="1:15" x14ac:dyDescent="0.25">
      <c r="A1154" t="s">
        <v>55</v>
      </c>
      <c r="B1154" t="s">
        <v>47</v>
      </c>
      <c r="C1154">
        <v>3.3E-3</v>
      </c>
      <c r="D1154">
        <v>3.3001000000000003E-2</v>
      </c>
      <c r="E1154">
        <v>1E-4</v>
      </c>
      <c r="F1154" t="s">
        <v>13</v>
      </c>
      <c r="G1154" t="s">
        <v>11</v>
      </c>
      <c r="H1154">
        <v>0.01</v>
      </c>
      <c r="I1154">
        <v>2.001E-2</v>
      </c>
      <c r="J1154" t="s">
        <v>10</v>
      </c>
      <c r="K1154">
        <v>576.95000000000005</v>
      </c>
      <c r="L1154">
        <v>144.81</v>
      </c>
      <c r="M1154">
        <v>576.95000000000005</v>
      </c>
      <c r="N1154">
        <v>144.75</v>
      </c>
      <c r="O1154" t="s">
        <v>2805</v>
      </c>
    </row>
    <row r="1155" spans="1:15" x14ac:dyDescent="0.25">
      <c r="A1155" t="s">
        <v>55</v>
      </c>
      <c r="B1155" t="s">
        <v>47</v>
      </c>
      <c r="C1155">
        <v>3.3E-3</v>
      </c>
      <c r="D1155">
        <v>3.3001000000000003E-2</v>
      </c>
      <c r="E1155">
        <v>1E-4</v>
      </c>
      <c r="F1155" t="s">
        <v>13</v>
      </c>
      <c r="G1155" t="s">
        <v>11</v>
      </c>
      <c r="H1155">
        <v>10</v>
      </c>
      <c r="I1155">
        <v>30</v>
      </c>
      <c r="J1155" t="s">
        <v>10</v>
      </c>
      <c r="K1155">
        <v>575.41</v>
      </c>
      <c r="L1155">
        <v>695.3</v>
      </c>
      <c r="M1155">
        <v>575.4</v>
      </c>
      <c r="N1155">
        <v>695.06</v>
      </c>
      <c r="O1155" t="s">
        <v>2390</v>
      </c>
    </row>
    <row r="1156" spans="1:15" x14ac:dyDescent="0.25">
      <c r="A1156" t="s">
        <v>55</v>
      </c>
      <c r="B1156" t="s">
        <v>47</v>
      </c>
      <c r="C1156">
        <v>3.3E-3</v>
      </c>
      <c r="D1156">
        <v>3.3001000000000003E-2</v>
      </c>
      <c r="E1156">
        <v>1E-4</v>
      </c>
      <c r="F1156" t="s">
        <v>13</v>
      </c>
      <c r="G1156" t="s">
        <v>11</v>
      </c>
      <c r="H1156">
        <v>5</v>
      </c>
      <c r="I1156">
        <v>10.01</v>
      </c>
      <c r="J1156" t="s">
        <v>10</v>
      </c>
      <c r="K1156">
        <v>576.87</v>
      </c>
      <c r="L1156">
        <v>180.75</v>
      </c>
      <c r="M1156">
        <v>576.87</v>
      </c>
      <c r="N1156">
        <v>180.65</v>
      </c>
      <c r="O1156" t="s">
        <v>2393</v>
      </c>
    </row>
    <row r="1157" spans="1:15" x14ac:dyDescent="0.25">
      <c r="A1157" t="s">
        <v>55</v>
      </c>
      <c r="B1157" t="s">
        <v>47</v>
      </c>
      <c r="C1157">
        <v>3.3E-3</v>
      </c>
      <c r="D1157">
        <v>3.3001000000000003E-2</v>
      </c>
      <c r="E1157">
        <v>1E-4</v>
      </c>
      <c r="F1157" t="s">
        <v>13</v>
      </c>
      <c r="G1157" t="s">
        <v>11</v>
      </c>
      <c r="H1157">
        <v>0.02</v>
      </c>
      <c r="I1157">
        <v>4.5010000000000001E-2</v>
      </c>
      <c r="J1157" t="s">
        <v>10</v>
      </c>
      <c r="K1157">
        <v>577.26</v>
      </c>
      <c r="L1157">
        <v>38.406999999999996</v>
      </c>
      <c r="M1157">
        <v>577.26</v>
      </c>
      <c r="N1157">
        <v>38.348999999999997</v>
      </c>
      <c r="O1157" t="s">
        <v>2806</v>
      </c>
    </row>
    <row r="1158" spans="1:15" x14ac:dyDescent="0.25">
      <c r="A1158" t="s">
        <v>55</v>
      </c>
      <c r="B1158" t="s">
        <v>47</v>
      </c>
      <c r="C1158">
        <v>3.3E-3</v>
      </c>
      <c r="D1158">
        <v>3.3001000000000003E-2</v>
      </c>
      <c r="E1158">
        <v>1E-4</v>
      </c>
      <c r="F1158" t="s">
        <v>13</v>
      </c>
      <c r="G1158" t="s">
        <v>11</v>
      </c>
      <c r="H1158">
        <v>4.4999999999999998E-2</v>
      </c>
      <c r="I1158">
        <v>1.0000100000000001</v>
      </c>
      <c r="J1158" t="s">
        <v>10</v>
      </c>
      <c r="K1158">
        <v>577.34</v>
      </c>
      <c r="L1158">
        <v>8.7265999999999995</v>
      </c>
      <c r="M1158">
        <v>577.34</v>
      </c>
      <c r="N1158">
        <v>8.6681000000000008</v>
      </c>
      <c r="O1158" t="s">
        <v>2392</v>
      </c>
    </row>
    <row r="1159" spans="1:15" x14ac:dyDescent="0.25">
      <c r="A1159" t="s">
        <v>55</v>
      </c>
      <c r="B1159" t="s">
        <v>47</v>
      </c>
      <c r="C1159">
        <v>3.3E-3</v>
      </c>
      <c r="D1159">
        <v>3.3001000000000003E-2</v>
      </c>
      <c r="E1159">
        <v>1E-4</v>
      </c>
      <c r="F1159" t="s">
        <v>13</v>
      </c>
      <c r="G1159" t="s">
        <v>11</v>
      </c>
      <c r="H1159">
        <v>30</v>
      </c>
      <c r="I1159">
        <v>30.01</v>
      </c>
      <c r="J1159" t="s">
        <v>10</v>
      </c>
      <c r="K1159">
        <v>575.41</v>
      </c>
      <c r="L1159">
        <v>695.3</v>
      </c>
      <c r="M1159">
        <v>575.4</v>
      </c>
      <c r="N1159">
        <v>695.06</v>
      </c>
      <c r="O1159" t="s">
        <v>2391</v>
      </c>
    </row>
    <row r="1160" spans="1:15" x14ac:dyDescent="0.25">
      <c r="A1160" t="s">
        <v>55</v>
      </c>
      <c r="B1160" t="s">
        <v>47</v>
      </c>
      <c r="C1160">
        <v>3.3000000000000002E-2</v>
      </c>
      <c r="D1160">
        <v>0.33001000000000003</v>
      </c>
      <c r="E1160">
        <v>9.9999999999999995E-7</v>
      </c>
      <c r="F1160" t="s">
        <v>13</v>
      </c>
      <c r="G1160" t="s">
        <v>12</v>
      </c>
      <c r="H1160">
        <v>5</v>
      </c>
      <c r="I1160">
        <v>10.01</v>
      </c>
      <c r="J1160" t="s">
        <v>10</v>
      </c>
      <c r="K1160">
        <v>0.12</v>
      </c>
      <c r="L1160">
        <v>2.2999999999999998</v>
      </c>
      <c r="M1160">
        <v>0.11543</v>
      </c>
      <c r="N1160">
        <v>2.3113999999999999</v>
      </c>
      <c r="O1160" t="s">
        <v>2396</v>
      </c>
    </row>
    <row r="1161" spans="1:15" x14ac:dyDescent="0.25">
      <c r="A1161" t="s">
        <v>55</v>
      </c>
      <c r="B1161" t="s">
        <v>47</v>
      </c>
      <c r="C1161">
        <v>3.3000000000000002E-2</v>
      </c>
      <c r="D1161">
        <v>0.33001000000000003</v>
      </c>
      <c r="E1161">
        <v>9.9999999999999995E-7</v>
      </c>
      <c r="F1161" t="s">
        <v>13</v>
      </c>
      <c r="G1161" t="s">
        <v>12</v>
      </c>
      <c r="H1161">
        <v>4.4999999999999998E-2</v>
      </c>
      <c r="I1161">
        <v>1.0000100000000001</v>
      </c>
      <c r="J1161" t="s">
        <v>10</v>
      </c>
      <c r="K1161">
        <v>2.4E-2</v>
      </c>
      <c r="L1161">
        <v>0.47</v>
      </c>
      <c r="M1161">
        <v>2.282E-2</v>
      </c>
      <c r="N1161">
        <v>0.47204000000000002</v>
      </c>
      <c r="O1161" t="s">
        <v>2394</v>
      </c>
    </row>
    <row r="1162" spans="1:15" x14ac:dyDescent="0.25">
      <c r="A1162" t="s">
        <v>55</v>
      </c>
      <c r="B1162" t="s">
        <v>47</v>
      </c>
      <c r="C1162">
        <v>3.3000000000000002E-2</v>
      </c>
      <c r="D1162">
        <v>0.33001000000000003</v>
      </c>
      <c r="E1162">
        <v>9.9999999999999995E-7</v>
      </c>
      <c r="F1162" t="s">
        <v>13</v>
      </c>
      <c r="G1162" t="s">
        <v>12</v>
      </c>
      <c r="H1162">
        <v>10</v>
      </c>
      <c r="I1162">
        <v>30</v>
      </c>
      <c r="J1162" t="s">
        <v>10</v>
      </c>
      <c r="K1162">
        <v>0.24</v>
      </c>
      <c r="L1162">
        <v>4.5999999999999996</v>
      </c>
      <c r="M1162">
        <v>0.23085</v>
      </c>
      <c r="N1162">
        <v>4.6219000000000001</v>
      </c>
      <c r="O1162" t="s">
        <v>2397</v>
      </c>
    </row>
    <row r="1163" spans="1:15" x14ac:dyDescent="0.25">
      <c r="A1163" t="s">
        <v>55</v>
      </c>
      <c r="B1163" t="s">
        <v>47</v>
      </c>
      <c r="C1163">
        <v>3.3000000000000002E-2</v>
      </c>
      <c r="D1163">
        <v>0.33001000000000003</v>
      </c>
      <c r="E1163">
        <v>9.9999999999999995E-7</v>
      </c>
      <c r="F1163" t="s">
        <v>13</v>
      </c>
      <c r="G1163" t="s">
        <v>12</v>
      </c>
      <c r="H1163">
        <v>0.01</v>
      </c>
      <c r="I1163">
        <v>2.001E-2</v>
      </c>
      <c r="J1163" t="s">
        <v>10</v>
      </c>
      <c r="K1163">
        <v>2.3E-2</v>
      </c>
      <c r="L1163">
        <v>2.1</v>
      </c>
      <c r="M1163">
        <v>2.2917E-2</v>
      </c>
      <c r="N1163">
        <v>2.0907</v>
      </c>
      <c r="O1163" t="s">
        <v>2400</v>
      </c>
    </row>
    <row r="1164" spans="1:15" x14ac:dyDescent="0.25">
      <c r="A1164" t="s">
        <v>55</v>
      </c>
      <c r="B1164" t="s">
        <v>47</v>
      </c>
      <c r="C1164">
        <v>3.3000000000000002E-2</v>
      </c>
      <c r="D1164">
        <v>0.33001000000000003</v>
      </c>
      <c r="E1164">
        <v>9.9999999999999995E-7</v>
      </c>
      <c r="F1164" t="s">
        <v>13</v>
      </c>
      <c r="G1164" t="s">
        <v>12</v>
      </c>
      <c r="H1164">
        <v>1</v>
      </c>
      <c r="I1164">
        <v>5.01</v>
      </c>
      <c r="J1164" t="s">
        <v>10</v>
      </c>
      <c r="K1164">
        <v>5.8000000000000003E-2</v>
      </c>
      <c r="L1164">
        <v>1.2</v>
      </c>
      <c r="M1164">
        <v>5.7624000000000002E-2</v>
      </c>
      <c r="N1164">
        <v>1.1588000000000001</v>
      </c>
      <c r="O1164" t="s">
        <v>2399</v>
      </c>
    </row>
    <row r="1165" spans="1:15" x14ac:dyDescent="0.25">
      <c r="A1165" t="s">
        <v>55</v>
      </c>
      <c r="B1165" t="s">
        <v>47</v>
      </c>
      <c r="C1165">
        <v>3.3000000000000002E-2</v>
      </c>
      <c r="D1165">
        <v>0.33001000000000003</v>
      </c>
      <c r="E1165">
        <v>9.9999999999999995E-7</v>
      </c>
      <c r="F1165" t="s">
        <v>13</v>
      </c>
      <c r="G1165" t="s">
        <v>12</v>
      </c>
      <c r="H1165">
        <v>30</v>
      </c>
      <c r="I1165">
        <v>30.01</v>
      </c>
      <c r="J1165" t="s">
        <v>10</v>
      </c>
      <c r="K1165">
        <v>0.24</v>
      </c>
      <c r="L1165">
        <v>4.5999999999999996</v>
      </c>
      <c r="M1165">
        <v>0.23085</v>
      </c>
      <c r="N1165">
        <v>4.6219000000000001</v>
      </c>
      <c r="O1165" t="s">
        <v>2395</v>
      </c>
    </row>
    <row r="1166" spans="1:15" x14ac:dyDescent="0.25">
      <c r="A1166" t="s">
        <v>55</v>
      </c>
      <c r="B1166" t="s">
        <v>47</v>
      </c>
      <c r="C1166">
        <v>3.3000000000000002E-2</v>
      </c>
      <c r="D1166">
        <v>0.33001000000000003</v>
      </c>
      <c r="E1166">
        <v>9.9999999999999995E-7</v>
      </c>
      <c r="F1166" t="s">
        <v>13</v>
      </c>
      <c r="G1166" t="s">
        <v>12</v>
      </c>
      <c r="H1166">
        <v>0.02</v>
      </c>
      <c r="I1166">
        <v>4.5010000000000001E-2</v>
      </c>
      <c r="J1166" t="s">
        <v>10</v>
      </c>
      <c r="K1166">
        <v>3.7999999999999999E-2</v>
      </c>
      <c r="L1166">
        <v>1</v>
      </c>
      <c r="M1166">
        <v>2.3094E-2</v>
      </c>
      <c r="N1166">
        <v>1.0436000000000001</v>
      </c>
      <c r="O1166" t="s">
        <v>2398</v>
      </c>
    </row>
    <row r="1167" spans="1:15" x14ac:dyDescent="0.25">
      <c r="A1167" t="s">
        <v>55</v>
      </c>
      <c r="B1167" t="s">
        <v>47</v>
      </c>
      <c r="C1167">
        <v>3.3000000000000002E-2</v>
      </c>
      <c r="D1167">
        <v>0.33001000000000003</v>
      </c>
      <c r="E1167">
        <v>1.0000000000000001E-5</v>
      </c>
      <c r="F1167" t="s">
        <v>13</v>
      </c>
      <c r="G1167" t="s">
        <v>12</v>
      </c>
      <c r="H1167">
        <v>1</v>
      </c>
      <c r="I1167">
        <v>5.01</v>
      </c>
      <c r="J1167" t="s">
        <v>10</v>
      </c>
      <c r="K1167">
        <v>5.8000000000000003E-2</v>
      </c>
      <c r="L1167">
        <v>1.2</v>
      </c>
      <c r="M1167">
        <v>5.7825000000000001E-2</v>
      </c>
      <c r="N1167">
        <v>1.1583000000000001</v>
      </c>
      <c r="O1167" t="s">
        <v>2402</v>
      </c>
    </row>
    <row r="1168" spans="1:15" x14ac:dyDescent="0.25">
      <c r="A1168" t="s">
        <v>55</v>
      </c>
      <c r="B1168" t="s">
        <v>47</v>
      </c>
      <c r="C1168">
        <v>3.3000000000000002E-2</v>
      </c>
      <c r="D1168">
        <v>0.33001000000000003</v>
      </c>
      <c r="E1168">
        <v>1.0000000000000001E-5</v>
      </c>
      <c r="F1168" t="s">
        <v>13</v>
      </c>
      <c r="G1168" t="s">
        <v>12</v>
      </c>
      <c r="H1168">
        <v>4.4999999999999998E-2</v>
      </c>
      <c r="I1168">
        <v>1.0000100000000001</v>
      </c>
      <c r="J1168" t="s">
        <v>10</v>
      </c>
      <c r="K1168">
        <v>2.4E-2</v>
      </c>
      <c r="L1168">
        <v>0.47</v>
      </c>
      <c r="M1168">
        <v>2.3285E-2</v>
      </c>
      <c r="N1168">
        <v>0.47091</v>
      </c>
      <c r="O1168" t="s">
        <v>2808</v>
      </c>
    </row>
    <row r="1169" spans="1:15" x14ac:dyDescent="0.25">
      <c r="A1169" t="s">
        <v>55</v>
      </c>
      <c r="B1169" t="s">
        <v>47</v>
      </c>
      <c r="C1169">
        <v>3.3000000000000002E-2</v>
      </c>
      <c r="D1169">
        <v>0.33001000000000003</v>
      </c>
      <c r="E1169">
        <v>1.0000000000000001E-5</v>
      </c>
      <c r="F1169" t="s">
        <v>13</v>
      </c>
      <c r="G1169" t="s">
        <v>12</v>
      </c>
      <c r="H1169">
        <v>0.02</v>
      </c>
      <c r="I1169">
        <v>4.5010000000000001E-2</v>
      </c>
      <c r="J1169" t="s">
        <v>10</v>
      </c>
      <c r="K1169">
        <v>3.7999999999999999E-2</v>
      </c>
      <c r="L1169">
        <v>1</v>
      </c>
      <c r="M1169">
        <v>2.3358E-2</v>
      </c>
      <c r="N1169">
        <v>1.0427999999999999</v>
      </c>
      <c r="O1169" t="s">
        <v>2401</v>
      </c>
    </row>
    <row r="1170" spans="1:15" x14ac:dyDescent="0.25">
      <c r="A1170" t="s">
        <v>55</v>
      </c>
      <c r="B1170" t="s">
        <v>47</v>
      </c>
      <c r="C1170">
        <v>3.3000000000000002E-2</v>
      </c>
      <c r="D1170">
        <v>0.33001000000000003</v>
      </c>
      <c r="E1170">
        <v>1.0000000000000001E-5</v>
      </c>
      <c r="F1170" t="s">
        <v>13</v>
      </c>
      <c r="G1170" t="s">
        <v>12</v>
      </c>
      <c r="H1170">
        <v>0.01</v>
      </c>
      <c r="I1170">
        <v>2.001E-2</v>
      </c>
      <c r="J1170" t="s">
        <v>10</v>
      </c>
      <c r="K1170">
        <v>2.3E-2</v>
      </c>
      <c r="L1170">
        <v>2.1</v>
      </c>
      <c r="M1170">
        <v>2.3129E-2</v>
      </c>
      <c r="N1170">
        <v>2.0901000000000001</v>
      </c>
      <c r="O1170" t="s">
        <v>2404</v>
      </c>
    </row>
    <row r="1171" spans="1:15" x14ac:dyDescent="0.25">
      <c r="A1171" t="s">
        <v>55</v>
      </c>
      <c r="B1171" t="s">
        <v>47</v>
      </c>
      <c r="C1171">
        <v>3.3000000000000002E-2</v>
      </c>
      <c r="D1171">
        <v>0.33001000000000003</v>
      </c>
      <c r="E1171">
        <v>1.0000000000000001E-5</v>
      </c>
      <c r="F1171" t="s">
        <v>13</v>
      </c>
      <c r="G1171" t="s">
        <v>12</v>
      </c>
      <c r="H1171">
        <v>5</v>
      </c>
      <c r="I1171">
        <v>10.01</v>
      </c>
      <c r="J1171" t="s">
        <v>10</v>
      </c>
      <c r="K1171">
        <v>0.12</v>
      </c>
      <c r="L1171">
        <v>2.2999999999999998</v>
      </c>
      <c r="M1171">
        <v>0.11552</v>
      </c>
      <c r="N1171">
        <v>2.3111999999999999</v>
      </c>
      <c r="O1171" t="s">
        <v>2807</v>
      </c>
    </row>
    <row r="1172" spans="1:15" x14ac:dyDescent="0.25">
      <c r="A1172" t="s">
        <v>55</v>
      </c>
      <c r="B1172" t="s">
        <v>47</v>
      </c>
      <c r="C1172">
        <v>3.3000000000000002E-2</v>
      </c>
      <c r="D1172">
        <v>0.33001000000000003</v>
      </c>
      <c r="E1172">
        <v>1.0000000000000001E-5</v>
      </c>
      <c r="F1172" t="s">
        <v>13</v>
      </c>
      <c r="G1172" t="s">
        <v>12</v>
      </c>
      <c r="H1172">
        <v>10</v>
      </c>
      <c r="I1172">
        <v>30</v>
      </c>
      <c r="J1172" t="s">
        <v>10</v>
      </c>
      <c r="K1172">
        <v>0.24</v>
      </c>
      <c r="L1172">
        <v>4.5999999999999996</v>
      </c>
      <c r="M1172">
        <v>0.23089999999999999</v>
      </c>
      <c r="N1172">
        <v>4.6218000000000004</v>
      </c>
      <c r="O1172" t="s">
        <v>2403</v>
      </c>
    </row>
    <row r="1173" spans="1:15" x14ac:dyDescent="0.25">
      <c r="A1173" t="s">
        <v>55</v>
      </c>
      <c r="B1173" t="s">
        <v>47</v>
      </c>
      <c r="C1173">
        <v>3.3000000000000002E-2</v>
      </c>
      <c r="D1173">
        <v>0.33001000000000003</v>
      </c>
      <c r="E1173">
        <v>1.0000000000000001E-5</v>
      </c>
      <c r="F1173" t="s">
        <v>13</v>
      </c>
      <c r="G1173" t="s">
        <v>12</v>
      </c>
      <c r="H1173">
        <v>30</v>
      </c>
      <c r="I1173">
        <v>30.01</v>
      </c>
      <c r="J1173" t="s">
        <v>10</v>
      </c>
      <c r="K1173">
        <v>0.24</v>
      </c>
      <c r="L1173">
        <v>4.5999999999999996</v>
      </c>
      <c r="M1173">
        <v>0.23089999999999999</v>
      </c>
      <c r="N1173">
        <v>4.6218000000000004</v>
      </c>
      <c r="O1173" t="s">
        <v>2405</v>
      </c>
    </row>
    <row r="1174" spans="1:15" x14ac:dyDescent="0.25">
      <c r="A1174" t="s">
        <v>55</v>
      </c>
      <c r="B1174" t="s">
        <v>47</v>
      </c>
      <c r="C1174">
        <v>3.3000000000000002E-2</v>
      </c>
      <c r="D1174">
        <v>0.33001000000000003</v>
      </c>
      <c r="E1174">
        <v>1E-4</v>
      </c>
      <c r="F1174" t="s">
        <v>13</v>
      </c>
      <c r="G1174" t="s">
        <v>12</v>
      </c>
      <c r="H1174">
        <v>10</v>
      </c>
      <c r="I1174">
        <v>30</v>
      </c>
      <c r="J1174" t="s">
        <v>10</v>
      </c>
      <c r="K1174">
        <v>0.24</v>
      </c>
      <c r="L1174">
        <v>4.5999999999999996</v>
      </c>
      <c r="M1174">
        <v>0.23555999999999999</v>
      </c>
      <c r="N1174">
        <v>4.6105</v>
      </c>
      <c r="O1174" t="s">
        <v>2407</v>
      </c>
    </row>
    <row r="1175" spans="1:15" x14ac:dyDescent="0.25">
      <c r="A1175" t="s">
        <v>55</v>
      </c>
      <c r="B1175" t="s">
        <v>47</v>
      </c>
      <c r="C1175">
        <v>3.3000000000000002E-2</v>
      </c>
      <c r="D1175">
        <v>0.33001000000000003</v>
      </c>
      <c r="E1175">
        <v>1E-4</v>
      </c>
      <c r="F1175" t="s">
        <v>13</v>
      </c>
      <c r="G1175" t="s">
        <v>12</v>
      </c>
      <c r="H1175">
        <v>5</v>
      </c>
      <c r="I1175">
        <v>10.01</v>
      </c>
      <c r="J1175" t="s">
        <v>10</v>
      </c>
      <c r="K1175">
        <v>0.12471</v>
      </c>
      <c r="L1175">
        <v>2.2890999999999999</v>
      </c>
      <c r="M1175">
        <v>0.12466000000000001</v>
      </c>
      <c r="N1175">
        <v>2.2892000000000001</v>
      </c>
      <c r="O1175" t="s">
        <v>2409</v>
      </c>
    </row>
    <row r="1176" spans="1:15" x14ac:dyDescent="0.25">
      <c r="A1176" t="s">
        <v>55</v>
      </c>
      <c r="B1176" t="s">
        <v>47</v>
      </c>
      <c r="C1176">
        <v>3.3000000000000002E-2</v>
      </c>
      <c r="D1176">
        <v>0.33001000000000003</v>
      </c>
      <c r="E1176">
        <v>1E-4</v>
      </c>
      <c r="F1176" t="s">
        <v>13</v>
      </c>
      <c r="G1176" t="s">
        <v>12</v>
      </c>
      <c r="H1176">
        <v>30</v>
      </c>
      <c r="I1176">
        <v>30.01</v>
      </c>
      <c r="J1176" t="s">
        <v>10</v>
      </c>
      <c r="K1176">
        <v>0.24</v>
      </c>
      <c r="L1176">
        <v>4.5999999999999996</v>
      </c>
      <c r="M1176">
        <v>0.23555999999999999</v>
      </c>
      <c r="N1176">
        <v>4.6105</v>
      </c>
      <c r="O1176" t="s">
        <v>2809</v>
      </c>
    </row>
    <row r="1177" spans="1:15" x14ac:dyDescent="0.25">
      <c r="A1177" t="s">
        <v>55</v>
      </c>
      <c r="B1177" t="s">
        <v>47</v>
      </c>
      <c r="C1177">
        <v>3.3000000000000002E-2</v>
      </c>
      <c r="D1177">
        <v>0.33001000000000003</v>
      </c>
      <c r="E1177">
        <v>1E-4</v>
      </c>
      <c r="F1177" t="s">
        <v>13</v>
      </c>
      <c r="G1177" t="s">
        <v>12</v>
      </c>
      <c r="H1177">
        <v>0.02</v>
      </c>
      <c r="I1177">
        <v>4.5010000000000001E-2</v>
      </c>
      <c r="J1177" t="s">
        <v>10</v>
      </c>
      <c r="K1177">
        <v>4.9202999999999997E-2</v>
      </c>
      <c r="L1177">
        <v>0.97804000000000002</v>
      </c>
      <c r="M1177">
        <v>4.9192E-2</v>
      </c>
      <c r="N1177">
        <v>0.97804000000000002</v>
      </c>
      <c r="O1177" t="s">
        <v>2810</v>
      </c>
    </row>
    <row r="1178" spans="1:15" x14ac:dyDescent="0.25">
      <c r="A1178" t="s">
        <v>55</v>
      </c>
      <c r="B1178" t="s">
        <v>47</v>
      </c>
      <c r="C1178">
        <v>3.3000000000000002E-2</v>
      </c>
      <c r="D1178">
        <v>0.33001000000000003</v>
      </c>
      <c r="E1178">
        <v>1E-4</v>
      </c>
      <c r="F1178" t="s">
        <v>13</v>
      </c>
      <c r="G1178" t="s">
        <v>12</v>
      </c>
      <c r="H1178">
        <v>1</v>
      </c>
      <c r="I1178">
        <v>5.01</v>
      </c>
      <c r="J1178" t="s">
        <v>10</v>
      </c>
      <c r="K1178">
        <v>7.3934E-2</v>
      </c>
      <c r="L1178">
        <v>1.1516999999999999</v>
      </c>
      <c r="M1178">
        <v>7.5028999999999998E-2</v>
      </c>
      <c r="N1178">
        <v>1.1174999999999999</v>
      </c>
      <c r="O1178" t="s">
        <v>2408</v>
      </c>
    </row>
    <row r="1179" spans="1:15" x14ac:dyDescent="0.25">
      <c r="A1179" t="s">
        <v>55</v>
      </c>
      <c r="B1179" t="s">
        <v>47</v>
      </c>
      <c r="C1179">
        <v>3.3000000000000002E-2</v>
      </c>
      <c r="D1179">
        <v>0.33001000000000003</v>
      </c>
      <c r="E1179">
        <v>1E-4</v>
      </c>
      <c r="F1179" t="s">
        <v>13</v>
      </c>
      <c r="G1179" t="s">
        <v>12</v>
      </c>
      <c r="H1179">
        <v>4.4999999999999998E-2</v>
      </c>
      <c r="I1179">
        <v>1.0000100000000001</v>
      </c>
      <c r="J1179" t="s">
        <v>10</v>
      </c>
      <c r="K1179">
        <v>5.6196999999999997E-2</v>
      </c>
      <c r="L1179">
        <v>0.39853</v>
      </c>
      <c r="M1179">
        <v>5.6184999999999999E-2</v>
      </c>
      <c r="N1179">
        <v>0.39850999999999998</v>
      </c>
      <c r="O1179" t="s">
        <v>2406</v>
      </c>
    </row>
    <row r="1180" spans="1:15" x14ac:dyDescent="0.25">
      <c r="A1180" t="s">
        <v>55</v>
      </c>
      <c r="B1180" t="s">
        <v>47</v>
      </c>
      <c r="C1180">
        <v>3.3000000000000002E-2</v>
      </c>
      <c r="D1180">
        <v>0.33001000000000003</v>
      </c>
      <c r="E1180">
        <v>1E-4</v>
      </c>
      <c r="F1180" t="s">
        <v>13</v>
      </c>
      <c r="G1180" t="s">
        <v>12</v>
      </c>
      <c r="H1180">
        <v>0.01</v>
      </c>
      <c r="I1180">
        <v>2.001E-2</v>
      </c>
      <c r="J1180" t="s">
        <v>10</v>
      </c>
      <c r="K1180">
        <v>4.1051999999999998E-2</v>
      </c>
      <c r="L1180">
        <v>2.0453000000000001</v>
      </c>
      <c r="M1180">
        <v>4.1147999999999997E-2</v>
      </c>
      <c r="N1180">
        <v>2.0425</v>
      </c>
      <c r="O1180" t="s">
        <v>2410</v>
      </c>
    </row>
    <row r="1181" spans="1:15" x14ac:dyDescent="0.25">
      <c r="A1181" t="s">
        <v>55</v>
      </c>
      <c r="B1181" t="s">
        <v>47</v>
      </c>
      <c r="C1181">
        <v>3.3000000000000002E-2</v>
      </c>
      <c r="D1181">
        <v>0.33001000000000003</v>
      </c>
      <c r="E1181">
        <v>1E-3</v>
      </c>
      <c r="F1181" t="s">
        <v>13</v>
      </c>
      <c r="G1181" t="s">
        <v>12</v>
      </c>
      <c r="H1181">
        <v>0.01</v>
      </c>
      <c r="I1181">
        <v>2.001E-2</v>
      </c>
      <c r="J1181" t="s">
        <v>10</v>
      </c>
      <c r="K1181">
        <v>0.54766999999999999</v>
      </c>
      <c r="L1181">
        <v>1.1202000000000001</v>
      </c>
      <c r="M1181">
        <v>0.54766000000000004</v>
      </c>
      <c r="N1181">
        <v>1.1202000000000001</v>
      </c>
      <c r="O1181" t="s">
        <v>2411</v>
      </c>
    </row>
    <row r="1182" spans="1:15" x14ac:dyDescent="0.25">
      <c r="A1182" t="s">
        <v>55</v>
      </c>
      <c r="B1182" t="s">
        <v>47</v>
      </c>
      <c r="C1182">
        <v>3.3000000000000002E-2</v>
      </c>
      <c r="D1182">
        <v>0.33001000000000003</v>
      </c>
      <c r="E1182">
        <v>1E-3</v>
      </c>
      <c r="F1182" t="s">
        <v>13</v>
      </c>
      <c r="G1182" t="s">
        <v>12</v>
      </c>
      <c r="H1182">
        <v>4.4999999999999998E-2</v>
      </c>
      <c r="I1182">
        <v>1.0000100000000001</v>
      </c>
      <c r="J1182" t="s">
        <v>10</v>
      </c>
      <c r="K1182">
        <v>0.57577999999999996</v>
      </c>
      <c r="L1182">
        <v>8.6645E-2</v>
      </c>
      <c r="M1182">
        <v>0.57577</v>
      </c>
      <c r="N1182">
        <v>8.6583999999999994E-2</v>
      </c>
      <c r="O1182" t="s">
        <v>2415</v>
      </c>
    </row>
    <row r="1183" spans="1:15" x14ac:dyDescent="0.25">
      <c r="A1183" t="s">
        <v>55</v>
      </c>
      <c r="B1183" t="s">
        <v>47</v>
      </c>
      <c r="C1183">
        <v>3.3000000000000002E-2</v>
      </c>
      <c r="D1183">
        <v>0.33001000000000003</v>
      </c>
      <c r="E1183">
        <v>1E-3</v>
      </c>
      <c r="F1183" t="s">
        <v>13</v>
      </c>
      <c r="G1183" t="s">
        <v>12</v>
      </c>
      <c r="H1183">
        <v>10</v>
      </c>
      <c r="I1183">
        <v>30</v>
      </c>
      <c r="J1183" t="s">
        <v>10</v>
      </c>
      <c r="K1183">
        <v>0.56477999999999995</v>
      </c>
      <c r="L1183">
        <v>3.8904999999999998</v>
      </c>
      <c r="M1183">
        <v>0.56466000000000005</v>
      </c>
      <c r="N1183">
        <v>3.8906000000000001</v>
      </c>
      <c r="O1183" t="s">
        <v>2412</v>
      </c>
    </row>
    <row r="1184" spans="1:15" x14ac:dyDescent="0.25">
      <c r="A1184" t="s">
        <v>55</v>
      </c>
      <c r="B1184" t="s">
        <v>47</v>
      </c>
      <c r="C1184">
        <v>3.3000000000000002E-2</v>
      </c>
      <c r="D1184">
        <v>0.33001000000000003</v>
      </c>
      <c r="E1184">
        <v>1E-3</v>
      </c>
      <c r="F1184" t="s">
        <v>13</v>
      </c>
      <c r="G1184" t="s">
        <v>12</v>
      </c>
      <c r="H1184">
        <v>5</v>
      </c>
      <c r="I1184">
        <v>10.01</v>
      </c>
      <c r="J1184" t="s">
        <v>10</v>
      </c>
      <c r="K1184">
        <v>0.55922000000000005</v>
      </c>
      <c r="L1184">
        <v>1.4903999999999999</v>
      </c>
      <c r="M1184">
        <v>0.55915999999999999</v>
      </c>
      <c r="N1184">
        <v>1.4903999999999999</v>
      </c>
      <c r="O1184" t="s">
        <v>2414</v>
      </c>
    </row>
    <row r="1185" spans="1:15" x14ac:dyDescent="0.25">
      <c r="A1185" t="s">
        <v>55</v>
      </c>
      <c r="B1185" t="s">
        <v>47</v>
      </c>
      <c r="C1185">
        <v>3.3000000000000002E-2</v>
      </c>
      <c r="D1185">
        <v>0.33001000000000003</v>
      </c>
      <c r="E1185">
        <v>1E-3</v>
      </c>
      <c r="F1185" t="s">
        <v>13</v>
      </c>
      <c r="G1185" t="s">
        <v>12</v>
      </c>
      <c r="H1185">
        <v>0.02</v>
      </c>
      <c r="I1185">
        <v>4.5010000000000001E-2</v>
      </c>
      <c r="J1185" t="s">
        <v>10</v>
      </c>
      <c r="K1185">
        <v>0.56864000000000003</v>
      </c>
      <c r="L1185">
        <v>0.35072999999999999</v>
      </c>
      <c r="M1185">
        <v>0.56864000000000003</v>
      </c>
      <c r="N1185">
        <v>0.35067999999999999</v>
      </c>
      <c r="O1185" t="s">
        <v>2416</v>
      </c>
    </row>
    <row r="1186" spans="1:15" x14ac:dyDescent="0.25">
      <c r="A1186" t="s">
        <v>55</v>
      </c>
      <c r="B1186" t="s">
        <v>47</v>
      </c>
      <c r="C1186">
        <v>3.3000000000000002E-2</v>
      </c>
      <c r="D1186">
        <v>0.33001000000000003</v>
      </c>
      <c r="E1186">
        <v>1E-3</v>
      </c>
      <c r="F1186" t="s">
        <v>13</v>
      </c>
      <c r="G1186" t="s">
        <v>12</v>
      </c>
      <c r="H1186">
        <v>30</v>
      </c>
      <c r="I1186">
        <v>30.01</v>
      </c>
      <c r="J1186" t="s">
        <v>10</v>
      </c>
      <c r="K1186">
        <v>0.56477999999999995</v>
      </c>
      <c r="L1186">
        <v>3.8904999999999998</v>
      </c>
      <c r="M1186">
        <v>0.56466000000000005</v>
      </c>
      <c r="N1186">
        <v>3.8906000000000001</v>
      </c>
      <c r="O1186" t="s">
        <v>2413</v>
      </c>
    </row>
    <row r="1187" spans="1:15" x14ac:dyDescent="0.25">
      <c r="A1187" t="s">
        <v>55</v>
      </c>
      <c r="B1187" t="s">
        <v>47</v>
      </c>
      <c r="C1187">
        <v>3.3000000000000002E-2</v>
      </c>
      <c r="D1187">
        <v>0.33001000000000003</v>
      </c>
      <c r="E1187">
        <v>1E-3</v>
      </c>
      <c r="F1187" t="s">
        <v>13</v>
      </c>
      <c r="G1187" t="s">
        <v>12</v>
      </c>
      <c r="H1187">
        <v>1</v>
      </c>
      <c r="I1187">
        <v>5.01</v>
      </c>
      <c r="J1187" t="s">
        <v>10</v>
      </c>
      <c r="K1187">
        <v>0.56964999999999999</v>
      </c>
      <c r="L1187">
        <v>0.47367999999999999</v>
      </c>
      <c r="M1187">
        <v>0.56962999999999997</v>
      </c>
      <c r="N1187">
        <v>0.47360999999999998</v>
      </c>
      <c r="O1187" t="s">
        <v>2811</v>
      </c>
    </row>
    <row r="1188" spans="1:15" x14ac:dyDescent="0.25">
      <c r="A1188" t="s">
        <v>55</v>
      </c>
      <c r="B1188" t="s">
        <v>47</v>
      </c>
      <c r="C1188">
        <v>3.3000000000000002E-2</v>
      </c>
      <c r="D1188">
        <v>0.33001000000000003</v>
      </c>
      <c r="E1188">
        <v>0.01</v>
      </c>
      <c r="F1188" t="s">
        <v>13</v>
      </c>
      <c r="G1188" t="s">
        <v>12</v>
      </c>
      <c r="H1188">
        <v>4.4999999999999998E-2</v>
      </c>
      <c r="I1188">
        <v>1.0000100000000001</v>
      </c>
      <c r="J1188" t="s">
        <v>10</v>
      </c>
      <c r="K1188">
        <v>5.7733999999999996</v>
      </c>
      <c r="L1188">
        <v>8.8941000000000003E-3</v>
      </c>
      <c r="M1188">
        <v>5.7733999999999996</v>
      </c>
      <c r="N1188">
        <v>8.8681999999999997E-3</v>
      </c>
      <c r="O1188" t="s">
        <v>2419</v>
      </c>
    </row>
    <row r="1189" spans="1:15" x14ac:dyDescent="0.25">
      <c r="A1189" t="s">
        <v>55</v>
      </c>
      <c r="B1189" t="s">
        <v>47</v>
      </c>
      <c r="C1189">
        <v>3.3000000000000002E-2</v>
      </c>
      <c r="D1189">
        <v>0.33001000000000003</v>
      </c>
      <c r="E1189">
        <v>0.01</v>
      </c>
      <c r="F1189" t="s">
        <v>13</v>
      </c>
      <c r="G1189" t="s">
        <v>12</v>
      </c>
      <c r="H1189">
        <v>10</v>
      </c>
      <c r="I1189">
        <v>30</v>
      </c>
      <c r="J1189" t="s">
        <v>10</v>
      </c>
      <c r="K1189">
        <v>5.7587000000000002</v>
      </c>
      <c r="L1189">
        <v>0.83674000000000004</v>
      </c>
      <c r="M1189">
        <v>5.7587000000000002</v>
      </c>
      <c r="N1189">
        <v>0.83650999999999998</v>
      </c>
      <c r="O1189" t="s">
        <v>2812</v>
      </c>
    </row>
    <row r="1190" spans="1:15" x14ac:dyDescent="0.25">
      <c r="A1190" t="s">
        <v>55</v>
      </c>
      <c r="B1190" t="s">
        <v>47</v>
      </c>
      <c r="C1190">
        <v>3.3000000000000002E-2</v>
      </c>
      <c r="D1190">
        <v>0.33001000000000003</v>
      </c>
      <c r="E1190">
        <v>0.01</v>
      </c>
      <c r="F1190" t="s">
        <v>13</v>
      </c>
      <c r="G1190" t="s">
        <v>12</v>
      </c>
      <c r="H1190">
        <v>30</v>
      </c>
      <c r="I1190">
        <v>30.01</v>
      </c>
      <c r="J1190" t="s">
        <v>10</v>
      </c>
      <c r="K1190">
        <v>5.7587000000000002</v>
      </c>
      <c r="L1190">
        <v>0.83674000000000004</v>
      </c>
      <c r="M1190">
        <v>5.7587000000000002</v>
      </c>
      <c r="N1190">
        <v>0.83650999999999998</v>
      </c>
      <c r="O1190" t="s">
        <v>2417</v>
      </c>
    </row>
    <row r="1191" spans="1:15" x14ac:dyDescent="0.25">
      <c r="A1191" t="s">
        <v>55</v>
      </c>
      <c r="B1191" t="s">
        <v>47</v>
      </c>
      <c r="C1191">
        <v>3.3000000000000002E-2</v>
      </c>
      <c r="D1191">
        <v>0.33001000000000003</v>
      </c>
      <c r="E1191">
        <v>0.01</v>
      </c>
      <c r="F1191" t="s">
        <v>13</v>
      </c>
      <c r="G1191" t="s">
        <v>12</v>
      </c>
      <c r="H1191">
        <v>1</v>
      </c>
      <c r="I1191">
        <v>5.01</v>
      </c>
      <c r="J1191" t="s">
        <v>10</v>
      </c>
      <c r="K1191">
        <v>5.7725999999999997</v>
      </c>
      <c r="L1191">
        <v>5.3741999999999998E-2</v>
      </c>
      <c r="M1191">
        <v>5.7725999999999997</v>
      </c>
      <c r="N1191">
        <v>5.3697000000000002E-2</v>
      </c>
      <c r="O1191" t="s">
        <v>2422</v>
      </c>
    </row>
    <row r="1192" spans="1:15" x14ac:dyDescent="0.25">
      <c r="A1192" t="s">
        <v>55</v>
      </c>
      <c r="B1192" t="s">
        <v>47</v>
      </c>
      <c r="C1192">
        <v>3.3000000000000002E-2</v>
      </c>
      <c r="D1192">
        <v>0.33001000000000003</v>
      </c>
      <c r="E1192">
        <v>0.01</v>
      </c>
      <c r="F1192" t="s">
        <v>13</v>
      </c>
      <c r="G1192" t="s">
        <v>12</v>
      </c>
      <c r="H1192">
        <v>5</v>
      </c>
      <c r="I1192">
        <v>10.01</v>
      </c>
      <c r="J1192" t="s">
        <v>10</v>
      </c>
      <c r="K1192">
        <v>5.7697000000000003</v>
      </c>
      <c r="L1192">
        <v>0.21298</v>
      </c>
      <c r="M1192">
        <v>5.7697000000000003</v>
      </c>
      <c r="N1192">
        <v>0.21288000000000001</v>
      </c>
      <c r="O1192" t="s">
        <v>2418</v>
      </c>
    </row>
    <row r="1193" spans="1:15" x14ac:dyDescent="0.25">
      <c r="A1193" t="s">
        <v>55</v>
      </c>
      <c r="B1193" t="s">
        <v>47</v>
      </c>
      <c r="C1193">
        <v>3.3000000000000002E-2</v>
      </c>
      <c r="D1193">
        <v>0.33001000000000003</v>
      </c>
      <c r="E1193">
        <v>0.01</v>
      </c>
      <c r="F1193" t="s">
        <v>13</v>
      </c>
      <c r="G1193" t="s">
        <v>12</v>
      </c>
      <c r="H1193">
        <v>0.01</v>
      </c>
      <c r="I1193">
        <v>2.001E-2</v>
      </c>
      <c r="J1193" t="s">
        <v>10</v>
      </c>
      <c r="K1193">
        <v>5.7694999999999999</v>
      </c>
      <c r="L1193">
        <v>0.14516999999999999</v>
      </c>
      <c r="M1193">
        <v>5.7694999999999999</v>
      </c>
      <c r="N1193">
        <v>0.14515</v>
      </c>
      <c r="O1193" t="s">
        <v>2420</v>
      </c>
    </row>
    <row r="1194" spans="1:15" x14ac:dyDescent="0.25">
      <c r="A1194" t="s">
        <v>55</v>
      </c>
      <c r="B1194" t="s">
        <v>47</v>
      </c>
      <c r="C1194">
        <v>3.3000000000000002E-2</v>
      </c>
      <c r="D1194">
        <v>0.33001000000000003</v>
      </c>
      <c r="E1194">
        <v>0.01</v>
      </c>
      <c r="F1194" t="s">
        <v>13</v>
      </c>
      <c r="G1194" t="s">
        <v>12</v>
      </c>
      <c r="H1194">
        <v>0.02</v>
      </c>
      <c r="I1194">
        <v>4.5010000000000001E-2</v>
      </c>
      <c r="J1194" t="s">
        <v>10</v>
      </c>
      <c r="K1194">
        <v>5.7725999999999997</v>
      </c>
      <c r="L1194">
        <v>3.8390000000000001E-2</v>
      </c>
      <c r="M1194">
        <v>5.7725999999999997</v>
      </c>
      <c r="N1194">
        <v>3.8365000000000003E-2</v>
      </c>
      <c r="O1194" t="s">
        <v>2421</v>
      </c>
    </row>
    <row r="1195" spans="1:15" x14ac:dyDescent="0.25">
      <c r="A1195" t="s">
        <v>55</v>
      </c>
      <c r="B1195" t="s">
        <v>47</v>
      </c>
      <c r="C1195">
        <v>0.33</v>
      </c>
      <c r="D1195">
        <v>1.1000099999999999</v>
      </c>
      <c r="E1195">
        <v>1.0000000000000001E-5</v>
      </c>
      <c r="F1195" t="s">
        <v>13</v>
      </c>
      <c r="G1195" t="s">
        <v>12</v>
      </c>
      <c r="H1195">
        <v>4.4999999999999998E-2</v>
      </c>
      <c r="I1195">
        <v>1.0000100000000001</v>
      </c>
      <c r="J1195" t="s">
        <v>10</v>
      </c>
      <c r="K1195">
        <v>0.12</v>
      </c>
      <c r="L1195">
        <v>0.57999999999999996</v>
      </c>
      <c r="M1195">
        <v>0.11734</v>
      </c>
      <c r="N1195">
        <v>0.57738999999999996</v>
      </c>
      <c r="O1195" t="s">
        <v>2425</v>
      </c>
    </row>
    <row r="1196" spans="1:15" x14ac:dyDescent="0.25">
      <c r="A1196" t="s">
        <v>55</v>
      </c>
      <c r="B1196" t="s">
        <v>47</v>
      </c>
      <c r="C1196">
        <v>0.33</v>
      </c>
      <c r="D1196">
        <v>1.1000099999999999</v>
      </c>
      <c r="E1196">
        <v>1.0000000000000001E-5</v>
      </c>
      <c r="F1196" t="s">
        <v>13</v>
      </c>
      <c r="G1196" t="s">
        <v>12</v>
      </c>
      <c r="H1196">
        <v>1</v>
      </c>
      <c r="I1196">
        <v>5.01</v>
      </c>
      <c r="J1196" t="s">
        <v>10</v>
      </c>
      <c r="K1196">
        <v>1.2</v>
      </c>
      <c r="L1196">
        <v>6.9</v>
      </c>
      <c r="M1196">
        <v>1.1549</v>
      </c>
      <c r="N1196">
        <v>6.9282000000000004</v>
      </c>
      <c r="O1196" t="s">
        <v>2424</v>
      </c>
    </row>
    <row r="1197" spans="1:15" x14ac:dyDescent="0.25">
      <c r="A1197" t="s">
        <v>55</v>
      </c>
      <c r="B1197" t="s">
        <v>47</v>
      </c>
      <c r="C1197">
        <v>0.33</v>
      </c>
      <c r="D1197">
        <v>1.1000099999999999</v>
      </c>
      <c r="E1197">
        <v>1.0000000000000001E-5</v>
      </c>
      <c r="F1197" t="s">
        <v>13</v>
      </c>
      <c r="G1197" t="s">
        <v>12</v>
      </c>
      <c r="H1197">
        <v>5</v>
      </c>
      <c r="I1197">
        <v>10</v>
      </c>
      <c r="J1197" t="s">
        <v>10</v>
      </c>
      <c r="K1197">
        <v>5.8</v>
      </c>
      <c r="L1197">
        <v>29</v>
      </c>
      <c r="M1197">
        <v>5.7733999999999996</v>
      </c>
      <c r="N1197">
        <v>28.867999999999999</v>
      </c>
      <c r="O1197" t="s">
        <v>2813</v>
      </c>
    </row>
    <row r="1198" spans="1:15" x14ac:dyDescent="0.25">
      <c r="A1198" t="s">
        <v>55</v>
      </c>
      <c r="B1198" t="s">
        <v>47</v>
      </c>
      <c r="C1198">
        <v>0.33</v>
      </c>
      <c r="D1198">
        <v>1.1000099999999999</v>
      </c>
      <c r="E1198">
        <v>1.0000000000000001E-5</v>
      </c>
      <c r="F1198" t="s">
        <v>13</v>
      </c>
      <c r="G1198" t="s">
        <v>12</v>
      </c>
      <c r="H1198">
        <v>0.01</v>
      </c>
      <c r="I1198">
        <v>4.5010000000000001E-2</v>
      </c>
      <c r="J1198" t="s">
        <v>10</v>
      </c>
      <c r="K1198">
        <v>0.12</v>
      </c>
      <c r="L1198">
        <v>2.1</v>
      </c>
      <c r="M1198">
        <v>0.11617</v>
      </c>
      <c r="N1198">
        <v>2.0783999999999998</v>
      </c>
      <c r="O1198" t="s">
        <v>2423</v>
      </c>
    </row>
    <row r="1199" spans="1:15" x14ac:dyDescent="0.25">
      <c r="A1199" t="s">
        <v>55</v>
      </c>
      <c r="B1199" t="s">
        <v>47</v>
      </c>
      <c r="C1199">
        <v>0.33</v>
      </c>
      <c r="D1199">
        <v>1.1000099999999999</v>
      </c>
      <c r="E1199">
        <v>1.0000000000000001E-5</v>
      </c>
      <c r="F1199" t="s">
        <v>13</v>
      </c>
      <c r="G1199" t="s">
        <v>12</v>
      </c>
      <c r="H1199">
        <v>10</v>
      </c>
      <c r="I1199">
        <v>10.01</v>
      </c>
      <c r="J1199" t="s">
        <v>10</v>
      </c>
      <c r="K1199">
        <v>5.8</v>
      </c>
      <c r="L1199">
        <v>29</v>
      </c>
      <c r="M1199">
        <v>5.7733999999999996</v>
      </c>
      <c r="N1199">
        <v>28.867999999999999</v>
      </c>
      <c r="O1199" t="s">
        <v>2426</v>
      </c>
    </row>
    <row r="1200" spans="1:15" x14ac:dyDescent="0.25">
      <c r="A1200" t="s">
        <v>55</v>
      </c>
      <c r="B1200" t="s">
        <v>47</v>
      </c>
      <c r="C1200">
        <v>0.33</v>
      </c>
      <c r="D1200">
        <v>1.1000099999999999</v>
      </c>
      <c r="E1200">
        <v>1E-4</v>
      </c>
      <c r="F1200" t="s">
        <v>13</v>
      </c>
      <c r="G1200" t="s">
        <v>12</v>
      </c>
      <c r="H1200">
        <v>0.01</v>
      </c>
      <c r="I1200">
        <v>4.5010000000000001E-2</v>
      </c>
      <c r="J1200" t="s">
        <v>10</v>
      </c>
      <c r="K1200">
        <v>0.12</v>
      </c>
      <c r="L1200">
        <v>2.1</v>
      </c>
      <c r="M1200">
        <v>0.11882</v>
      </c>
      <c r="N1200">
        <v>2.0766</v>
      </c>
      <c r="O1200" t="s">
        <v>2429</v>
      </c>
    </row>
    <row r="1201" spans="1:15" x14ac:dyDescent="0.25">
      <c r="A1201" t="s">
        <v>55</v>
      </c>
      <c r="B1201" t="s">
        <v>47</v>
      </c>
      <c r="C1201">
        <v>0.33</v>
      </c>
      <c r="D1201">
        <v>1.1000099999999999</v>
      </c>
      <c r="E1201">
        <v>1E-4</v>
      </c>
      <c r="F1201" t="s">
        <v>13</v>
      </c>
      <c r="G1201" t="s">
        <v>12</v>
      </c>
      <c r="H1201">
        <v>4.4999999999999998E-2</v>
      </c>
      <c r="I1201">
        <v>1.0000100000000001</v>
      </c>
      <c r="J1201" t="s">
        <v>10</v>
      </c>
      <c r="K1201">
        <v>0.12267</v>
      </c>
      <c r="L1201">
        <v>0.57757999999999998</v>
      </c>
      <c r="M1201">
        <v>0.124</v>
      </c>
      <c r="N1201">
        <v>0.57333000000000001</v>
      </c>
      <c r="O1201" t="s">
        <v>2814</v>
      </c>
    </row>
    <row r="1202" spans="1:15" x14ac:dyDescent="0.25">
      <c r="A1202" t="s">
        <v>55</v>
      </c>
      <c r="B1202" t="s">
        <v>47</v>
      </c>
      <c r="C1202">
        <v>0.33</v>
      </c>
      <c r="D1202">
        <v>1.1000099999999999</v>
      </c>
      <c r="E1202">
        <v>1E-4</v>
      </c>
      <c r="F1202" t="s">
        <v>13</v>
      </c>
      <c r="G1202" t="s">
        <v>12</v>
      </c>
      <c r="H1202">
        <v>1</v>
      </c>
      <c r="I1202">
        <v>5.01</v>
      </c>
      <c r="J1202" t="s">
        <v>10</v>
      </c>
      <c r="K1202">
        <v>1.2</v>
      </c>
      <c r="L1202">
        <v>6.9</v>
      </c>
      <c r="M1202">
        <v>1.1555</v>
      </c>
      <c r="N1202">
        <v>6.9278000000000004</v>
      </c>
      <c r="O1202" t="s">
        <v>2428</v>
      </c>
    </row>
    <row r="1203" spans="1:15" x14ac:dyDescent="0.25">
      <c r="A1203" t="s">
        <v>55</v>
      </c>
      <c r="B1203" t="s">
        <v>47</v>
      </c>
      <c r="C1203">
        <v>0.33</v>
      </c>
      <c r="D1203">
        <v>1.1000099999999999</v>
      </c>
      <c r="E1203">
        <v>1E-4</v>
      </c>
      <c r="F1203" t="s">
        <v>13</v>
      </c>
      <c r="G1203" t="s">
        <v>12</v>
      </c>
      <c r="H1203">
        <v>5</v>
      </c>
      <c r="I1203">
        <v>10</v>
      </c>
      <c r="J1203" t="s">
        <v>10</v>
      </c>
      <c r="K1203">
        <v>5.8</v>
      </c>
      <c r="L1203">
        <v>29</v>
      </c>
      <c r="M1203">
        <v>5.7742000000000004</v>
      </c>
      <c r="N1203">
        <v>28.867000000000001</v>
      </c>
      <c r="O1203" t="s">
        <v>2427</v>
      </c>
    </row>
    <row r="1204" spans="1:15" x14ac:dyDescent="0.25">
      <c r="A1204" t="s">
        <v>55</v>
      </c>
      <c r="B1204" t="s">
        <v>47</v>
      </c>
      <c r="C1204">
        <v>0.33</v>
      </c>
      <c r="D1204">
        <v>1.1000099999999999</v>
      </c>
      <c r="E1204">
        <v>1E-4</v>
      </c>
      <c r="F1204" t="s">
        <v>13</v>
      </c>
      <c r="G1204" t="s">
        <v>12</v>
      </c>
      <c r="H1204">
        <v>10</v>
      </c>
      <c r="I1204">
        <v>10.01</v>
      </c>
      <c r="J1204" t="s">
        <v>10</v>
      </c>
      <c r="K1204">
        <v>5.8</v>
      </c>
      <c r="L1204">
        <v>29</v>
      </c>
      <c r="M1204">
        <v>5.7742000000000004</v>
      </c>
      <c r="N1204">
        <v>28.867000000000001</v>
      </c>
      <c r="O1204" t="s">
        <v>2815</v>
      </c>
    </row>
    <row r="1205" spans="1:15" x14ac:dyDescent="0.25">
      <c r="A1205" t="s">
        <v>55</v>
      </c>
      <c r="B1205" t="s">
        <v>47</v>
      </c>
      <c r="C1205">
        <v>0.33</v>
      </c>
      <c r="D1205">
        <v>1.1000099999999999</v>
      </c>
      <c r="E1205">
        <v>1E-3</v>
      </c>
      <c r="F1205" t="s">
        <v>13</v>
      </c>
      <c r="G1205" t="s">
        <v>12</v>
      </c>
      <c r="H1205">
        <v>1</v>
      </c>
      <c r="I1205">
        <v>5.01</v>
      </c>
      <c r="J1205" t="s">
        <v>10</v>
      </c>
      <c r="K1205">
        <v>1.2163999999999999</v>
      </c>
      <c r="L1205">
        <v>6.8902999999999999</v>
      </c>
      <c r="M1205">
        <v>1.2155</v>
      </c>
      <c r="N1205">
        <v>6.8903999999999996</v>
      </c>
      <c r="O1205" t="s">
        <v>2433</v>
      </c>
    </row>
    <row r="1206" spans="1:15" x14ac:dyDescent="0.25">
      <c r="A1206" t="s">
        <v>55</v>
      </c>
      <c r="B1206" t="s">
        <v>47</v>
      </c>
      <c r="C1206">
        <v>0.33</v>
      </c>
      <c r="D1206">
        <v>1.1000099999999999</v>
      </c>
      <c r="E1206">
        <v>1E-3</v>
      </c>
      <c r="F1206" t="s">
        <v>13</v>
      </c>
      <c r="G1206" t="s">
        <v>12</v>
      </c>
      <c r="H1206">
        <v>4.4999999999999998E-2</v>
      </c>
      <c r="I1206">
        <v>1.0000100000000001</v>
      </c>
      <c r="J1206" t="s">
        <v>10</v>
      </c>
      <c r="K1206">
        <v>0.52825</v>
      </c>
      <c r="L1206">
        <v>0.38235000000000002</v>
      </c>
      <c r="M1206">
        <v>0.52822999999999998</v>
      </c>
      <c r="N1206">
        <v>0.38200000000000001</v>
      </c>
      <c r="O1206" t="s">
        <v>2432</v>
      </c>
    </row>
    <row r="1207" spans="1:15" x14ac:dyDescent="0.25">
      <c r="A1207" t="s">
        <v>55</v>
      </c>
      <c r="B1207" t="s">
        <v>47</v>
      </c>
      <c r="C1207">
        <v>0.33</v>
      </c>
      <c r="D1207">
        <v>1.1000099999999999</v>
      </c>
      <c r="E1207">
        <v>1E-3</v>
      </c>
      <c r="F1207" t="s">
        <v>13</v>
      </c>
      <c r="G1207" t="s">
        <v>12</v>
      </c>
      <c r="H1207">
        <v>10</v>
      </c>
      <c r="I1207">
        <v>10.01</v>
      </c>
      <c r="J1207" t="s">
        <v>10</v>
      </c>
      <c r="K1207">
        <v>5.8</v>
      </c>
      <c r="L1207">
        <v>29</v>
      </c>
      <c r="M1207">
        <v>5.7873999999999999</v>
      </c>
      <c r="N1207">
        <v>28.859000000000002</v>
      </c>
      <c r="O1207" t="s">
        <v>2816</v>
      </c>
    </row>
    <row r="1208" spans="1:15" x14ac:dyDescent="0.25">
      <c r="A1208" t="s">
        <v>55</v>
      </c>
      <c r="B1208" t="s">
        <v>47</v>
      </c>
      <c r="C1208">
        <v>0.33</v>
      </c>
      <c r="D1208">
        <v>1.1000099999999999</v>
      </c>
      <c r="E1208">
        <v>1E-3</v>
      </c>
      <c r="F1208" t="s">
        <v>13</v>
      </c>
      <c r="G1208" t="s">
        <v>12</v>
      </c>
      <c r="H1208">
        <v>5</v>
      </c>
      <c r="I1208">
        <v>10</v>
      </c>
      <c r="J1208" t="s">
        <v>10</v>
      </c>
      <c r="K1208">
        <v>5.8</v>
      </c>
      <c r="L1208">
        <v>29</v>
      </c>
      <c r="M1208">
        <v>5.7873999999999999</v>
      </c>
      <c r="N1208">
        <v>28.859000000000002</v>
      </c>
      <c r="O1208" t="s">
        <v>2430</v>
      </c>
    </row>
    <row r="1209" spans="1:15" x14ac:dyDescent="0.25">
      <c r="A1209" t="s">
        <v>55</v>
      </c>
      <c r="B1209" t="s">
        <v>47</v>
      </c>
      <c r="C1209">
        <v>0.33</v>
      </c>
      <c r="D1209">
        <v>1.1000099999999999</v>
      </c>
      <c r="E1209">
        <v>1E-3</v>
      </c>
      <c r="F1209" t="s">
        <v>13</v>
      </c>
      <c r="G1209" t="s">
        <v>12</v>
      </c>
      <c r="H1209">
        <v>0.01</v>
      </c>
      <c r="I1209">
        <v>4.5010000000000001E-2</v>
      </c>
      <c r="J1209" t="s">
        <v>10</v>
      </c>
      <c r="K1209">
        <v>0.35291</v>
      </c>
      <c r="L1209">
        <v>1.9255</v>
      </c>
      <c r="M1209">
        <v>0.35283999999999999</v>
      </c>
      <c r="N1209">
        <v>1.9254</v>
      </c>
      <c r="O1209" t="s">
        <v>2431</v>
      </c>
    </row>
    <row r="1210" spans="1:15" x14ac:dyDescent="0.25">
      <c r="A1210" t="s">
        <v>55</v>
      </c>
      <c r="B1210" t="s">
        <v>47</v>
      </c>
      <c r="C1210">
        <v>0.33</v>
      </c>
      <c r="D1210">
        <v>1.1000099999999999</v>
      </c>
      <c r="E1210">
        <v>0.01</v>
      </c>
      <c r="F1210" t="s">
        <v>13</v>
      </c>
      <c r="G1210" t="s">
        <v>12</v>
      </c>
      <c r="H1210">
        <v>4.4999999999999998E-2</v>
      </c>
      <c r="I1210">
        <v>1.0000100000000001</v>
      </c>
      <c r="J1210" t="s">
        <v>10</v>
      </c>
      <c r="K1210">
        <v>5.7643000000000004</v>
      </c>
      <c r="L1210">
        <v>5.3023000000000001E-2</v>
      </c>
      <c r="M1210">
        <v>5.7643000000000004</v>
      </c>
      <c r="N1210">
        <v>5.2760000000000001E-2</v>
      </c>
      <c r="O1210" t="s">
        <v>2437</v>
      </c>
    </row>
    <row r="1211" spans="1:15" x14ac:dyDescent="0.25">
      <c r="A1211" t="s">
        <v>55</v>
      </c>
      <c r="B1211" t="s">
        <v>47</v>
      </c>
      <c r="C1211">
        <v>0.33</v>
      </c>
      <c r="D1211">
        <v>1.1000099999999999</v>
      </c>
      <c r="E1211">
        <v>0.01</v>
      </c>
      <c r="F1211" t="s">
        <v>13</v>
      </c>
      <c r="G1211" t="s">
        <v>12</v>
      </c>
      <c r="H1211">
        <v>5</v>
      </c>
      <c r="I1211">
        <v>10</v>
      </c>
      <c r="J1211" t="s">
        <v>10</v>
      </c>
      <c r="K1211">
        <v>7.0907999999999998</v>
      </c>
      <c r="L1211">
        <v>28.073</v>
      </c>
      <c r="M1211">
        <v>7.0891000000000002</v>
      </c>
      <c r="N1211">
        <v>28.073</v>
      </c>
      <c r="O1211" t="s">
        <v>2435</v>
      </c>
    </row>
    <row r="1212" spans="1:15" x14ac:dyDescent="0.25">
      <c r="A1212" t="s">
        <v>55</v>
      </c>
      <c r="B1212" t="s">
        <v>47</v>
      </c>
      <c r="C1212">
        <v>0.33</v>
      </c>
      <c r="D1212">
        <v>1.1000099999999999</v>
      </c>
      <c r="E1212">
        <v>0.01</v>
      </c>
      <c r="F1212" t="s">
        <v>13</v>
      </c>
      <c r="G1212" t="s">
        <v>12</v>
      </c>
      <c r="H1212">
        <v>0.01</v>
      </c>
      <c r="I1212">
        <v>4.5010000000000001E-2</v>
      </c>
      <c r="J1212" t="s">
        <v>10</v>
      </c>
      <c r="K1212">
        <v>5.6471</v>
      </c>
      <c r="L1212">
        <v>0.55145</v>
      </c>
      <c r="M1212">
        <v>5.6471</v>
      </c>
      <c r="N1212">
        <v>0.55120999999999998</v>
      </c>
      <c r="O1212" t="s">
        <v>2817</v>
      </c>
    </row>
    <row r="1213" spans="1:15" x14ac:dyDescent="0.25">
      <c r="A1213" t="s">
        <v>55</v>
      </c>
      <c r="B1213" t="s">
        <v>47</v>
      </c>
      <c r="C1213">
        <v>0.33</v>
      </c>
      <c r="D1213">
        <v>1.1000099999999999</v>
      </c>
      <c r="E1213">
        <v>0.01</v>
      </c>
      <c r="F1213" t="s">
        <v>13</v>
      </c>
      <c r="G1213" t="s">
        <v>12</v>
      </c>
      <c r="H1213">
        <v>10</v>
      </c>
      <c r="I1213">
        <v>10.01</v>
      </c>
      <c r="J1213" t="s">
        <v>10</v>
      </c>
      <c r="K1213">
        <v>7.0907999999999998</v>
      </c>
      <c r="L1213">
        <v>28.073</v>
      </c>
      <c r="M1213">
        <v>7.0891000000000002</v>
      </c>
      <c r="N1213">
        <v>28.073</v>
      </c>
      <c r="O1213" t="s">
        <v>2436</v>
      </c>
    </row>
    <row r="1214" spans="1:15" x14ac:dyDescent="0.25">
      <c r="A1214" t="s">
        <v>55</v>
      </c>
      <c r="B1214" t="s">
        <v>47</v>
      </c>
      <c r="C1214">
        <v>0.33</v>
      </c>
      <c r="D1214">
        <v>1.1000099999999999</v>
      </c>
      <c r="E1214">
        <v>0.01</v>
      </c>
      <c r="F1214" t="s">
        <v>13</v>
      </c>
      <c r="G1214" t="s">
        <v>12</v>
      </c>
      <c r="H1214">
        <v>1</v>
      </c>
      <c r="I1214">
        <v>5.01</v>
      </c>
      <c r="J1214" t="s">
        <v>10</v>
      </c>
      <c r="K1214">
        <v>5.1010999999999997</v>
      </c>
      <c r="L1214">
        <v>4.9149000000000003</v>
      </c>
      <c r="M1214">
        <v>5.0998000000000001</v>
      </c>
      <c r="N1214">
        <v>4.9135999999999997</v>
      </c>
      <c r="O1214" t="s">
        <v>2434</v>
      </c>
    </row>
    <row r="1215" spans="1:15" x14ac:dyDescent="0.25">
      <c r="A1215" t="s">
        <v>55</v>
      </c>
      <c r="B1215" t="s">
        <v>47</v>
      </c>
      <c r="C1215">
        <v>0.33</v>
      </c>
      <c r="D1215">
        <v>1.1000099999999999</v>
      </c>
      <c r="E1215">
        <v>0.1</v>
      </c>
      <c r="F1215" t="s">
        <v>13</v>
      </c>
      <c r="G1215" t="s">
        <v>12</v>
      </c>
      <c r="H1215">
        <v>5</v>
      </c>
      <c r="I1215">
        <v>10</v>
      </c>
      <c r="J1215" t="s">
        <v>10</v>
      </c>
      <c r="K1215">
        <v>55.816000000000003</v>
      </c>
      <c r="L1215">
        <v>11.862</v>
      </c>
      <c r="M1215">
        <v>55.814999999999998</v>
      </c>
      <c r="N1215">
        <v>11.86</v>
      </c>
      <c r="O1215" t="s">
        <v>2819</v>
      </c>
    </row>
    <row r="1216" spans="1:15" x14ac:dyDescent="0.25">
      <c r="A1216" t="s">
        <v>55</v>
      </c>
      <c r="B1216" t="s">
        <v>47</v>
      </c>
      <c r="C1216">
        <v>0.33</v>
      </c>
      <c r="D1216">
        <v>1.1000099999999999</v>
      </c>
      <c r="E1216">
        <v>0.1</v>
      </c>
      <c r="F1216" t="s">
        <v>13</v>
      </c>
      <c r="G1216" t="s">
        <v>12</v>
      </c>
      <c r="H1216">
        <v>4.4999999999999998E-2</v>
      </c>
      <c r="I1216">
        <v>1.0000100000000001</v>
      </c>
      <c r="J1216" t="s">
        <v>10</v>
      </c>
      <c r="K1216">
        <v>57.734999999999999</v>
      </c>
      <c r="L1216">
        <v>5.4079999999999996E-3</v>
      </c>
      <c r="M1216">
        <v>57.734999999999999</v>
      </c>
      <c r="N1216">
        <v>5.3017999999999997E-3</v>
      </c>
      <c r="O1216" t="s">
        <v>2439</v>
      </c>
    </row>
    <row r="1217" spans="1:15" x14ac:dyDescent="0.25">
      <c r="A1217" t="s">
        <v>55</v>
      </c>
      <c r="B1217" t="s">
        <v>47</v>
      </c>
      <c r="C1217">
        <v>0.33</v>
      </c>
      <c r="D1217">
        <v>1.1000099999999999</v>
      </c>
      <c r="E1217">
        <v>0.1</v>
      </c>
      <c r="F1217" t="s">
        <v>13</v>
      </c>
      <c r="G1217" t="s">
        <v>12</v>
      </c>
      <c r="H1217">
        <v>0.01</v>
      </c>
      <c r="I1217">
        <v>4.5010000000000001E-2</v>
      </c>
      <c r="J1217" t="s">
        <v>10</v>
      </c>
      <c r="K1217">
        <v>57.722000000000001</v>
      </c>
      <c r="L1217">
        <v>5.7755000000000001E-2</v>
      </c>
      <c r="M1217">
        <v>57.722000000000001</v>
      </c>
      <c r="N1217">
        <v>5.7648999999999999E-2</v>
      </c>
      <c r="O1217" t="s">
        <v>2818</v>
      </c>
    </row>
    <row r="1218" spans="1:15" x14ac:dyDescent="0.25">
      <c r="A1218" t="s">
        <v>55</v>
      </c>
      <c r="B1218" t="s">
        <v>47</v>
      </c>
      <c r="C1218">
        <v>0.33</v>
      </c>
      <c r="D1218">
        <v>1.1000099999999999</v>
      </c>
      <c r="E1218">
        <v>0.1</v>
      </c>
      <c r="F1218" t="s">
        <v>13</v>
      </c>
      <c r="G1218" t="s">
        <v>12</v>
      </c>
      <c r="H1218">
        <v>1</v>
      </c>
      <c r="I1218">
        <v>5.01</v>
      </c>
      <c r="J1218" t="s">
        <v>10</v>
      </c>
      <c r="K1218">
        <v>57.597999999999999</v>
      </c>
      <c r="L1218">
        <v>0.72965000000000002</v>
      </c>
      <c r="M1218">
        <v>57.597999999999999</v>
      </c>
      <c r="N1218">
        <v>0.72819</v>
      </c>
      <c r="O1218" t="s">
        <v>2438</v>
      </c>
    </row>
    <row r="1219" spans="1:15" x14ac:dyDescent="0.25">
      <c r="A1219" t="s">
        <v>55</v>
      </c>
      <c r="B1219" t="s">
        <v>47</v>
      </c>
      <c r="C1219">
        <v>0.33</v>
      </c>
      <c r="D1219">
        <v>1.1000099999999999</v>
      </c>
      <c r="E1219">
        <v>0.1</v>
      </c>
      <c r="F1219" t="s">
        <v>13</v>
      </c>
      <c r="G1219" t="s">
        <v>12</v>
      </c>
      <c r="H1219">
        <v>10</v>
      </c>
      <c r="I1219">
        <v>10.01</v>
      </c>
      <c r="J1219" t="s">
        <v>10</v>
      </c>
      <c r="K1219">
        <v>55.816000000000003</v>
      </c>
      <c r="L1219">
        <v>11.862</v>
      </c>
      <c r="M1219">
        <v>55.814999999999998</v>
      </c>
      <c r="N1219">
        <v>11.86</v>
      </c>
      <c r="O1219" t="s">
        <v>2440</v>
      </c>
    </row>
    <row r="1220" spans="1:15" x14ac:dyDescent="0.25">
      <c r="A1220" t="s">
        <v>55</v>
      </c>
      <c r="B1220" t="s">
        <v>47</v>
      </c>
      <c r="C1220">
        <v>1.1000000000000001</v>
      </c>
      <c r="D1220">
        <v>3.0009999999999999</v>
      </c>
      <c r="E1220">
        <v>1.0000000000000001E-5</v>
      </c>
      <c r="F1220" t="s">
        <v>13</v>
      </c>
      <c r="G1220" t="s">
        <v>12</v>
      </c>
      <c r="H1220">
        <v>0.01</v>
      </c>
      <c r="I1220">
        <v>4.5010000000000001E-2</v>
      </c>
      <c r="J1220" t="s">
        <v>10</v>
      </c>
      <c r="K1220">
        <v>0.12</v>
      </c>
      <c r="L1220">
        <v>2.1</v>
      </c>
      <c r="M1220">
        <v>0.11589000000000001</v>
      </c>
      <c r="N1220">
        <v>2.0787</v>
      </c>
      <c r="O1220" t="s">
        <v>2444</v>
      </c>
    </row>
    <row r="1221" spans="1:15" x14ac:dyDescent="0.25">
      <c r="A1221" t="s">
        <v>55</v>
      </c>
      <c r="B1221" t="s">
        <v>47</v>
      </c>
      <c r="C1221">
        <v>1.1000000000000001</v>
      </c>
      <c r="D1221">
        <v>3.0009999999999999</v>
      </c>
      <c r="E1221">
        <v>1.0000000000000001E-5</v>
      </c>
      <c r="F1221" t="s">
        <v>13</v>
      </c>
      <c r="G1221" t="s">
        <v>12</v>
      </c>
      <c r="H1221">
        <v>10</v>
      </c>
      <c r="I1221">
        <v>10.01</v>
      </c>
      <c r="J1221" t="s">
        <v>10</v>
      </c>
      <c r="K1221">
        <v>5.8</v>
      </c>
      <c r="L1221">
        <v>29</v>
      </c>
      <c r="M1221">
        <v>5.7729999999999997</v>
      </c>
      <c r="N1221">
        <v>28.867999999999999</v>
      </c>
      <c r="O1221" t="s">
        <v>2443</v>
      </c>
    </row>
    <row r="1222" spans="1:15" x14ac:dyDescent="0.25">
      <c r="A1222" t="s">
        <v>55</v>
      </c>
      <c r="B1222" t="s">
        <v>47</v>
      </c>
      <c r="C1222">
        <v>1.1000000000000001</v>
      </c>
      <c r="D1222">
        <v>3.0009999999999999</v>
      </c>
      <c r="E1222">
        <v>1.0000000000000001E-5</v>
      </c>
      <c r="F1222" t="s">
        <v>13</v>
      </c>
      <c r="G1222" t="s">
        <v>12</v>
      </c>
      <c r="H1222">
        <v>1</v>
      </c>
      <c r="I1222">
        <v>5.01</v>
      </c>
      <c r="J1222" t="s">
        <v>10</v>
      </c>
      <c r="K1222">
        <v>1.3</v>
      </c>
      <c r="L1222">
        <v>6.9</v>
      </c>
      <c r="M1222">
        <v>1.1548</v>
      </c>
      <c r="N1222">
        <v>6.9283000000000001</v>
      </c>
      <c r="O1222" t="s">
        <v>2820</v>
      </c>
    </row>
    <row r="1223" spans="1:15" x14ac:dyDescent="0.25">
      <c r="A1223" t="s">
        <v>55</v>
      </c>
      <c r="B1223" t="s">
        <v>47</v>
      </c>
      <c r="C1223">
        <v>1.1000000000000001</v>
      </c>
      <c r="D1223">
        <v>3.0009999999999999</v>
      </c>
      <c r="E1223">
        <v>1.0000000000000001E-5</v>
      </c>
      <c r="F1223" t="s">
        <v>13</v>
      </c>
      <c r="G1223" t="s">
        <v>12</v>
      </c>
      <c r="H1223">
        <v>5</v>
      </c>
      <c r="I1223">
        <v>10</v>
      </c>
      <c r="J1223" t="s">
        <v>10</v>
      </c>
      <c r="K1223">
        <v>5.8</v>
      </c>
      <c r="L1223">
        <v>29</v>
      </c>
      <c r="M1223">
        <v>5.7729999999999997</v>
      </c>
      <c r="N1223">
        <v>28.867999999999999</v>
      </c>
      <c r="O1223" t="s">
        <v>2442</v>
      </c>
    </row>
    <row r="1224" spans="1:15" x14ac:dyDescent="0.25">
      <c r="A1224" t="s">
        <v>55</v>
      </c>
      <c r="B1224" t="s">
        <v>47</v>
      </c>
      <c r="C1224">
        <v>1.1000000000000001</v>
      </c>
      <c r="D1224">
        <v>3.0009999999999999</v>
      </c>
      <c r="E1224">
        <v>1.0000000000000001E-5</v>
      </c>
      <c r="F1224" t="s">
        <v>13</v>
      </c>
      <c r="G1224" t="s">
        <v>12</v>
      </c>
      <c r="H1224">
        <v>4.4999999999999998E-2</v>
      </c>
      <c r="I1224">
        <v>1.0000100000000001</v>
      </c>
      <c r="J1224" t="s">
        <v>10</v>
      </c>
      <c r="K1224">
        <v>0.13</v>
      </c>
      <c r="L1224">
        <v>0.69</v>
      </c>
      <c r="M1224">
        <v>0.11619</v>
      </c>
      <c r="N1224">
        <v>0.69369000000000003</v>
      </c>
      <c r="O1224" t="s">
        <v>2441</v>
      </c>
    </row>
    <row r="1225" spans="1:15" x14ac:dyDescent="0.25">
      <c r="A1225" t="s">
        <v>55</v>
      </c>
      <c r="B1225" t="s">
        <v>47</v>
      </c>
      <c r="C1225">
        <v>1.1000000000000001</v>
      </c>
      <c r="D1225">
        <v>3.0009999999999999</v>
      </c>
      <c r="E1225">
        <v>1E-4</v>
      </c>
      <c r="F1225" t="s">
        <v>13</v>
      </c>
      <c r="G1225" t="s">
        <v>12</v>
      </c>
      <c r="H1225">
        <v>0.01</v>
      </c>
      <c r="I1225">
        <v>4.5010000000000001E-2</v>
      </c>
      <c r="J1225" t="s">
        <v>10</v>
      </c>
      <c r="K1225">
        <v>0.12</v>
      </c>
      <c r="L1225">
        <v>2.1</v>
      </c>
      <c r="M1225">
        <v>0.11676</v>
      </c>
      <c r="N1225">
        <v>2.0785</v>
      </c>
      <c r="O1225" t="s">
        <v>2448</v>
      </c>
    </row>
    <row r="1226" spans="1:15" x14ac:dyDescent="0.25">
      <c r="A1226" t="s">
        <v>55</v>
      </c>
      <c r="B1226" t="s">
        <v>47</v>
      </c>
      <c r="C1226">
        <v>1.1000000000000001</v>
      </c>
      <c r="D1226">
        <v>3.0009999999999999</v>
      </c>
      <c r="E1226">
        <v>1E-4</v>
      </c>
      <c r="F1226" t="s">
        <v>13</v>
      </c>
      <c r="G1226" t="s">
        <v>12</v>
      </c>
      <c r="H1226">
        <v>5</v>
      </c>
      <c r="I1226">
        <v>10</v>
      </c>
      <c r="J1226" t="s">
        <v>10</v>
      </c>
      <c r="K1226">
        <v>5.8</v>
      </c>
      <c r="L1226">
        <v>29</v>
      </c>
      <c r="M1226">
        <v>5.7731000000000003</v>
      </c>
      <c r="N1226">
        <v>28.867999999999999</v>
      </c>
      <c r="O1226" t="s">
        <v>2446</v>
      </c>
    </row>
    <row r="1227" spans="1:15" x14ac:dyDescent="0.25">
      <c r="A1227" t="s">
        <v>55</v>
      </c>
      <c r="B1227" t="s">
        <v>47</v>
      </c>
      <c r="C1227">
        <v>1.1000000000000001</v>
      </c>
      <c r="D1227">
        <v>3.0009999999999999</v>
      </c>
      <c r="E1227">
        <v>1E-4</v>
      </c>
      <c r="F1227" t="s">
        <v>13</v>
      </c>
      <c r="G1227" t="s">
        <v>12</v>
      </c>
      <c r="H1227">
        <v>4.4999999999999998E-2</v>
      </c>
      <c r="I1227">
        <v>1.0000100000000001</v>
      </c>
      <c r="J1227" t="s">
        <v>10</v>
      </c>
      <c r="K1227">
        <v>0.13</v>
      </c>
      <c r="L1227">
        <v>0.69</v>
      </c>
      <c r="M1227">
        <v>0.11867999999999999</v>
      </c>
      <c r="N1227">
        <v>0.69310000000000005</v>
      </c>
      <c r="O1227" t="s">
        <v>2821</v>
      </c>
    </row>
    <row r="1228" spans="1:15" x14ac:dyDescent="0.25">
      <c r="A1228" t="s">
        <v>55</v>
      </c>
      <c r="B1228" t="s">
        <v>47</v>
      </c>
      <c r="C1228">
        <v>1.1000000000000001</v>
      </c>
      <c r="D1228">
        <v>3.0009999999999999</v>
      </c>
      <c r="E1228">
        <v>1E-4</v>
      </c>
      <c r="F1228" t="s">
        <v>13</v>
      </c>
      <c r="G1228" t="s">
        <v>12</v>
      </c>
      <c r="H1228">
        <v>10</v>
      </c>
      <c r="I1228">
        <v>10.01</v>
      </c>
      <c r="J1228" t="s">
        <v>10</v>
      </c>
      <c r="K1228">
        <v>5.8</v>
      </c>
      <c r="L1228">
        <v>29</v>
      </c>
      <c r="M1228">
        <v>5.7731000000000003</v>
      </c>
      <c r="N1228">
        <v>28.867999999999999</v>
      </c>
      <c r="O1228" t="s">
        <v>2445</v>
      </c>
    </row>
    <row r="1229" spans="1:15" x14ac:dyDescent="0.25">
      <c r="A1229" t="s">
        <v>55</v>
      </c>
      <c r="B1229" t="s">
        <v>47</v>
      </c>
      <c r="C1229">
        <v>1.1000000000000001</v>
      </c>
      <c r="D1229">
        <v>3.0009999999999999</v>
      </c>
      <c r="E1229">
        <v>1E-4</v>
      </c>
      <c r="F1229" t="s">
        <v>13</v>
      </c>
      <c r="G1229" t="s">
        <v>12</v>
      </c>
      <c r="H1229">
        <v>1</v>
      </c>
      <c r="I1229">
        <v>5.01</v>
      </c>
      <c r="J1229" t="s">
        <v>10</v>
      </c>
      <c r="K1229">
        <v>1.3</v>
      </c>
      <c r="L1229">
        <v>6.9</v>
      </c>
      <c r="M1229">
        <v>1.1552</v>
      </c>
      <c r="N1229">
        <v>6.9282000000000004</v>
      </c>
      <c r="O1229" t="s">
        <v>2447</v>
      </c>
    </row>
    <row r="1230" spans="1:15" x14ac:dyDescent="0.25">
      <c r="A1230" t="s">
        <v>55</v>
      </c>
      <c r="B1230" t="s">
        <v>47</v>
      </c>
      <c r="C1230">
        <v>1.1000000000000001</v>
      </c>
      <c r="D1230">
        <v>3.0009999999999999</v>
      </c>
      <c r="E1230">
        <v>1E-3</v>
      </c>
      <c r="F1230" t="s">
        <v>13</v>
      </c>
      <c r="G1230" t="s">
        <v>12</v>
      </c>
      <c r="H1230">
        <v>10</v>
      </c>
      <c r="I1230">
        <v>10.01</v>
      </c>
      <c r="J1230" t="s">
        <v>10</v>
      </c>
      <c r="K1230">
        <v>5.8</v>
      </c>
      <c r="L1230">
        <v>29</v>
      </c>
      <c r="M1230">
        <v>5.78</v>
      </c>
      <c r="N1230">
        <v>28.866</v>
      </c>
      <c r="O1230" t="s">
        <v>2450</v>
      </c>
    </row>
    <row r="1231" spans="1:15" x14ac:dyDescent="0.25">
      <c r="A1231" t="s">
        <v>55</v>
      </c>
      <c r="B1231" t="s">
        <v>47</v>
      </c>
      <c r="C1231">
        <v>1.1000000000000001</v>
      </c>
      <c r="D1231">
        <v>3.0009999999999999</v>
      </c>
      <c r="E1231">
        <v>1E-3</v>
      </c>
      <c r="F1231" t="s">
        <v>13</v>
      </c>
      <c r="G1231" t="s">
        <v>12</v>
      </c>
      <c r="H1231">
        <v>5</v>
      </c>
      <c r="I1231">
        <v>10</v>
      </c>
      <c r="J1231" t="s">
        <v>10</v>
      </c>
      <c r="K1231">
        <v>5.8</v>
      </c>
      <c r="L1231">
        <v>29</v>
      </c>
      <c r="M1231">
        <v>5.78</v>
      </c>
      <c r="N1231">
        <v>28.866</v>
      </c>
      <c r="O1231" t="s">
        <v>2451</v>
      </c>
    </row>
    <row r="1232" spans="1:15" x14ac:dyDescent="0.25">
      <c r="A1232" t="s">
        <v>55</v>
      </c>
      <c r="B1232" t="s">
        <v>47</v>
      </c>
      <c r="C1232">
        <v>1.1000000000000001</v>
      </c>
      <c r="D1232">
        <v>3.0009999999999999</v>
      </c>
      <c r="E1232">
        <v>1E-3</v>
      </c>
      <c r="F1232" t="s">
        <v>13</v>
      </c>
      <c r="G1232" t="s">
        <v>12</v>
      </c>
      <c r="H1232">
        <v>1</v>
      </c>
      <c r="I1232">
        <v>5.01</v>
      </c>
      <c r="J1232" t="s">
        <v>10</v>
      </c>
      <c r="K1232">
        <v>1.3</v>
      </c>
      <c r="L1232">
        <v>6.9</v>
      </c>
      <c r="M1232">
        <v>1.1803999999999999</v>
      </c>
      <c r="N1232">
        <v>6.9222999999999999</v>
      </c>
      <c r="O1232" t="s">
        <v>2822</v>
      </c>
    </row>
    <row r="1233" spans="1:15" x14ac:dyDescent="0.25">
      <c r="A1233" t="s">
        <v>55</v>
      </c>
      <c r="B1233" t="s">
        <v>47</v>
      </c>
      <c r="C1233">
        <v>1.1000000000000001</v>
      </c>
      <c r="D1233">
        <v>3.0009999999999999</v>
      </c>
      <c r="E1233">
        <v>1E-3</v>
      </c>
      <c r="F1233" t="s">
        <v>13</v>
      </c>
      <c r="G1233" t="s">
        <v>12</v>
      </c>
      <c r="H1233">
        <v>4.4999999999999998E-2</v>
      </c>
      <c r="I1233">
        <v>1.0000100000000001</v>
      </c>
      <c r="J1233" t="s">
        <v>10</v>
      </c>
      <c r="K1233">
        <v>0.35192000000000001</v>
      </c>
      <c r="L1233">
        <v>0.64234000000000002</v>
      </c>
      <c r="M1233">
        <v>0.34550999999999998</v>
      </c>
      <c r="N1233">
        <v>0.6421</v>
      </c>
      <c r="O1233" t="s">
        <v>2449</v>
      </c>
    </row>
    <row r="1234" spans="1:15" x14ac:dyDescent="0.25">
      <c r="A1234" t="s">
        <v>55</v>
      </c>
      <c r="B1234" t="s">
        <v>47</v>
      </c>
      <c r="C1234">
        <v>1.1000000000000001</v>
      </c>
      <c r="D1234">
        <v>3.0009999999999999</v>
      </c>
      <c r="E1234">
        <v>1E-3</v>
      </c>
      <c r="F1234" t="s">
        <v>13</v>
      </c>
      <c r="G1234" t="s">
        <v>12</v>
      </c>
      <c r="H1234">
        <v>0.01</v>
      </c>
      <c r="I1234">
        <v>4.5010000000000001E-2</v>
      </c>
      <c r="J1234" t="s">
        <v>10</v>
      </c>
      <c r="K1234">
        <v>0.18892</v>
      </c>
      <c r="L1234">
        <v>2.077</v>
      </c>
      <c r="M1234">
        <v>0.20868</v>
      </c>
      <c r="N1234">
        <v>2.0565000000000002</v>
      </c>
      <c r="O1234" t="s">
        <v>2823</v>
      </c>
    </row>
    <row r="1235" spans="1:15" x14ac:dyDescent="0.25">
      <c r="A1235" t="s">
        <v>55</v>
      </c>
      <c r="B1235" t="s">
        <v>47</v>
      </c>
      <c r="C1235">
        <v>1.1000000000000001</v>
      </c>
      <c r="D1235">
        <v>3.0009999999999999</v>
      </c>
      <c r="E1235">
        <v>0.01</v>
      </c>
      <c r="F1235" t="s">
        <v>13</v>
      </c>
      <c r="G1235" t="s">
        <v>12</v>
      </c>
      <c r="H1235">
        <v>5</v>
      </c>
      <c r="I1235">
        <v>10</v>
      </c>
      <c r="J1235" t="s">
        <v>10</v>
      </c>
      <c r="K1235">
        <v>6.2283999999999997</v>
      </c>
      <c r="L1235">
        <v>28.856999999999999</v>
      </c>
      <c r="M1235">
        <v>6.3663999999999996</v>
      </c>
      <c r="N1235">
        <v>28.73</v>
      </c>
      <c r="O1235" t="s">
        <v>2456</v>
      </c>
    </row>
    <row r="1236" spans="1:15" x14ac:dyDescent="0.25">
      <c r="A1236" t="s">
        <v>55</v>
      </c>
      <c r="B1236" t="s">
        <v>47</v>
      </c>
      <c r="C1236">
        <v>1.1000000000000001</v>
      </c>
      <c r="D1236">
        <v>3.0009999999999999</v>
      </c>
      <c r="E1236">
        <v>0.01</v>
      </c>
      <c r="F1236" t="s">
        <v>13</v>
      </c>
      <c r="G1236" t="s">
        <v>12</v>
      </c>
      <c r="H1236">
        <v>0.01</v>
      </c>
      <c r="I1236">
        <v>4.5010000000000001E-2</v>
      </c>
      <c r="J1236" t="s">
        <v>10</v>
      </c>
      <c r="K1236">
        <v>4.9070999999999998</v>
      </c>
      <c r="L1236">
        <v>1.2281</v>
      </c>
      <c r="M1236">
        <v>4.9043000000000001</v>
      </c>
      <c r="N1236">
        <v>1.2264999999999999</v>
      </c>
      <c r="O1236" t="s">
        <v>2454</v>
      </c>
    </row>
    <row r="1237" spans="1:15" x14ac:dyDescent="0.25">
      <c r="A1237" t="s">
        <v>55</v>
      </c>
      <c r="B1237" t="s">
        <v>47</v>
      </c>
      <c r="C1237">
        <v>1.1000000000000001</v>
      </c>
      <c r="D1237">
        <v>3.0009999999999999</v>
      </c>
      <c r="E1237">
        <v>0.01</v>
      </c>
      <c r="F1237" t="s">
        <v>13</v>
      </c>
      <c r="G1237" t="s">
        <v>12</v>
      </c>
      <c r="H1237">
        <v>1</v>
      </c>
      <c r="I1237">
        <v>5.01</v>
      </c>
      <c r="J1237" t="s">
        <v>10</v>
      </c>
      <c r="K1237">
        <v>3.4546999999999999</v>
      </c>
      <c r="L1237">
        <v>6.4116</v>
      </c>
      <c r="M1237">
        <v>3.4521000000000002</v>
      </c>
      <c r="N1237">
        <v>6.4115000000000002</v>
      </c>
      <c r="O1237" t="s">
        <v>2455</v>
      </c>
    </row>
    <row r="1238" spans="1:15" x14ac:dyDescent="0.25">
      <c r="A1238" t="s">
        <v>55</v>
      </c>
      <c r="B1238" t="s">
        <v>47</v>
      </c>
      <c r="C1238">
        <v>1.1000000000000001</v>
      </c>
      <c r="D1238">
        <v>3.0009999999999999</v>
      </c>
      <c r="E1238">
        <v>0.01</v>
      </c>
      <c r="F1238" t="s">
        <v>13</v>
      </c>
      <c r="G1238" t="s">
        <v>12</v>
      </c>
      <c r="H1238">
        <v>4.4999999999999998E-2</v>
      </c>
      <c r="I1238">
        <v>1.0000100000000001</v>
      </c>
      <c r="J1238" t="s">
        <v>10</v>
      </c>
      <c r="K1238">
        <v>5.6463000000000001</v>
      </c>
      <c r="L1238">
        <v>0.18057000000000001</v>
      </c>
      <c r="M1238">
        <v>5.6448</v>
      </c>
      <c r="N1238">
        <v>0.17757999999999999</v>
      </c>
      <c r="O1238" t="s">
        <v>2453</v>
      </c>
    </row>
    <row r="1239" spans="1:15" x14ac:dyDescent="0.25">
      <c r="A1239" t="s">
        <v>55</v>
      </c>
      <c r="B1239" t="s">
        <v>47</v>
      </c>
      <c r="C1239">
        <v>1.1000000000000001</v>
      </c>
      <c r="D1239">
        <v>3.0009999999999999</v>
      </c>
      <c r="E1239">
        <v>0.01</v>
      </c>
      <c r="F1239" t="s">
        <v>13</v>
      </c>
      <c r="G1239" t="s">
        <v>12</v>
      </c>
      <c r="H1239">
        <v>10</v>
      </c>
      <c r="I1239">
        <v>10.01</v>
      </c>
      <c r="J1239" t="s">
        <v>10</v>
      </c>
      <c r="K1239">
        <v>6.2283999999999997</v>
      </c>
      <c r="L1239">
        <v>28.856999999999999</v>
      </c>
      <c r="M1239">
        <v>6.3663999999999996</v>
      </c>
      <c r="N1239">
        <v>28.73</v>
      </c>
      <c r="O1239" t="s">
        <v>2452</v>
      </c>
    </row>
    <row r="1240" spans="1:15" x14ac:dyDescent="0.25">
      <c r="A1240" t="s">
        <v>55</v>
      </c>
      <c r="B1240" t="s">
        <v>47</v>
      </c>
      <c r="C1240">
        <v>1.1000000000000001</v>
      </c>
      <c r="D1240">
        <v>3.0009999999999999</v>
      </c>
      <c r="E1240">
        <v>0.1</v>
      </c>
      <c r="F1240" t="s">
        <v>13</v>
      </c>
      <c r="G1240" t="s">
        <v>12</v>
      </c>
      <c r="H1240">
        <v>10</v>
      </c>
      <c r="I1240">
        <v>10.01</v>
      </c>
      <c r="J1240" t="s">
        <v>10</v>
      </c>
      <c r="K1240">
        <v>45.661999999999999</v>
      </c>
      <c r="L1240">
        <v>21.093</v>
      </c>
      <c r="M1240">
        <v>45.658999999999999</v>
      </c>
      <c r="N1240">
        <v>21.091999999999999</v>
      </c>
      <c r="O1240" t="s">
        <v>2457</v>
      </c>
    </row>
    <row r="1241" spans="1:15" x14ac:dyDescent="0.25">
      <c r="A1241" t="s">
        <v>55</v>
      </c>
      <c r="B1241" t="s">
        <v>47</v>
      </c>
      <c r="C1241">
        <v>1.1000000000000001</v>
      </c>
      <c r="D1241">
        <v>3.0009999999999999</v>
      </c>
      <c r="E1241">
        <v>0.1</v>
      </c>
      <c r="F1241" t="s">
        <v>13</v>
      </c>
      <c r="G1241" t="s">
        <v>12</v>
      </c>
      <c r="H1241">
        <v>4.4999999999999998E-2</v>
      </c>
      <c r="I1241">
        <v>1.0000100000000001</v>
      </c>
      <c r="J1241" t="s">
        <v>10</v>
      </c>
      <c r="K1241">
        <v>57.722000000000001</v>
      </c>
      <c r="L1241">
        <v>1.9812E-2</v>
      </c>
      <c r="M1241">
        <v>57.722000000000001</v>
      </c>
      <c r="N1241">
        <v>1.8474000000000001E-2</v>
      </c>
      <c r="O1241" t="s">
        <v>2824</v>
      </c>
    </row>
    <row r="1242" spans="1:15" x14ac:dyDescent="0.25">
      <c r="A1242" t="s">
        <v>55</v>
      </c>
      <c r="B1242" t="s">
        <v>47</v>
      </c>
      <c r="C1242">
        <v>1.1000000000000001</v>
      </c>
      <c r="D1242">
        <v>3.0009999999999999</v>
      </c>
      <c r="E1242">
        <v>0.1</v>
      </c>
      <c r="F1242" t="s">
        <v>13</v>
      </c>
      <c r="G1242" t="s">
        <v>12</v>
      </c>
      <c r="H1242">
        <v>1</v>
      </c>
      <c r="I1242">
        <v>5.01</v>
      </c>
      <c r="J1242" t="s">
        <v>10</v>
      </c>
      <c r="K1242">
        <v>56.451000000000001</v>
      </c>
      <c r="L1242">
        <v>1.7722</v>
      </c>
      <c r="M1242">
        <v>56.451000000000001</v>
      </c>
      <c r="N1242">
        <v>1.7709999999999999</v>
      </c>
      <c r="O1242" t="s">
        <v>2458</v>
      </c>
    </row>
    <row r="1243" spans="1:15" x14ac:dyDescent="0.25">
      <c r="A1243" t="s">
        <v>55</v>
      </c>
      <c r="B1243" t="s">
        <v>47</v>
      </c>
      <c r="C1243">
        <v>1.1000000000000001</v>
      </c>
      <c r="D1243">
        <v>3.0009999999999999</v>
      </c>
      <c r="E1243">
        <v>0.1</v>
      </c>
      <c r="F1243" t="s">
        <v>13</v>
      </c>
      <c r="G1243" t="s">
        <v>12</v>
      </c>
      <c r="H1243">
        <v>5</v>
      </c>
      <c r="I1243">
        <v>10</v>
      </c>
      <c r="J1243" t="s">
        <v>10</v>
      </c>
      <c r="K1243">
        <v>45.661999999999999</v>
      </c>
      <c r="L1243">
        <v>21.093</v>
      </c>
      <c r="M1243">
        <v>45.658999999999999</v>
      </c>
      <c r="N1243">
        <v>21.091999999999999</v>
      </c>
      <c r="O1243" t="s">
        <v>2459</v>
      </c>
    </row>
    <row r="1244" spans="1:15" x14ac:dyDescent="0.25">
      <c r="A1244" t="s">
        <v>55</v>
      </c>
      <c r="B1244" t="s">
        <v>47</v>
      </c>
      <c r="C1244">
        <v>1.1000000000000001</v>
      </c>
      <c r="D1244">
        <v>3.0009999999999999</v>
      </c>
      <c r="E1244">
        <v>0.1</v>
      </c>
      <c r="F1244" t="s">
        <v>13</v>
      </c>
      <c r="G1244" t="s">
        <v>12</v>
      </c>
      <c r="H1244">
        <v>0.01</v>
      </c>
      <c r="I1244">
        <v>4.5010000000000001E-2</v>
      </c>
      <c r="J1244" t="s">
        <v>10</v>
      </c>
      <c r="K1244">
        <v>57.613</v>
      </c>
      <c r="L1244">
        <v>0.15837999999999999</v>
      </c>
      <c r="M1244">
        <v>57.613</v>
      </c>
      <c r="N1244">
        <v>0.15706000000000001</v>
      </c>
      <c r="O1244" t="s">
        <v>2825</v>
      </c>
    </row>
    <row r="1245" spans="1:15" x14ac:dyDescent="0.25">
      <c r="A1245" t="s">
        <v>55</v>
      </c>
      <c r="B1245" t="s">
        <v>47</v>
      </c>
      <c r="C1245">
        <v>3</v>
      </c>
      <c r="D1245">
        <v>11.000999999999999</v>
      </c>
      <c r="E1245">
        <v>1E-4</v>
      </c>
      <c r="F1245" t="s">
        <v>13</v>
      </c>
      <c r="G1245" t="s">
        <v>12</v>
      </c>
      <c r="H1245">
        <v>5</v>
      </c>
      <c r="I1245">
        <v>5.01</v>
      </c>
      <c r="J1245" t="s">
        <v>10</v>
      </c>
      <c r="K1245">
        <v>2.5</v>
      </c>
      <c r="L1245">
        <v>35</v>
      </c>
      <c r="M1245">
        <v>2.3102999999999998</v>
      </c>
      <c r="N1245">
        <v>34.640999999999998</v>
      </c>
      <c r="O1245" t="s">
        <v>2460</v>
      </c>
    </row>
    <row r="1246" spans="1:15" x14ac:dyDescent="0.25">
      <c r="A1246" t="s">
        <v>55</v>
      </c>
      <c r="B1246" t="s">
        <v>47</v>
      </c>
      <c r="C1246">
        <v>3</v>
      </c>
      <c r="D1246">
        <v>11.000999999999999</v>
      </c>
      <c r="E1246">
        <v>1E-4</v>
      </c>
      <c r="F1246" t="s">
        <v>13</v>
      </c>
      <c r="G1246" t="s">
        <v>12</v>
      </c>
      <c r="H1246">
        <v>1</v>
      </c>
      <c r="I1246">
        <v>5</v>
      </c>
      <c r="J1246" t="s">
        <v>10</v>
      </c>
      <c r="K1246">
        <v>2.5</v>
      </c>
      <c r="L1246">
        <v>35</v>
      </c>
      <c r="M1246">
        <v>2.3102999999999998</v>
      </c>
      <c r="N1246">
        <v>34.640999999999998</v>
      </c>
      <c r="O1246" t="s">
        <v>2461</v>
      </c>
    </row>
    <row r="1247" spans="1:15" x14ac:dyDescent="0.25">
      <c r="A1247" t="s">
        <v>55</v>
      </c>
      <c r="B1247" t="s">
        <v>47</v>
      </c>
      <c r="C1247">
        <v>3</v>
      </c>
      <c r="D1247">
        <v>11.000999999999999</v>
      </c>
      <c r="E1247">
        <v>1E-4</v>
      </c>
      <c r="F1247" t="s">
        <v>13</v>
      </c>
      <c r="G1247" t="s">
        <v>12</v>
      </c>
      <c r="H1247">
        <v>4.4999999999999998E-2</v>
      </c>
      <c r="I1247">
        <v>0.10001</v>
      </c>
      <c r="J1247" t="s">
        <v>10</v>
      </c>
      <c r="K1247">
        <v>2.4</v>
      </c>
      <c r="L1247">
        <v>0.69</v>
      </c>
      <c r="M1247">
        <v>2.3298000000000001</v>
      </c>
      <c r="N1247">
        <v>0.69372999999999996</v>
      </c>
      <c r="O1247" t="s">
        <v>2826</v>
      </c>
    </row>
    <row r="1248" spans="1:15" x14ac:dyDescent="0.25">
      <c r="A1248" t="s">
        <v>55</v>
      </c>
      <c r="B1248" t="s">
        <v>47</v>
      </c>
      <c r="C1248">
        <v>3</v>
      </c>
      <c r="D1248">
        <v>11.000999999999999</v>
      </c>
      <c r="E1248">
        <v>1E-4</v>
      </c>
      <c r="F1248" t="s">
        <v>13</v>
      </c>
      <c r="G1248" t="s">
        <v>12</v>
      </c>
      <c r="H1248">
        <v>0.1</v>
      </c>
      <c r="I1248">
        <v>1.0000100000000001</v>
      </c>
      <c r="J1248" t="s">
        <v>10</v>
      </c>
      <c r="K1248">
        <v>2.4</v>
      </c>
      <c r="L1248">
        <v>1.2</v>
      </c>
      <c r="M1248">
        <v>2.3239999999999998</v>
      </c>
      <c r="N1248">
        <v>1.1553</v>
      </c>
      <c r="O1248" t="s">
        <v>2827</v>
      </c>
    </row>
    <row r="1249" spans="1:15" x14ac:dyDescent="0.25">
      <c r="A1249" t="s">
        <v>55</v>
      </c>
      <c r="B1249" t="s">
        <v>47</v>
      </c>
      <c r="C1249">
        <v>3</v>
      </c>
      <c r="D1249">
        <v>11.000999999999999</v>
      </c>
      <c r="E1249">
        <v>1E-3</v>
      </c>
      <c r="F1249" t="s">
        <v>13</v>
      </c>
      <c r="G1249" t="s">
        <v>12</v>
      </c>
      <c r="H1249">
        <v>1</v>
      </c>
      <c r="I1249">
        <v>5</v>
      </c>
      <c r="J1249" t="s">
        <v>10</v>
      </c>
      <c r="K1249">
        <v>2.5</v>
      </c>
      <c r="L1249">
        <v>35</v>
      </c>
      <c r="M1249">
        <v>2.3111999999999999</v>
      </c>
      <c r="N1249">
        <v>34.640999999999998</v>
      </c>
      <c r="O1249" t="s">
        <v>2464</v>
      </c>
    </row>
    <row r="1250" spans="1:15" x14ac:dyDescent="0.25">
      <c r="A1250" t="s">
        <v>55</v>
      </c>
      <c r="B1250" t="s">
        <v>47</v>
      </c>
      <c r="C1250">
        <v>3</v>
      </c>
      <c r="D1250">
        <v>11.000999999999999</v>
      </c>
      <c r="E1250">
        <v>1E-3</v>
      </c>
      <c r="F1250" t="s">
        <v>13</v>
      </c>
      <c r="G1250" t="s">
        <v>12</v>
      </c>
      <c r="H1250">
        <v>4.4999999999999998E-2</v>
      </c>
      <c r="I1250">
        <v>0.10001</v>
      </c>
      <c r="J1250" t="s">
        <v>10</v>
      </c>
      <c r="K1250">
        <v>2.4</v>
      </c>
      <c r="L1250">
        <v>0.69</v>
      </c>
      <c r="M1250">
        <v>2.3708999999999998</v>
      </c>
      <c r="N1250">
        <v>0.69111999999999996</v>
      </c>
      <c r="O1250" t="s">
        <v>2463</v>
      </c>
    </row>
    <row r="1251" spans="1:15" x14ac:dyDescent="0.25">
      <c r="A1251" t="s">
        <v>55</v>
      </c>
      <c r="B1251" t="s">
        <v>47</v>
      </c>
      <c r="C1251">
        <v>3</v>
      </c>
      <c r="D1251">
        <v>11.000999999999999</v>
      </c>
      <c r="E1251">
        <v>1E-3</v>
      </c>
      <c r="F1251" t="s">
        <v>13</v>
      </c>
      <c r="G1251" t="s">
        <v>12</v>
      </c>
      <c r="H1251">
        <v>0.1</v>
      </c>
      <c r="I1251">
        <v>1.0000100000000001</v>
      </c>
      <c r="J1251" t="s">
        <v>10</v>
      </c>
      <c r="K1251">
        <v>2.4</v>
      </c>
      <c r="L1251">
        <v>1.2</v>
      </c>
      <c r="M1251">
        <v>2.3551000000000002</v>
      </c>
      <c r="N1251">
        <v>1.1531</v>
      </c>
      <c r="O1251" t="s">
        <v>2828</v>
      </c>
    </row>
    <row r="1252" spans="1:15" x14ac:dyDescent="0.25">
      <c r="A1252" t="s">
        <v>55</v>
      </c>
      <c r="B1252" t="s">
        <v>47</v>
      </c>
      <c r="C1252">
        <v>3</v>
      </c>
      <c r="D1252">
        <v>11.000999999999999</v>
      </c>
      <c r="E1252">
        <v>1E-3</v>
      </c>
      <c r="F1252" t="s">
        <v>13</v>
      </c>
      <c r="G1252" t="s">
        <v>12</v>
      </c>
      <c r="H1252">
        <v>5</v>
      </c>
      <c r="I1252">
        <v>5.01</v>
      </c>
      <c r="J1252" t="s">
        <v>10</v>
      </c>
      <c r="K1252">
        <v>2.5</v>
      </c>
      <c r="L1252">
        <v>35</v>
      </c>
      <c r="M1252">
        <v>2.3111999999999999</v>
      </c>
      <c r="N1252">
        <v>34.640999999999998</v>
      </c>
      <c r="O1252" t="s">
        <v>2462</v>
      </c>
    </row>
    <row r="1253" spans="1:15" x14ac:dyDescent="0.25">
      <c r="A1253" t="s">
        <v>55</v>
      </c>
      <c r="B1253" t="s">
        <v>47</v>
      </c>
      <c r="C1253">
        <v>3</v>
      </c>
      <c r="D1253">
        <v>11.000999999999999</v>
      </c>
      <c r="E1253">
        <v>0.01</v>
      </c>
      <c r="F1253" t="s">
        <v>13</v>
      </c>
      <c r="G1253" t="s">
        <v>12</v>
      </c>
      <c r="H1253">
        <v>0.1</v>
      </c>
      <c r="I1253">
        <v>1.0000100000000001</v>
      </c>
      <c r="J1253" t="s">
        <v>10</v>
      </c>
      <c r="K1253">
        <v>5.1971999999999996</v>
      </c>
      <c r="L1253">
        <v>0.99041000000000001</v>
      </c>
      <c r="M1253">
        <v>5.1951000000000001</v>
      </c>
      <c r="N1253">
        <v>0.99036000000000002</v>
      </c>
      <c r="O1253" t="s">
        <v>2466</v>
      </c>
    </row>
    <row r="1254" spans="1:15" x14ac:dyDescent="0.25">
      <c r="A1254" t="s">
        <v>55</v>
      </c>
      <c r="B1254" t="s">
        <v>47</v>
      </c>
      <c r="C1254">
        <v>3</v>
      </c>
      <c r="D1254">
        <v>11.000999999999999</v>
      </c>
      <c r="E1254">
        <v>0.01</v>
      </c>
      <c r="F1254" t="s">
        <v>13</v>
      </c>
      <c r="G1254" t="s">
        <v>12</v>
      </c>
      <c r="H1254">
        <v>4.4999999999999998E-2</v>
      </c>
      <c r="I1254">
        <v>0.10001</v>
      </c>
      <c r="J1254" t="s">
        <v>10</v>
      </c>
      <c r="K1254">
        <v>5.6643999999999997</v>
      </c>
      <c r="L1254">
        <v>0.53041000000000005</v>
      </c>
      <c r="M1254">
        <v>5.6622000000000003</v>
      </c>
      <c r="N1254">
        <v>0.53025999999999995</v>
      </c>
      <c r="O1254" t="s">
        <v>2829</v>
      </c>
    </row>
    <row r="1255" spans="1:15" x14ac:dyDescent="0.25">
      <c r="A1255" t="s">
        <v>55</v>
      </c>
      <c r="B1255" t="s">
        <v>47</v>
      </c>
      <c r="C1255">
        <v>3</v>
      </c>
      <c r="D1255">
        <v>11.000999999999999</v>
      </c>
      <c r="E1255">
        <v>0.01</v>
      </c>
      <c r="F1255" t="s">
        <v>13</v>
      </c>
      <c r="G1255" t="s">
        <v>12</v>
      </c>
      <c r="H1255">
        <v>1</v>
      </c>
      <c r="I1255">
        <v>5</v>
      </c>
      <c r="J1255" t="s">
        <v>10</v>
      </c>
      <c r="K1255">
        <v>2.5</v>
      </c>
      <c r="L1255">
        <v>35</v>
      </c>
      <c r="M1255">
        <v>2.5084</v>
      </c>
      <c r="N1255">
        <v>34.627000000000002</v>
      </c>
      <c r="O1255" t="s">
        <v>2465</v>
      </c>
    </row>
    <row r="1256" spans="1:15" x14ac:dyDescent="0.25">
      <c r="A1256" t="s">
        <v>55</v>
      </c>
      <c r="B1256" t="s">
        <v>47</v>
      </c>
      <c r="C1256">
        <v>3</v>
      </c>
      <c r="D1256">
        <v>11.000999999999999</v>
      </c>
      <c r="E1256">
        <v>0.01</v>
      </c>
      <c r="F1256" t="s">
        <v>13</v>
      </c>
      <c r="G1256" t="s">
        <v>12</v>
      </c>
      <c r="H1256">
        <v>5</v>
      </c>
      <c r="I1256">
        <v>5.01</v>
      </c>
      <c r="J1256" t="s">
        <v>10</v>
      </c>
      <c r="K1256">
        <v>2.5</v>
      </c>
      <c r="L1256">
        <v>35</v>
      </c>
      <c r="M1256">
        <v>2.5084</v>
      </c>
      <c r="N1256">
        <v>34.627000000000002</v>
      </c>
      <c r="O1256" t="s">
        <v>2830</v>
      </c>
    </row>
    <row r="1257" spans="1:15" x14ac:dyDescent="0.25">
      <c r="A1257" t="s">
        <v>55</v>
      </c>
      <c r="B1257" t="s">
        <v>47</v>
      </c>
      <c r="C1257">
        <v>3</v>
      </c>
      <c r="D1257">
        <v>11.000999999999999</v>
      </c>
      <c r="E1257">
        <v>0.1</v>
      </c>
      <c r="F1257" t="s">
        <v>13</v>
      </c>
      <c r="G1257" t="s">
        <v>12</v>
      </c>
      <c r="H1257">
        <v>5</v>
      </c>
      <c r="I1257">
        <v>5.01</v>
      </c>
      <c r="J1257" t="s">
        <v>10</v>
      </c>
      <c r="K1257">
        <v>20.888000000000002</v>
      </c>
      <c r="L1257">
        <v>33.345999999999997</v>
      </c>
      <c r="M1257">
        <v>20.867000000000001</v>
      </c>
      <c r="N1257">
        <v>33.347000000000001</v>
      </c>
      <c r="O1257" t="s">
        <v>2469</v>
      </c>
    </row>
    <row r="1258" spans="1:15" x14ac:dyDescent="0.25">
      <c r="A1258" t="s">
        <v>55</v>
      </c>
      <c r="B1258" t="s">
        <v>47</v>
      </c>
      <c r="C1258">
        <v>3</v>
      </c>
      <c r="D1258">
        <v>11.000999999999999</v>
      </c>
      <c r="E1258">
        <v>0.1</v>
      </c>
      <c r="F1258" t="s">
        <v>13</v>
      </c>
      <c r="G1258" t="s">
        <v>12</v>
      </c>
      <c r="H1258">
        <v>0.1</v>
      </c>
      <c r="I1258">
        <v>1.0000100000000001</v>
      </c>
      <c r="J1258" t="s">
        <v>10</v>
      </c>
      <c r="K1258">
        <v>57.411999999999999</v>
      </c>
      <c r="L1258">
        <v>0.20433000000000001</v>
      </c>
      <c r="M1258">
        <v>57.411000000000001</v>
      </c>
      <c r="N1258">
        <v>0.20413000000000001</v>
      </c>
      <c r="O1258" t="s">
        <v>2467</v>
      </c>
    </row>
    <row r="1259" spans="1:15" x14ac:dyDescent="0.25">
      <c r="A1259" t="s">
        <v>55</v>
      </c>
      <c r="B1259" t="s">
        <v>47</v>
      </c>
      <c r="C1259">
        <v>3</v>
      </c>
      <c r="D1259">
        <v>11.000999999999999</v>
      </c>
      <c r="E1259">
        <v>0.1</v>
      </c>
      <c r="F1259" t="s">
        <v>13</v>
      </c>
      <c r="G1259" t="s">
        <v>12</v>
      </c>
      <c r="H1259">
        <v>4.4999999999999998E-2</v>
      </c>
      <c r="I1259">
        <v>0.10001</v>
      </c>
      <c r="J1259" t="s">
        <v>10</v>
      </c>
      <c r="K1259">
        <v>57.646999999999998</v>
      </c>
      <c r="L1259">
        <v>8.5551000000000002E-2</v>
      </c>
      <c r="M1259">
        <v>57.646000000000001</v>
      </c>
      <c r="N1259">
        <v>8.5343000000000002E-2</v>
      </c>
      <c r="O1259" t="s">
        <v>2831</v>
      </c>
    </row>
    <row r="1260" spans="1:15" x14ac:dyDescent="0.25">
      <c r="A1260" t="s">
        <v>55</v>
      </c>
      <c r="B1260" t="s">
        <v>47</v>
      </c>
      <c r="C1260">
        <v>3</v>
      </c>
      <c r="D1260">
        <v>11.000999999999999</v>
      </c>
      <c r="E1260">
        <v>0.1</v>
      </c>
      <c r="F1260" t="s">
        <v>13</v>
      </c>
      <c r="G1260" t="s">
        <v>12</v>
      </c>
      <c r="H1260">
        <v>1</v>
      </c>
      <c r="I1260">
        <v>5</v>
      </c>
      <c r="J1260" t="s">
        <v>10</v>
      </c>
      <c r="K1260">
        <v>20.888000000000002</v>
      </c>
      <c r="L1260">
        <v>33.345999999999997</v>
      </c>
      <c r="M1260">
        <v>20.867000000000001</v>
      </c>
      <c r="N1260">
        <v>33.347000000000001</v>
      </c>
      <c r="O1260" t="s">
        <v>2468</v>
      </c>
    </row>
    <row r="1261" spans="1:15" x14ac:dyDescent="0.25">
      <c r="A1261" t="s">
        <v>55</v>
      </c>
      <c r="B1261" t="s">
        <v>47</v>
      </c>
      <c r="C1261">
        <v>3</v>
      </c>
      <c r="D1261">
        <v>11.000999999999999</v>
      </c>
      <c r="E1261">
        <v>1</v>
      </c>
      <c r="F1261" t="s">
        <v>13</v>
      </c>
      <c r="G1261" t="s">
        <v>12</v>
      </c>
      <c r="H1261">
        <v>0.1</v>
      </c>
      <c r="I1261">
        <v>1.0000100000000001</v>
      </c>
      <c r="J1261" t="s">
        <v>10</v>
      </c>
      <c r="K1261">
        <v>577.32000000000005</v>
      </c>
      <c r="L1261">
        <v>2.0884E-2</v>
      </c>
      <c r="M1261">
        <v>577.32000000000005</v>
      </c>
      <c r="N1261">
        <v>2.0799000000000002E-2</v>
      </c>
      <c r="O1261" t="s">
        <v>2472</v>
      </c>
    </row>
    <row r="1262" spans="1:15" x14ac:dyDescent="0.25">
      <c r="A1262" t="s">
        <v>55</v>
      </c>
      <c r="B1262" t="s">
        <v>47</v>
      </c>
      <c r="C1262">
        <v>3</v>
      </c>
      <c r="D1262">
        <v>11.000999999999999</v>
      </c>
      <c r="E1262">
        <v>1</v>
      </c>
      <c r="F1262" t="s">
        <v>13</v>
      </c>
      <c r="G1262" t="s">
        <v>12</v>
      </c>
      <c r="H1262">
        <v>1</v>
      </c>
      <c r="I1262">
        <v>5</v>
      </c>
      <c r="J1262" t="s">
        <v>10</v>
      </c>
      <c r="K1262">
        <v>547.30999999999995</v>
      </c>
      <c r="L1262">
        <v>13.25</v>
      </c>
      <c r="M1262">
        <v>547.29999999999995</v>
      </c>
      <c r="N1262">
        <v>13.249000000000001</v>
      </c>
      <c r="O1262" t="s">
        <v>2473</v>
      </c>
    </row>
    <row r="1263" spans="1:15" x14ac:dyDescent="0.25">
      <c r="A1263" t="s">
        <v>55</v>
      </c>
      <c r="B1263" t="s">
        <v>47</v>
      </c>
      <c r="C1263">
        <v>3</v>
      </c>
      <c r="D1263">
        <v>11.000999999999999</v>
      </c>
      <c r="E1263">
        <v>1</v>
      </c>
      <c r="F1263" t="s">
        <v>13</v>
      </c>
      <c r="G1263" t="s">
        <v>12</v>
      </c>
      <c r="H1263">
        <v>5</v>
      </c>
      <c r="I1263">
        <v>5.01</v>
      </c>
      <c r="J1263" t="s">
        <v>10</v>
      </c>
      <c r="K1263">
        <v>547.30999999999995</v>
      </c>
      <c r="L1263">
        <v>13.25</v>
      </c>
      <c r="M1263">
        <v>547.29999999999995</v>
      </c>
      <c r="N1263">
        <v>13.249000000000001</v>
      </c>
      <c r="O1263" t="s">
        <v>2471</v>
      </c>
    </row>
    <row r="1264" spans="1:15" x14ac:dyDescent="0.25">
      <c r="A1264" t="s">
        <v>55</v>
      </c>
      <c r="B1264" t="s">
        <v>47</v>
      </c>
      <c r="C1264">
        <v>3</v>
      </c>
      <c r="D1264">
        <v>11.000999999999999</v>
      </c>
      <c r="E1264">
        <v>1</v>
      </c>
      <c r="F1264" t="s">
        <v>13</v>
      </c>
      <c r="G1264" t="s">
        <v>12</v>
      </c>
      <c r="H1264">
        <v>4.4999999999999998E-2</v>
      </c>
      <c r="I1264">
        <v>0.10001</v>
      </c>
      <c r="J1264" t="s">
        <v>10</v>
      </c>
      <c r="K1264">
        <v>577.35</v>
      </c>
      <c r="L1264">
        <v>8.6937999999999998E-3</v>
      </c>
      <c r="M1264">
        <v>577.35</v>
      </c>
      <c r="N1264">
        <v>8.6087000000000004E-3</v>
      </c>
      <c r="O1264" t="s">
        <v>2470</v>
      </c>
    </row>
    <row r="1265" spans="1:15" x14ac:dyDescent="0.25">
      <c r="A1265" t="s">
        <v>55</v>
      </c>
      <c r="B1265" t="s">
        <v>47</v>
      </c>
      <c r="C1265">
        <v>11</v>
      </c>
      <c r="D1265">
        <v>20.501000000000001</v>
      </c>
      <c r="E1265">
        <v>1E-4</v>
      </c>
      <c r="F1265" t="s">
        <v>13</v>
      </c>
      <c r="G1265" t="s">
        <v>12</v>
      </c>
      <c r="H1265">
        <v>4.4999999999999998E-2</v>
      </c>
      <c r="I1265">
        <v>0.10001</v>
      </c>
      <c r="J1265" t="s">
        <v>10</v>
      </c>
      <c r="K1265">
        <v>5.8</v>
      </c>
      <c r="L1265">
        <v>1.4</v>
      </c>
      <c r="M1265">
        <v>5.7744999999999997</v>
      </c>
      <c r="N1265">
        <v>1.3859999999999999</v>
      </c>
      <c r="O1265" t="s">
        <v>2474</v>
      </c>
    </row>
    <row r="1266" spans="1:15" x14ac:dyDescent="0.25">
      <c r="A1266" t="s">
        <v>55</v>
      </c>
      <c r="B1266" t="s">
        <v>47</v>
      </c>
      <c r="C1266">
        <v>11</v>
      </c>
      <c r="D1266">
        <v>20.501000000000001</v>
      </c>
      <c r="E1266">
        <v>1E-4</v>
      </c>
      <c r="F1266" t="s">
        <v>13</v>
      </c>
      <c r="G1266" t="s">
        <v>12</v>
      </c>
      <c r="H1266">
        <v>1</v>
      </c>
      <c r="I1266">
        <v>5</v>
      </c>
      <c r="J1266" t="s">
        <v>10</v>
      </c>
      <c r="K1266">
        <v>5.9</v>
      </c>
      <c r="L1266">
        <v>35</v>
      </c>
      <c r="M1266">
        <v>5.7742000000000004</v>
      </c>
      <c r="N1266">
        <v>34.640999999999998</v>
      </c>
      <c r="O1266" t="s">
        <v>2475</v>
      </c>
    </row>
    <row r="1267" spans="1:15" x14ac:dyDescent="0.25">
      <c r="A1267" t="s">
        <v>55</v>
      </c>
      <c r="B1267" t="s">
        <v>47</v>
      </c>
      <c r="C1267">
        <v>11</v>
      </c>
      <c r="D1267">
        <v>20.501000000000001</v>
      </c>
      <c r="E1267">
        <v>1E-4</v>
      </c>
      <c r="F1267" t="s">
        <v>13</v>
      </c>
      <c r="G1267" t="s">
        <v>12</v>
      </c>
      <c r="H1267">
        <v>5</v>
      </c>
      <c r="I1267">
        <v>5.01</v>
      </c>
      <c r="J1267" t="s">
        <v>10</v>
      </c>
      <c r="K1267">
        <v>5.9</v>
      </c>
      <c r="L1267">
        <v>35</v>
      </c>
      <c r="M1267">
        <v>5.7742000000000004</v>
      </c>
      <c r="N1267">
        <v>34.640999999999998</v>
      </c>
      <c r="O1267" t="s">
        <v>2477</v>
      </c>
    </row>
    <row r="1268" spans="1:15" x14ac:dyDescent="0.25">
      <c r="A1268" t="s">
        <v>55</v>
      </c>
      <c r="B1268" t="s">
        <v>47</v>
      </c>
      <c r="C1268">
        <v>11</v>
      </c>
      <c r="D1268">
        <v>20.501000000000001</v>
      </c>
      <c r="E1268">
        <v>1E-4</v>
      </c>
      <c r="F1268" t="s">
        <v>13</v>
      </c>
      <c r="G1268" t="s">
        <v>12</v>
      </c>
      <c r="H1268">
        <v>0.1</v>
      </c>
      <c r="I1268">
        <v>1.0000100000000001</v>
      </c>
      <c r="J1268" t="s">
        <v>10</v>
      </c>
      <c r="K1268">
        <v>6.5</v>
      </c>
      <c r="L1268">
        <v>1.7</v>
      </c>
      <c r="M1268">
        <v>5.7754000000000003</v>
      </c>
      <c r="N1268">
        <v>1.7323999999999999</v>
      </c>
      <c r="O1268" t="s">
        <v>2476</v>
      </c>
    </row>
    <row r="1269" spans="1:15" x14ac:dyDescent="0.25">
      <c r="A1269" t="s">
        <v>55</v>
      </c>
      <c r="B1269" t="s">
        <v>47</v>
      </c>
      <c r="C1269">
        <v>11</v>
      </c>
      <c r="D1269">
        <v>20.501000000000001</v>
      </c>
      <c r="E1269">
        <v>1E-3</v>
      </c>
      <c r="F1269" t="s">
        <v>13</v>
      </c>
      <c r="G1269" t="s">
        <v>12</v>
      </c>
      <c r="H1269">
        <v>5</v>
      </c>
      <c r="I1269">
        <v>5.01</v>
      </c>
      <c r="J1269" t="s">
        <v>10</v>
      </c>
      <c r="K1269">
        <v>5.9</v>
      </c>
      <c r="L1269">
        <v>35</v>
      </c>
      <c r="M1269">
        <v>5.7744999999999997</v>
      </c>
      <c r="N1269">
        <v>34.640999999999998</v>
      </c>
      <c r="O1269" t="s">
        <v>2481</v>
      </c>
    </row>
    <row r="1270" spans="1:15" x14ac:dyDescent="0.25">
      <c r="A1270" t="s">
        <v>55</v>
      </c>
      <c r="B1270" t="s">
        <v>47</v>
      </c>
      <c r="C1270">
        <v>11</v>
      </c>
      <c r="D1270">
        <v>20.501000000000001</v>
      </c>
      <c r="E1270">
        <v>1E-3</v>
      </c>
      <c r="F1270" t="s">
        <v>13</v>
      </c>
      <c r="G1270" t="s">
        <v>12</v>
      </c>
      <c r="H1270">
        <v>4.4999999999999998E-2</v>
      </c>
      <c r="I1270">
        <v>0.10001</v>
      </c>
      <c r="J1270" t="s">
        <v>10</v>
      </c>
      <c r="K1270">
        <v>5.8</v>
      </c>
      <c r="L1270">
        <v>1.4</v>
      </c>
      <c r="M1270">
        <v>5.7854999999999999</v>
      </c>
      <c r="N1270">
        <v>1.3856999999999999</v>
      </c>
      <c r="O1270" t="s">
        <v>2479</v>
      </c>
    </row>
    <row r="1271" spans="1:15" x14ac:dyDescent="0.25">
      <c r="A1271" t="s">
        <v>55</v>
      </c>
      <c r="B1271" t="s">
        <v>47</v>
      </c>
      <c r="C1271">
        <v>11</v>
      </c>
      <c r="D1271">
        <v>20.501000000000001</v>
      </c>
      <c r="E1271">
        <v>1E-3</v>
      </c>
      <c r="F1271" t="s">
        <v>13</v>
      </c>
      <c r="G1271" t="s">
        <v>12</v>
      </c>
      <c r="H1271">
        <v>1</v>
      </c>
      <c r="I1271">
        <v>5</v>
      </c>
      <c r="J1271" t="s">
        <v>10</v>
      </c>
      <c r="K1271">
        <v>5.9</v>
      </c>
      <c r="L1271">
        <v>35</v>
      </c>
      <c r="M1271">
        <v>5.7744999999999997</v>
      </c>
      <c r="N1271">
        <v>34.640999999999998</v>
      </c>
      <c r="O1271" t="s">
        <v>2478</v>
      </c>
    </row>
    <row r="1272" spans="1:15" x14ac:dyDescent="0.25">
      <c r="A1272" t="s">
        <v>55</v>
      </c>
      <c r="B1272" t="s">
        <v>47</v>
      </c>
      <c r="C1272">
        <v>11</v>
      </c>
      <c r="D1272">
        <v>20.501000000000001</v>
      </c>
      <c r="E1272">
        <v>1E-3</v>
      </c>
      <c r="F1272" t="s">
        <v>13</v>
      </c>
      <c r="G1272" t="s">
        <v>12</v>
      </c>
      <c r="H1272">
        <v>0.1</v>
      </c>
      <c r="I1272">
        <v>1.0000100000000001</v>
      </c>
      <c r="J1272" t="s">
        <v>10</v>
      </c>
      <c r="K1272">
        <v>6.5</v>
      </c>
      <c r="L1272">
        <v>1.7</v>
      </c>
      <c r="M1272">
        <v>5.7851999999999997</v>
      </c>
      <c r="N1272">
        <v>1.7321</v>
      </c>
      <c r="O1272" t="s">
        <v>2480</v>
      </c>
    </row>
    <row r="1273" spans="1:15" x14ac:dyDescent="0.25">
      <c r="A1273" t="s">
        <v>55</v>
      </c>
      <c r="B1273" t="s">
        <v>47</v>
      </c>
      <c r="C1273">
        <v>11</v>
      </c>
      <c r="D1273">
        <v>20.501000000000001</v>
      </c>
      <c r="E1273">
        <v>0.01</v>
      </c>
      <c r="F1273" t="s">
        <v>13</v>
      </c>
      <c r="G1273" t="s">
        <v>12</v>
      </c>
      <c r="H1273">
        <v>1</v>
      </c>
      <c r="I1273">
        <v>5</v>
      </c>
      <c r="J1273" t="s">
        <v>10</v>
      </c>
      <c r="K1273">
        <v>5.9</v>
      </c>
      <c r="L1273">
        <v>35</v>
      </c>
      <c r="M1273">
        <v>5.8395000000000001</v>
      </c>
      <c r="N1273">
        <v>34.639000000000003</v>
      </c>
      <c r="O1273" t="s">
        <v>2484</v>
      </c>
    </row>
    <row r="1274" spans="1:15" x14ac:dyDescent="0.25">
      <c r="A1274" t="s">
        <v>55</v>
      </c>
      <c r="B1274" t="s">
        <v>47</v>
      </c>
      <c r="C1274">
        <v>11</v>
      </c>
      <c r="D1274">
        <v>20.501000000000001</v>
      </c>
      <c r="E1274">
        <v>0.01</v>
      </c>
      <c r="F1274" t="s">
        <v>13</v>
      </c>
      <c r="G1274" t="s">
        <v>12</v>
      </c>
      <c r="H1274">
        <v>4.4999999999999998E-2</v>
      </c>
      <c r="I1274">
        <v>0.10001</v>
      </c>
      <c r="J1274" t="s">
        <v>10</v>
      </c>
      <c r="K1274">
        <v>6.9249000000000001</v>
      </c>
      <c r="L1274">
        <v>1.3567</v>
      </c>
      <c r="M1274">
        <v>6.9028</v>
      </c>
      <c r="N1274">
        <v>1.3548</v>
      </c>
      <c r="O1274" t="s">
        <v>2832</v>
      </c>
    </row>
    <row r="1275" spans="1:15" x14ac:dyDescent="0.25">
      <c r="A1275" t="s">
        <v>55</v>
      </c>
      <c r="B1275" t="s">
        <v>47</v>
      </c>
      <c r="C1275">
        <v>11</v>
      </c>
      <c r="D1275">
        <v>20.501000000000001</v>
      </c>
      <c r="E1275">
        <v>0.01</v>
      </c>
      <c r="F1275" t="s">
        <v>13</v>
      </c>
      <c r="G1275" t="s">
        <v>12</v>
      </c>
      <c r="H1275">
        <v>0.1</v>
      </c>
      <c r="I1275">
        <v>1.0000100000000001</v>
      </c>
      <c r="J1275" t="s">
        <v>10</v>
      </c>
      <c r="K1275">
        <v>6.7671000000000001</v>
      </c>
      <c r="L1275">
        <v>1.7061999999999999</v>
      </c>
      <c r="M1275">
        <v>6.7465999999999999</v>
      </c>
      <c r="N1275">
        <v>1.7047000000000001</v>
      </c>
      <c r="O1275" t="s">
        <v>2483</v>
      </c>
    </row>
    <row r="1276" spans="1:15" x14ac:dyDescent="0.25">
      <c r="A1276" t="s">
        <v>55</v>
      </c>
      <c r="B1276" t="s">
        <v>47</v>
      </c>
      <c r="C1276">
        <v>11</v>
      </c>
      <c r="D1276">
        <v>20.501000000000001</v>
      </c>
      <c r="E1276">
        <v>0.01</v>
      </c>
      <c r="F1276" t="s">
        <v>13</v>
      </c>
      <c r="G1276" t="s">
        <v>12</v>
      </c>
      <c r="H1276">
        <v>5</v>
      </c>
      <c r="I1276">
        <v>5.01</v>
      </c>
      <c r="J1276" t="s">
        <v>10</v>
      </c>
      <c r="K1276">
        <v>5.9</v>
      </c>
      <c r="L1276">
        <v>35</v>
      </c>
      <c r="M1276">
        <v>5.8395000000000001</v>
      </c>
      <c r="N1276">
        <v>34.639000000000003</v>
      </c>
      <c r="O1276" t="s">
        <v>2482</v>
      </c>
    </row>
    <row r="1277" spans="1:15" x14ac:dyDescent="0.25">
      <c r="A1277" t="s">
        <v>55</v>
      </c>
      <c r="B1277" t="s">
        <v>47</v>
      </c>
      <c r="C1277">
        <v>11</v>
      </c>
      <c r="D1277">
        <v>20.501000000000001</v>
      </c>
      <c r="E1277">
        <v>0.1</v>
      </c>
      <c r="F1277" t="s">
        <v>13</v>
      </c>
      <c r="G1277" t="s">
        <v>12</v>
      </c>
      <c r="H1277">
        <v>5</v>
      </c>
      <c r="I1277">
        <v>5.01</v>
      </c>
      <c r="J1277" t="s">
        <v>10</v>
      </c>
      <c r="K1277">
        <v>6.5765000000000002</v>
      </c>
      <c r="L1277">
        <v>34.962000000000003</v>
      </c>
      <c r="M1277">
        <v>12.385999999999999</v>
      </c>
      <c r="N1277">
        <v>34.433</v>
      </c>
      <c r="O1277" t="s">
        <v>2486</v>
      </c>
    </row>
    <row r="1278" spans="1:15" x14ac:dyDescent="0.25">
      <c r="A1278" t="s">
        <v>55</v>
      </c>
      <c r="B1278" t="s">
        <v>47</v>
      </c>
      <c r="C1278">
        <v>11</v>
      </c>
      <c r="D1278">
        <v>20.501000000000001</v>
      </c>
      <c r="E1278">
        <v>0.1</v>
      </c>
      <c r="F1278" t="s">
        <v>13</v>
      </c>
      <c r="G1278" t="s">
        <v>12</v>
      </c>
      <c r="H1278">
        <v>1</v>
      </c>
      <c r="I1278">
        <v>5</v>
      </c>
      <c r="J1278" t="s">
        <v>10</v>
      </c>
      <c r="K1278">
        <v>6.5765000000000002</v>
      </c>
      <c r="L1278">
        <v>34.962000000000003</v>
      </c>
      <c r="M1278">
        <v>12.385999999999999</v>
      </c>
      <c r="N1278">
        <v>34.433</v>
      </c>
      <c r="O1278" t="s">
        <v>2833</v>
      </c>
    </row>
    <row r="1279" spans="1:15" x14ac:dyDescent="0.25">
      <c r="A1279" t="s">
        <v>55</v>
      </c>
      <c r="B1279" t="s">
        <v>47</v>
      </c>
      <c r="C1279">
        <v>11</v>
      </c>
      <c r="D1279">
        <v>20.501000000000001</v>
      </c>
      <c r="E1279">
        <v>0.1</v>
      </c>
      <c r="F1279" t="s">
        <v>13</v>
      </c>
      <c r="G1279" t="s">
        <v>12</v>
      </c>
      <c r="H1279">
        <v>4.4999999999999998E-2</v>
      </c>
      <c r="I1279">
        <v>0.10001</v>
      </c>
      <c r="J1279" t="s">
        <v>10</v>
      </c>
      <c r="K1279">
        <v>55.152999999999999</v>
      </c>
      <c r="L1279">
        <v>0.59996000000000005</v>
      </c>
      <c r="M1279">
        <v>55.167999999999999</v>
      </c>
      <c r="N1279">
        <v>0.59309999999999996</v>
      </c>
      <c r="O1279" t="s">
        <v>2485</v>
      </c>
    </row>
    <row r="1280" spans="1:15" x14ac:dyDescent="0.25">
      <c r="A1280" t="s">
        <v>55</v>
      </c>
      <c r="B1280" t="s">
        <v>47</v>
      </c>
      <c r="C1280">
        <v>11</v>
      </c>
      <c r="D1280">
        <v>20.501000000000001</v>
      </c>
      <c r="E1280">
        <v>0.1</v>
      </c>
      <c r="F1280" t="s">
        <v>13</v>
      </c>
      <c r="G1280" t="s">
        <v>12</v>
      </c>
      <c r="H1280">
        <v>0.1</v>
      </c>
      <c r="I1280">
        <v>1.0000100000000001</v>
      </c>
      <c r="J1280" t="s">
        <v>10</v>
      </c>
      <c r="K1280">
        <v>53.698999999999998</v>
      </c>
      <c r="L1280">
        <v>0.85924999999999996</v>
      </c>
      <c r="M1280">
        <v>53.709000000000003</v>
      </c>
      <c r="N1280">
        <v>0.85296000000000005</v>
      </c>
      <c r="O1280" t="s">
        <v>2487</v>
      </c>
    </row>
    <row r="1281" spans="1:15" x14ac:dyDescent="0.25">
      <c r="A1281" t="s">
        <v>55</v>
      </c>
      <c r="B1281" t="s">
        <v>47</v>
      </c>
      <c r="C1281">
        <v>11</v>
      </c>
      <c r="D1281">
        <v>20.501000000000001</v>
      </c>
      <c r="E1281">
        <v>1</v>
      </c>
      <c r="F1281" t="s">
        <v>13</v>
      </c>
      <c r="G1281" t="s">
        <v>12</v>
      </c>
      <c r="H1281">
        <v>1</v>
      </c>
      <c r="I1281">
        <v>5</v>
      </c>
      <c r="J1281" t="s">
        <v>10</v>
      </c>
      <c r="K1281">
        <v>437.55</v>
      </c>
      <c r="L1281">
        <v>23.603000000000002</v>
      </c>
      <c r="M1281">
        <v>437.54</v>
      </c>
      <c r="N1281">
        <v>23.602</v>
      </c>
      <c r="O1281" t="s">
        <v>2488</v>
      </c>
    </row>
    <row r="1282" spans="1:15" x14ac:dyDescent="0.25">
      <c r="A1282" t="s">
        <v>55</v>
      </c>
      <c r="B1282" t="s">
        <v>47</v>
      </c>
      <c r="C1282">
        <v>11</v>
      </c>
      <c r="D1282">
        <v>20.501000000000001</v>
      </c>
      <c r="E1282">
        <v>1</v>
      </c>
      <c r="F1282" t="s">
        <v>13</v>
      </c>
      <c r="G1282" t="s">
        <v>12</v>
      </c>
      <c r="H1282">
        <v>4.4999999999999998E-2</v>
      </c>
      <c r="I1282">
        <v>0.10001</v>
      </c>
      <c r="J1282" t="s">
        <v>10</v>
      </c>
      <c r="K1282">
        <v>579.65</v>
      </c>
      <c r="L1282">
        <v>6.9317000000000004E-2</v>
      </c>
      <c r="M1282">
        <v>579.66</v>
      </c>
      <c r="N1282">
        <v>6.5887000000000001E-2</v>
      </c>
      <c r="O1282" t="s">
        <v>2489</v>
      </c>
    </row>
    <row r="1283" spans="1:15" x14ac:dyDescent="0.25">
      <c r="A1283" t="s">
        <v>55</v>
      </c>
      <c r="B1283" t="s">
        <v>47</v>
      </c>
      <c r="C1283">
        <v>11</v>
      </c>
      <c r="D1283">
        <v>20.501000000000001</v>
      </c>
      <c r="E1283">
        <v>1</v>
      </c>
      <c r="F1283" t="s">
        <v>13</v>
      </c>
      <c r="G1283" t="s">
        <v>12</v>
      </c>
      <c r="H1283">
        <v>5</v>
      </c>
      <c r="I1283">
        <v>5.01</v>
      </c>
      <c r="J1283" t="s">
        <v>10</v>
      </c>
      <c r="K1283">
        <v>437.55</v>
      </c>
      <c r="L1283">
        <v>23.603000000000002</v>
      </c>
      <c r="M1283">
        <v>437.54</v>
      </c>
      <c r="N1283">
        <v>23.602</v>
      </c>
      <c r="O1283" t="s">
        <v>2490</v>
      </c>
    </row>
    <row r="1284" spans="1:15" x14ac:dyDescent="0.25">
      <c r="A1284" t="s">
        <v>55</v>
      </c>
      <c r="B1284" t="s">
        <v>47</v>
      </c>
      <c r="C1284">
        <v>11</v>
      </c>
      <c r="D1284">
        <v>20.501000000000001</v>
      </c>
      <c r="E1284">
        <v>1</v>
      </c>
      <c r="F1284" t="s">
        <v>13</v>
      </c>
      <c r="G1284" t="s">
        <v>12</v>
      </c>
      <c r="H1284">
        <v>0.1</v>
      </c>
      <c r="I1284">
        <v>1.0000100000000001</v>
      </c>
      <c r="J1284" t="s">
        <v>10</v>
      </c>
      <c r="K1284">
        <v>579.44000000000005</v>
      </c>
      <c r="L1284">
        <v>0.10199999999999999</v>
      </c>
      <c r="M1284">
        <v>579.45000000000005</v>
      </c>
      <c r="N1284">
        <v>9.8572000000000007E-2</v>
      </c>
      <c r="O1284" t="s">
        <v>2834</v>
      </c>
    </row>
    <row r="1285" spans="1:15" x14ac:dyDescent="0.25">
      <c r="A1285" t="s">
        <v>55</v>
      </c>
      <c r="B1285" t="s">
        <v>62</v>
      </c>
      <c r="C1285">
        <v>1</v>
      </c>
      <c r="D1285">
        <v>11.000999999999999</v>
      </c>
      <c r="E1285">
        <v>1E-4</v>
      </c>
      <c r="F1285" t="s">
        <v>13</v>
      </c>
      <c r="G1285" t="s">
        <v>12</v>
      </c>
      <c r="H1285">
        <v>0.01</v>
      </c>
      <c r="I1285">
        <v>4.5010000000000001E-2</v>
      </c>
      <c r="J1285" t="s">
        <v>10</v>
      </c>
      <c r="K1285">
        <v>3.3</v>
      </c>
      <c r="L1285">
        <v>2.7</v>
      </c>
      <c r="M1285">
        <v>0.97318000000000005</v>
      </c>
      <c r="N1285">
        <v>2.8730000000000002</v>
      </c>
      <c r="O1285" t="s">
        <v>2222</v>
      </c>
    </row>
    <row r="1286" spans="1:15" x14ac:dyDescent="0.25">
      <c r="A1286" t="s">
        <v>55</v>
      </c>
      <c r="B1286" t="s">
        <v>62</v>
      </c>
      <c r="C1286">
        <v>1</v>
      </c>
      <c r="D1286">
        <v>11.000999999999999</v>
      </c>
      <c r="E1286">
        <v>1E-3</v>
      </c>
      <c r="F1286" t="s">
        <v>13</v>
      </c>
      <c r="G1286" t="s">
        <v>12</v>
      </c>
      <c r="H1286">
        <v>10</v>
      </c>
      <c r="I1286">
        <v>10.01</v>
      </c>
      <c r="J1286" t="s">
        <v>10</v>
      </c>
      <c r="K1286">
        <v>58</v>
      </c>
      <c r="L1286">
        <v>29</v>
      </c>
      <c r="M1286">
        <v>57.703000000000003</v>
      </c>
      <c r="N1286">
        <v>28.928999999999998</v>
      </c>
      <c r="O1286" t="s">
        <v>2227</v>
      </c>
    </row>
    <row r="1287" spans="1:15" x14ac:dyDescent="0.25">
      <c r="A1287" t="s">
        <v>55</v>
      </c>
      <c r="B1287" t="s">
        <v>62</v>
      </c>
      <c r="C1287">
        <v>1</v>
      </c>
      <c r="D1287">
        <v>11.000999999999999</v>
      </c>
      <c r="E1287">
        <v>1E-3</v>
      </c>
      <c r="F1287" t="s">
        <v>13</v>
      </c>
      <c r="G1287" t="s">
        <v>12</v>
      </c>
      <c r="H1287">
        <v>5</v>
      </c>
      <c r="I1287">
        <v>10</v>
      </c>
      <c r="J1287" t="s">
        <v>10</v>
      </c>
      <c r="K1287">
        <v>58</v>
      </c>
      <c r="L1287">
        <v>29</v>
      </c>
      <c r="M1287">
        <v>57.703000000000003</v>
      </c>
      <c r="N1287">
        <v>28.928999999999998</v>
      </c>
      <c r="O1287" t="s">
        <v>2223</v>
      </c>
    </row>
    <row r="1288" spans="1:15" x14ac:dyDescent="0.25">
      <c r="A1288" t="s">
        <v>55</v>
      </c>
      <c r="B1288" t="s">
        <v>62</v>
      </c>
      <c r="C1288">
        <v>1</v>
      </c>
      <c r="D1288">
        <v>11.000999999999999</v>
      </c>
      <c r="E1288">
        <v>1E-3</v>
      </c>
      <c r="F1288" t="s">
        <v>13</v>
      </c>
      <c r="G1288" t="s">
        <v>12</v>
      </c>
      <c r="H1288">
        <v>1</v>
      </c>
      <c r="I1288">
        <v>5.01</v>
      </c>
      <c r="J1288" t="s">
        <v>10</v>
      </c>
      <c r="K1288">
        <v>12</v>
      </c>
      <c r="L1288">
        <v>7.2</v>
      </c>
      <c r="M1288">
        <v>11.404999999999999</v>
      </c>
      <c r="N1288">
        <v>7.1882000000000001</v>
      </c>
      <c r="O1288" t="s">
        <v>2225</v>
      </c>
    </row>
    <row r="1289" spans="1:15" x14ac:dyDescent="0.25">
      <c r="A1289" t="s">
        <v>55</v>
      </c>
      <c r="B1289" t="s">
        <v>62</v>
      </c>
      <c r="C1289">
        <v>1</v>
      </c>
      <c r="D1289">
        <v>11.000999999999999</v>
      </c>
      <c r="E1289">
        <v>1E-3</v>
      </c>
      <c r="F1289" t="s">
        <v>13</v>
      </c>
      <c r="G1289" t="s">
        <v>12</v>
      </c>
      <c r="H1289">
        <v>4.4999999999999998E-2</v>
      </c>
      <c r="I1289">
        <v>1.0000100000000001</v>
      </c>
      <c r="J1289" t="s">
        <v>10</v>
      </c>
      <c r="K1289">
        <v>0.66</v>
      </c>
      <c r="L1289">
        <v>2.1</v>
      </c>
      <c r="M1289">
        <v>0.65508</v>
      </c>
      <c r="N1289">
        <v>2.0543</v>
      </c>
      <c r="O1289" t="s">
        <v>2224</v>
      </c>
    </row>
    <row r="1290" spans="1:15" x14ac:dyDescent="0.25">
      <c r="A1290" t="s">
        <v>55</v>
      </c>
      <c r="B1290" t="s">
        <v>62</v>
      </c>
      <c r="C1290">
        <v>1</v>
      </c>
      <c r="D1290">
        <v>11.000999999999999</v>
      </c>
      <c r="E1290">
        <v>1E-3</v>
      </c>
      <c r="F1290" t="s">
        <v>13</v>
      </c>
      <c r="G1290" t="s">
        <v>12</v>
      </c>
      <c r="H1290">
        <v>0.01</v>
      </c>
      <c r="I1290">
        <v>4.5010000000000001E-2</v>
      </c>
      <c r="J1290" t="s">
        <v>10</v>
      </c>
      <c r="K1290">
        <v>4.3265000000000002</v>
      </c>
      <c r="L1290">
        <v>2.6149</v>
      </c>
      <c r="M1290">
        <v>4.3204000000000002</v>
      </c>
      <c r="N1290">
        <v>2.6147999999999998</v>
      </c>
      <c r="O1290" t="s">
        <v>2226</v>
      </c>
    </row>
    <row r="1291" spans="1:15" x14ac:dyDescent="0.25">
      <c r="A1291" t="s">
        <v>55</v>
      </c>
      <c r="B1291" t="s">
        <v>62</v>
      </c>
      <c r="C1291">
        <v>1</v>
      </c>
      <c r="D1291">
        <v>11.000999999999999</v>
      </c>
      <c r="E1291">
        <v>0.01</v>
      </c>
      <c r="F1291" t="s">
        <v>13</v>
      </c>
      <c r="G1291" t="s">
        <v>12</v>
      </c>
      <c r="H1291">
        <v>1</v>
      </c>
      <c r="I1291">
        <v>5.01</v>
      </c>
      <c r="J1291" t="s">
        <v>10</v>
      </c>
      <c r="K1291">
        <v>12.361000000000001</v>
      </c>
      <c r="L1291">
        <v>7.1186999999999996</v>
      </c>
      <c r="M1291">
        <v>12.349</v>
      </c>
      <c r="N1291">
        <v>7.1191000000000004</v>
      </c>
      <c r="O1291" t="s">
        <v>2228</v>
      </c>
    </row>
    <row r="1292" spans="1:15" x14ac:dyDescent="0.25">
      <c r="A1292" t="s">
        <v>55</v>
      </c>
      <c r="B1292" t="s">
        <v>62</v>
      </c>
      <c r="C1292">
        <v>1</v>
      </c>
      <c r="D1292">
        <v>11.000999999999999</v>
      </c>
      <c r="E1292">
        <v>0.01</v>
      </c>
      <c r="F1292" t="s">
        <v>13</v>
      </c>
      <c r="G1292" t="s">
        <v>12</v>
      </c>
      <c r="H1292">
        <v>5</v>
      </c>
      <c r="I1292">
        <v>10</v>
      </c>
      <c r="J1292" t="s">
        <v>10</v>
      </c>
      <c r="K1292">
        <v>58</v>
      </c>
      <c r="L1292">
        <v>28.914000000000001</v>
      </c>
      <c r="M1292">
        <v>57.905000000000001</v>
      </c>
      <c r="N1292">
        <v>28.914999999999999</v>
      </c>
      <c r="O1292" t="s">
        <v>2230</v>
      </c>
    </row>
    <row r="1293" spans="1:15" x14ac:dyDescent="0.25">
      <c r="A1293" t="s">
        <v>55</v>
      </c>
      <c r="B1293" t="s">
        <v>62</v>
      </c>
      <c r="C1293">
        <v>1</v>
      </c>
      <c r="D1293">
        <v>11.000999999999999</v>
      </c>
      <c r="E1293">
        <v>0.01</v>
      </c>
      <c r="F1293" t="s">
        <v>13</v>
      </c>
      <c r="G1293" t="s">
        <v>12</v>
      </c>
      <c r="H1293">
        <v>10</v>
      </c>
      <c r="I1293">
        <v>10.01</v>
      </c>
      <c r="J1293" t="s">
        <v>10</v>
      </c>
      <c r="K1293">
        <v>58</v>
      </c>
      <c r="L1293">
        <v>28.914000000000001</v>
      </c>
      <c r="M1293">
        <v>57.905000000000001</v>
      </c>
      <c r="N1293">
        <v>28.914999999999999</v>
      </c>
      <c r="O1293" t="s">
        <v>2753</v>
      </c>
    </row>
    <row r="1294" spans="1:15" x14ac:dyDescent="0.25">
      <c r="A1294" t="s">
        <v>55</v>
      </c>
      <c r="B1294" t="s">
        <v>62</v>
      </c>
      <c r="C1294">
        <v>1</v>
      </c>
      <c r="D1294">
        <v>11.000999999999999</v>
      </c>
      <c r="E1294">
        <v>0.01</v>
      </c>
      <c r="F1294" t="s">
        <v>13</v>
      </c>
      <c r="G1294" t="s">
        <v>12</v>
      </c>
      <c r="H1294">
        <v>0.01</v>
      </c>
      <c r="I1294">
        <v>4.5010000000000001E-2</v>
      </c>
      <c r="J1294" t="s">
        <v>10</v>
      </c>
      <c r="K1294">
        <v>57.286999999999999</v>
      </c>
      <c r="L1294">
        <v>0.84058999999999995</v>
      </c>
      <c r="M1294">
        <v>57.284999999999997</v>
      </c>
      <c r="N1294">
        <v>0.83952000000000004</v>
      </c>
      <c r="O1294" t="s">
        <v>2752</v>
      </c>
    </row>
    <row r="1295" spans="1:15" x14ac:dyDescent="0.25">
      <c r="A1295" t="s">
        <v>55</v>
      </c>
      <c r="B1295" t="s">
        <v>62</v>
      </c>
      <c r="C1295">
        <v>1</v>
      </c>
      <c r="D1295">
        <v>11.000999999999999</v>
      </c>
      <c r="E1295">
        <v>0.01</v>
      </c>
      <c r="F1295" t="s">
        <v>13</v>
      </c>
      <c r="G1295" t="s">
        <v>12</v>
      </c>
      <c r="H1295">
        <v>4.4999999999999998E-2</v>
      </c>
      <c r="I1295">
        <v>1.0000100000000001</v>
      </c>
      <c r="J1295" t="s">
        <v>10</v>
      </c>
      <c r="K1295">
        <v>4.6182999999999996</v>
      </c>
      <c r="L1295">
        <v>1.7586999999999999</v>
      </c>
      <c r="M1295">
        <v>4.6169000000000002</v>
      </c>
      <c r="N1295">
        <v>1.7583</v>
      </c>
      <c r="O1295" t="s">
        <v>2229</v>
      </c>
    </row>
    <row r="1296" spans="1:15" x14ac:dyDescent="0.25">
      <c r="A1296" t="s">
        <v>55</v>
      </c>
      <c r="B1296" t="s">
        <v>62</v>
      </c>
      <c r="C1296">
        <v>1</v>
      </c>
      <c r="D1296">
        <v>11.000999999999999</v>
      </c>
      <c r="E1296">
        <v>0.1</v>
      </c>
      <c r="F1296" t="s">
        <v>13</v>
      </c>
      <c r="G1296" t="s">
        <v>12</v>
      </c>
      <c r="H1296">
        <v>1</v>
      </c>
      <c r="I1296">
        <v>5.01</v>
      </c>
      <c r="J1296" t="s">
        <v>10</v>
      </c>
      <c r="K1296">
        <v>56.262</v>
      </c>
      <c r="L1296">
        <v>4.6574</v>
      </c>
      <c r="M1296">
        <v>56.247999999999998</v>
      </c>
      <c r="N1296">
        <v>4.6563999999999997</v>
      </c>
      <c r="O1296" t="s">
        <v>2754</v>
      </c>
    </row>
    <row r="1297" spans="1:15" x14ac:dyDescent="0.25">
      <c r="A1297" t="s">
        <v>55</v>
      </c>
      <c r="B1297" t="s">
        <v>62</v>
      </c>
      <c r="C1297">
        <v>1</v>
      </c>
      <c r="D1297">
        <v>11.000999999999999</v>
      </c>
      <c r="E1297">
        <v>0.1</v>
      </c>
      <c r="F1297" t="s">
        <v>13</v>
      </c>
      <c r="G1297" t="s">
        <v>12</v>
      </c>
      <c r="H1297">
        <v>5</v>
      </c>
      <c r="I1297">
        <v>10</v>
      </c>
      <c r="J1297" t="s">
        <v>10</v>
      </c>
      <c r="K1297">
        <v>76.668000000000006</v>
      </c>
      <c r="L1297">
        <v>27.611000000000001</v>
      </c>
      <c r="M1297">
        <v>76.638000000000005</v>
      </c>
      <c r="N1297">
        <v>27.611999999999998</v>
      </c>
      <c r="O1297" t="s">
        <v>2232</v>
      </c>
    </row>
    <row r="1298" spans="1:15" x14ac:dyDescent="0.25">
      <c r="A1298" t="s">
        <v>55</v>
      </c>
      <c r="B1298" t="s">
        <v>62</v>
      </c>
      <c r="C1298">
        <v>1</v>
      </c>
      <c r="D1298">
        <v>11.000999999999999</v>
      </c>
      <c r="E1298">
        <v>0.1</v>
      </c>
      <c r="F1298" t="s">
        <v>13</v>
      </c>
      <c r="G1298" t="s">
        <v>12</v>
      </c>
      <c r="H1298">
        <v>0.01</v>
      </c>
      <c r="I1298">
        <v>4.5010000000000001E-2</v>
      </c>
      <c r="J1298" t="s">
        <v>10</v>
      </c>
      <c r="K1298">
        <v>579.91999999999996</v>
      </c>
      <c r="L1298">
        <v>9.0643000000000001E-2</v>
      </c>
      <c r="M1298">
        <v>579.91999999999996</v>
      </c>
      <c r="N1298">
        <v>9.0135999999999994E-2</v>
      </c>
      <c r="O1298" t="s">
        <v>2233</v>
      </c>
    </row>
    <row r="1299" spans="1:15" x14ac:dyDescent="0.25">
      <c r="A1299" t="s">
        <v>55</v>
      </c>
      <c r="B1299" t="s">
        <v>62</v>
      </c>
      <c r="C1299">
        <v>1</v>
      </c>
      <c r="D1299">
        <v>11.000999999999999</v>
      </c>
      <c r="E1299">
        <v>0.1</v>
      </c>
      <c r="F1299" t="s">
        <v>13</v>
      </c>
      <c r="G1299" t="s">
        <v>12</v>
      </c>
      <c r="H1299">
        <v>4.4999999999999998E-2</v>
      </c>
      <c r="I1299">
        <v>1.0000100000000001</v>
      </c>
      <c r="J1299" t="s">
        <v>10</v>
      </c>
      <c r="K1299">
        <v>57.618000000000002</v>
      </c>
      <c r="L1299">
        <v>0.44323000000000001</v>
      </c>
      <c r="M1299">
        <v>57.618000000000002</v>
      </c>
      <c r="N1299">
        <v>0.44244</v>
      </c>
      <c r="O1299" t="s">
        <v>2234</v>
      </c>
    </row>
    <row r="1300" spans="1:15" x14ac:dyDescent="0.25">
      <c r="A1300" t="s">
        <v>55</v>
      </c>
      <c r="B1300" t="s">
        <v>62</v>
      </c>
      <c r="C1300">
        <v>1</v>
      </c>
      <c r="D1300">
        <v>11.000999999999999</v>
      </c>
      <c r="E1300">
        <v>0.1</v>
      </c>
      <c r="F1300" t="s">
        <v>13</v>
      </c>
      <c r="G1300" t="s">
        <v>12</v>
      </c>
      <c r="H1300">
        <v>10</v>
      </c>
      <c r="I1300">
        <v>10.01</v>
      </c>
      <c r="J1300" t="s">
        <v>10</v>
      </c>
      <c r="K1300">
        <v>76.668000000000006</v>
      </c>
      <c r="L1300">
        <v>27.611000000000001</v>
      </c>
      <c r="M1300">
        <v>76.638000000000005</v>
      </c>
      <c r="N1300">
        <v>27.611999999999998</v>
      </c>
      <c r="O1300" t="s">
        <v>2231</v>
      </c>
    </row>
    <row r="1301" spans="1:15" x14ac:dyDescent="0.25">
      <c r="A1301" t="s">
        <v>55</v>
      </c>
      <c r="B1301" t="s">
        <v>62</v>
      </c>
      <c r="C1301">
        <v>1</v>
      </c>
      <c r="D1301">
        <v>11.000999999999999</v>
      </c>
      <c r="E1301">
        <v>1</v>
      </c>
      <c r="F1301" t="s">
        <v>13</v>
      </c>
      <c r="G1301" t="s">
        <v>12</v>
      </c>
      <c r="H1301">
        <v>10</v>
      </c>
      <c r="I1301">
        <v>10.01</v>
      </c>
      <c r="J1301" t="s">
        <v>10</v>
      </c>
      <c r="K1301">
        <v>575.98</v>
      </c>
      <c r="L1301">
        <v>10.476000000000001</v>
      </c>
      <c r="M1301">
        <v>575.96</v>
      </c>
      <c r="N1301">
        <v>10.474</v>
      </c>
      <c r="O1301" t="s">
        <v>2239</v>
      </c>
    </row>
    <row r="1302" spans="1:15" x14ac:dyDescent="0.25">
      <c r="A1302" t="s">
        <v>55</v>
      </c>
      <c r="B1302" t="s">
        <v>62</v>
      </c>
      <c r="C1302">
        <v>1</v>
      </c>
      <c r="D1302">
        <v>11.000999999999999</v>
      </c>
      <c r="E1302">
        <v>1</v>
      </c>
      <c r="F1302" t="s">
        <v>13</v>
      </c>
      <c r="G1302" t="s">
        <v>12</v>
      </c>
      <c r="H1302">
        <v>0.01</v>
      </c>
      <c r="I1302">
        <v>4.5010000000000001E-2</v>
      </c>
      <c r="J1302" t="s">
        <v>10</v>
      </c>
      <c r="K1302">
        <v>5800</v>
      </c>
      <c r="L1302">
        <v>9.2241000000000007E-3</v>
      </c>
      <c r="M1302">
        <v>5800</v>
      </c>
      <c r="N1302">
        <v>9.0206999999999996E-3</v>
      </c>
      <c r="O1302" t="s">
        <v>2238</v>
      </c>
    </row>
    <row r="1303" spans="1:15" x14ac:dyDescent="0.25">
      <c r="A1303" t="s">
        <v>55</v>
      </c>
      <c r="B1303" t="s">
        <v>62</v>
      </c>
      <c r="C1303">
        <v>1</v>
      </c>
      <c r="D1303">
        <v>11.000999999999999</v>
      </c>
      <c r="E1303">
        <v>1</v>
      </c>
      <c r="F1303" t="s">
        <v>13</v>
      </c>
      <c r="G1303" t="s">
        <v>12</v>
      </c>
      <c r="H1303">
        <v>1</v>
      </c>
      <c r="I1303">
        <v>5.01</v>
      </c>
      <c r="J1303" t="s">
        <v>10</v>
      </c>
      <c r="K1303">
        <v>579.63</v>
      </c>
      <c r="L1303">
        <v>0.67288000000000003</v>
      </c>
      <c r="M1303">
        <v>579.63</v>
      </c>
      <c r="N1303">
        <v>0.67162999999999995</v>
      </c>
      <c r="O1303" t="s">
        <v>2237</v>
      </c>
    </row>
    <row r="1304" spans="1:15" x14ac:dyDescent="0.25">
      <c r="A1304" t="s">
        <v>55</v>
      </c>
      <c r="B1304" t="s">
        <v>62</v>
      </c>
      <c r="C1304">
        <v>1</v>
      </c>
      <c r="D1304">
        <v>11.000999999999999</v>
      </c>
      <c r="E1304">
        <v>1</v>
      </c>
      <c r="F1304" t="s">
        <v>13</v>
      </c>
      <c r="G1304" t="s">
        <v>12</v>
      </c>
      <c r="H1304">
        <v>5</v>
      </c>
      <c r="I1304">
        <v>10</v>
      </c>
      <c r="J1304" t="s">
        <v>10</v>
      </c>
      <c r="K1304">
        <v>575.98</v>
      </c>
      <c r="L1304">
        <v>10.476000000000001</v>
      </c>
      <c r="M1304">
        <v>575.96</v>
      </c>
      <c r="N1304">
        <v>10.474</v>
      </c>
      <c r="O1304" t="s">
        <v>2235</v>
      </c>
    </row>
    <row r="1305" spans="1:15" x14ac:dyDescent="0.25">
      <c r="A1305" t="s">
        <v>55</v>
      </c>
      <c r="B1305" t="s">
        <v>62</v>
      </c>
      <c r="C1305">
        <v>1</v>
      </c>
      <c r="D1305">
        <v>11.000999999999999</v>
      </c>
      <c r="E1305">
        <v>1</v>
      </c>
      <c r="F1305" t="s">
        <v>13</v>
      </c>
      <c r="G1305" t="s">
        <v>12</v>
      </c>
      <c r="H1305">
        <v>4.4999999999999998E-2</v>
      </c>
      <c r="I1305">
        <v>1.0000100000000001</v>
      </c>
      <c r="J1305" t="s">
        <v>10</v>
      </c>
      <c r="K1305">
        <v>579.96</v>
      </c>
      <c r="L1305">
        <v>4.6302000000000003E-2</v>
      </c>
      <c r="M1305">
        <v>579.96</v>
      </c>
      <c r="N1305">
        <v>4.5959E-2</v>
      </c>
      <c r="O1305" t="s">
        <v>2236</v>
      </c>
    </row>
    <row r="1306" spans="1:15" x14ac:dyDescent="0.25">
      <c r="A1306" t="s">
        <v>55</v>
      </c>
      <c r="B1306" t="s">
        <v>62</v>
      </c>
      <c r="C1306">
        <v>1</v>
      </c>
      <c r="D1306">
        <v>11.000999999999999</v>
      </c>
      <c r="E1306">
        <v>10</v>
      </c>
      <c r="F1306" t="s">
        <v>13</v>
      </c>
      <c r="G1306" t="s">
        <v>12</v>
      </c>
      <c r="H1306">
        <v>10</v>
      </c>
      <c r="I1306">
        <v>10.01</v>
      </c>
      <c r="J1306" t="s">
        <v>10</v>
      </c>
      <c r="K1306">
        <v>5799.5</v>
      </c>
      <c r="L1306">
        <v>1.1535</v>
      </c>
      <c r="M1306">
        <v>5799.5</v>
      </c>
      <c r="N1306">
        <v>1.1523000000000001</v>
      </c>
      <c r="O1306" t="s">
        <v>2243</v>
      </c>
    </row>
    <row r="1307" spans="1:15" x14ac:dyDescent="0.25">
      <c r="A1307" t="s">
        <v>55</v>
      </c>
      <c r="B1307" t="s">
        <v>62</v>
      </c>
      <c r="C1307">
        <v>1</v>
      </c>
      <c r="D1307">
        <v>11.000999999999999</v>
      </c>
      <c r="E1307">
        <v>10</v>
      </c>
      <c r="F1307" t="s">
        <v>13</v>
      </c>
      <c r="G1307" t="s">
        <v>12</v>
      </c>
      <c r="H1307">
        <v>5</v>
      </c>
      <c r="I1307">
        <v>10</v>
      </c>
      <c r="J1307" t="s">
        <v>10</v>
      </c>
      <c r="K1307">
        <v>5799.5</v>
      </c>
      <c r="L1307">
        <v>1.1535</v>
      </c>
      <c r="M1307">
        <v>5799.5</v>
      </c>
      <c r="N1307">
        <v>1.1523000000000001</v>
      </c>
      <c r="O1307" t="s">
        <v>2240</v>
      </c>
    </row>
    <row r="1308" spans="1:15" x14ac:dyDescent="0.25">
      <c r="A1308" t="s">
        <v>55</v>
      </c>
      <c r="B1308" t="s">
        <v>62</v>
      </c>
      <c r="C1308">
        <v>1</v>
      </c>
      <c r="D1308">
        <v>11.000999999999999</v>
      </c>
      <c r="E1308">
        <v>10</v>
      </c>
      <c r="F1308" t="s">
        <v>13</v>
      </c>
      <c r="G1308" t="s">
        <v>12</v>
      </c>
      <c r="H1308">
        <v>4.4999999999999998E-2</v>
      </c>
      <c r="I1308">
        <v>1.0000100000000001</v>
      </c>
      <c r="J1308" t="s">
        <v>10</v>
      </c>
      <c r="K1308">
        <v>5800</v>
      </c>
      <c r="L1308">
        <v>4.7349999999999996E-3</v>
      </c>
      <c r="M1308">
        <v>5800</v>
      </c>
      <c r="N1308">
        <v>4.5976999999999997E-3</v>
      </c>
      <c r="O1308" t="s">
        <v>2242</v>
      </c>
    </row>
    <row r="1309" spans="1:15" x14ac:dyDescent="0.25">
      <c r="A1309" t="s">
        <v>55</v>
      </c>
      <c r="B1309" t="s">
        <v>62</v>
      </c>
      <c r="C1309">
        <v>1</v>
      </c>
      <c r="D1309">
        <v>11.000999999999999</v>
      </c>
      <c r="E1309">
        <v>10</v>
      </c>
      <c r="F1309" t="s">
        <v>13</v>
      </c>
      <c r="G1309" t="s">
        <v>12</v>
      </c>
      <c r="H1309">
        <v>0.01</v>
      </c>
      <c r="I1309">
        <v>4.5010000000000001E-2</v>
      </c>
      <c r="J1309" t="s">
        <v>10</v>
      </c>
      <c r="K1309">
        <v>58000</v>
      </c>
      <c r="L1309">
        <v>9.8346000000000002E-4</v>
      </c>
      <c r="M1309">
        <v>58000</v>
      </c>
      <c r="N1309">
        <v>9.0207999999999998E-4</v>
      </c>
      <c r="O1309" t="s">
        <v>2241</v>
      </c>
    </row>
    <row r="1310" spans="1:15" x14ac:dyDescent="0.25">
      <c r="A1310" t="s">
        <v>55</v>
      </c>
      <c r="B1310" t="s">
        <v>62</v>
      </c>
      <c r="C1310">
        <v>1</v>
      </c>
      <c r="D1310">
        <v>11.000999999999999</v>
      </c>
      <c r="E1310">
        <v>10</v>
      </c>
      <c r="F1310" t="s">
        <v>13</v>
      </c>
      <c r="G1310" t="s">
        <v>12</v>
      </c>
      <c r="H1310">
        <v>1</v>
      </c>
      <c r="I1310">
        <v>5.01</v>
      </c>
      <c r="J1310" t="s">
        <v>10</v>
      </c>
      <c r="K1310">
        <v>5800</v>
      </c>
      <c r="L1310">
        <v>6.8090999999999999E-2</v>
      </c>
      <c r="M1310">
        <v>5800</v>
      </c>
      <c r="N1310">
        <v>6.7582000000000003E-2</v>
      </c>
      <c r="O1310" t="s">
        <v>2755</v>
      </c>
    </row>
    <row r="1311" spans="1:15" x14ac:dyDescent="0.25">
      <c r="A1311" t="s">
        <v>55</v>
      </c>
      <c r="B1311" t="s">
        <v>62</v>
      </c>
      <c r="C1311">
        <v>11</v>
      </c>
      <c r="D1311">
        <v>30.001000000000001</v>
      </c>
      <c r="E1311">
        <v>1E-3</v>
      </c>
      <c r="F1311" t="s">
        <v>13</v>
      </c>
      <c r="G1311" t="s">
        <v>12</v>
      </c>
      <c r="H1311">
        <v>10</v>
      </c>
      <c r="I1311">
        <v>10.01</v>
      </c>
      <c r="J1311" t="s">
        <v>10</v>
      </c>
      <c r="K1311">
        <v>58</v>
      </c>
      <c r="L1311">
        <v>29</v>
      </c>
      <c r="M1311">
        <v>57.627000000000002</v>
      </c>
      <c r="N1311">
        <v>28.936</v>
      </c>
      <c r="O1311" t="s">
        <v>2245</v>
      </c>
    </row>
    <row r="1312" spans="1:15" x14ac:dyDescent="0.25">
      <c r="A1312" t="s">
        <v>55</v>
      </c>
      <c r="B1312" t="s">
        <v>62</v>
      </c>
      <c r="C1312">
        <v>11</v>
      </c>
      <c r="D1312">
        <v>30.001000000000001</v>
      </c>
      <c r="E1312">
        <v>1E-3</v>
      </c>
      <c r="F1312" t="s">
        <v>13</v>
      </c>
      <c r="G1312" t="s">
        <v>12</v>
      </c>
      <c r="H1312">
        <v>5</v>
      </c>
      <c r="I1312">
        <v>10</v>
      </c>
      <c r="J1312" t="s">
        <v>10</v>
      </c>
      <c r="K1312">
        <v>58</v>
      </c>
      <c r="L1312">
        <v>29</v>
      </c>
      <c r="M1312">
        <v>57.627000000000002</v>
      </c>
      <c r="N1312">
        <v>28.936</v>
      </c>
      <c r="O1312" t="s">
        <v>2246</v>
      </c>
    </row>
    <row r="1313" spans="1:15" x14ac:dyDescent="0.25">
      <c r="A1313" t="s">
        <v>55</v>
      </c>
      <c r="B1313" t="s">
        <v>62</v>
      </c>
      <c r="C1313">
        <v>11</v>
      </c>
      <c r="D1313">
        <v>30.001000000000001</v>
      </c>
      <c r="E1313">
        <v>1E-3</v>
      </c>
      <c r="F1313" t="s">
        <v>13</v>
      </c>
      <c r="G1313" t="s">
        <v>12</v>
      </c>
      <c r="H1313">
        <v>0.01</v>
      </c>
      <c r="I1313">
        <v>4.5010000000000001E-2</v>
      </c>
      <c r="J1313" t="s">
        <v>10</v>
      </c>
      <c r="K1313">
        <v>0.87</v>
      </c>
      <c r="L1313">
        <v>2.9</v>
      </c>
      <c r="M1313">
        <v>0.85389000000000004</v>
      </c>
      <c r="N1313">
        <v>2.8839000000000001</v>
      </c>
      <c r="O1313" t="s">
        <v>2756</v>
      </c>
    </row>
    <row r="1314" spans="1:15" x14ac:dyDescent="0.25">
      <c r="A1314" t="s">
        <v>55</v>
      </c>
      <c r="B1314" t="s">
        <v>62</v>
      </c>
      <c r="C1314">
        <v>11</v>
      </c>
      <c r="D1314">
        <v>30.001000000000001</v>
      </c>
      <c r="E1314">
        <v>1E-3</v>
      </c>
      <c r="F1314" t="s">
        <v>13</v>
      </c>
      <c r="G1314" t="s">
        <v>12</v>
      </c>
      <c r="H1314">
        <v>4.4999999999999998E-2</v>
      </c>
      <c r="I1314">
        <v>1.0000100000000001</v>
      </c>
      <c r="J1314" t="s">
        <v>10</v>
      </c>
      <c r="K1314">
        <v>0.9</v>
      </c>
      <c r="L1314">
        <v>2.1</v>
      </c>
      <c r="M1314">
        <v>0.42297000000000001</v>
      </c>
      <c r="N1314">
        <v>2.1154999999999999</v>
      </c>
      <c r="O1314" t="s">
        <v>2247</v>
      </c>
    </row>
    <row r="1315" spans="1:15" x14ac:dyDescent="0.25">
      <c r="A1315" t="s">
        <v>55</v>
      </c>
      <c r="B1315" t="s">
        <v>62</v>
      </c>
      <c r="C1315">
        <v>11</v>
      </c>
      <c r="D1315">
        <v>30.001000000000001</v>
      </c>
      <c r="E1315">
        <v>1E-3</v>
      </c>
      <c r="F1315" t="s">
        <v>13</v>
      </c>
      <c r="G1315" t="s">
        <v>12</v>
      </c>
      <c r="H1315">
        <v>1</v>
      </c>
      <c r="I1315">
        <v>5.01</v>
      </c>
      <c r="J1315" t="s">
        <v>10</v>
      </c>
      <c r="K1315">
        <v>12</v>
      </c>
      <c r="L1315">
        <v>7.2</v>
      </c>
      <c r="M1315">
        <v>11.173999999999999</v>
      </c>
      <c r="N1315">
        <v>7.2092000000000001</v>
      </c>
      <c r="O1315" t="s">
        <v>2244</v>
      </c>
    </row>
    <row r="1316" spans="1:15" x14ac:dyDescent="0.25">
      <c r="A1316" t="s">
        <v>55</v>
      </c>
      <c r="B1316" t="s">
        <v>62</v>
      </c>
      <c r="C1316">
        <v>11</v>
      </c>
      <c r="D1316">
        <v>30.001000000000001</v>
      </c>
      <c r="E1316">
        <v>0.01</v>
      </c>
      <c r="F1316" t="s">
        <v>13</v>
      </c>
      <c r="G1316" t="s">
        <v>12</v>
      </c>
      <c r="H1316">
        <v>1</v>
      </c>
      <c r="I1316">
        <v>5.01</v>
      </c>
      <c r="J1316" t="s">
        <v>10</v>
      </c>
      <c r="K1316">
        <v>12</v>
      </c>
      <c r="L1316">
        <v>7.2</v>
      </c>
      <c r="M1316">
        <v>11.422000000000001</v>
      </c>
      <c r="N1316">
        <v>7.2034000000000002</v>
      </c>
      <c r="O1316" t="s">
        <v>2250</v>
      </c>
    </row>
    <row r="1317" spans="1:15" x14ac:dyDescent="0.25">
      <c r="A1317" t="s">
        <v>55</v>
      </c>
      <c r="B1317" t="s">
        <v>62</v>
      </c>
      <c r="C1317">
        <v>11</v>
      </c>
      <c r="D1317">
        <v>30.001000000000001</v>
      </c>
      <c r="E1317">
        <v>0.01</v>
      </c>
      <c r="F1317" t="s">
        <v>13</v>
      </c>
      <c r="G1317" t="s">
        <v>12</v>
      </c>
      <c r="H1317">
        <v>4.4999999999999998E-2</v>
      </c>
      <c r="I1317">
        <v>1.0000100000000001</v>
      </c>
      <c r="J1317" t="s">
        <v>10</v>
      </c>
      <c r="K1317">
        <v>1.3908</v>
      </c>
      <c r="L1317">
        <v>2.0926999999999998</v>
      </c>
      <c r="M1317">
        <v>1.3648</v>
      </c>
      <c r="N1317">
        <v>2.0928</v>
      </c>
      <c r="O1317" t="s">
        <v>2251</v>
      </c>
    </row>
    <row r="1318" spans="1:15" x14ac:dyDescent="0.25">
      <c r="A1318" t="s">
        <v>55</v>
      </c>
      <c r="B1318" t="s">
        <v>62</v>
      </c>
      <c r="C1318">
        <v>11</v>
      </c>
      <c r="D1318">
        <v>30.001000000000001</v>
      </c>
      <c r="E1318">
        <v>0.01</v>
      </c>
      <c r="F1318" t="s">
        <v>13</v>
      </c>
      <c r="G1318" t="s">
        <v>12</v>
      </c>
      <c r="H1318">
        <v>0.01</v>
      </c>
      <c r="I1318">
        <v>4.5010000000000001E-2</v>
      </c>
      <c r="J1318" t="s">
        <v>10</v>
      </c>
      <c r="K1318">
        <v>1.4280999999999999</v>
      </c>
      <c r="L1318">
        <v>2.8814000000000002</v>
      </c>
      <c r="M1318">
        <v>1.5428999999999999</v>
      </c>
      <c r="N1318">
        <v>2.8673000000000002</v>
      </c>
      <c r="O1318" t="s">
        <v>2252</v>
      </c>
    </row>
    <row r="1319" spans="1:15" x14ac:dyDescent="0.25">
      <c r="A1319" t="s">
        <v>55</v>
      </c>
      <c r="B1319" t="s">
        <v>62</v>
      </c>
      <c r="C1319">
        <v>11</v>
      </c>
      <c r="D1319">
        <v>30.001000000000001</v>
      </c>
      <c r="E1319">
        <v>0.01</v>
      </c>
      <c r="F1319" t="s">
        <v>13</v>
      </c>
      <c r="G1319" t="s">
        <v>12</v>
      </c>
      <c r="H1319">
        <v>5</v>
      </c>
      <c r="I1319">
        <v>10</v>
      </c>
      <c r="J1319" t="s">
        <v>10</v>
      </c>
      <c r="K1319">
        <v>58</v>
      </c>
      <c r="L1319">
        <v>29</v>
      </c>
      <c r="M1319">
        <v>57.682000000000002</v>
      </c>
      <c r="N1319">
        <v>28.934999999999999</v>
      </c>
      <c r="O1319" t="s">
        <v>2249</v>
      </c>
    </row>
    <row r="1320" spans="1:15" x14ac:dyDescent="0.25">
      <c r="A1320" t="s">
        <v>55</v>
      </c>
      <c r="B1320" t="s">
        <v>62</v>
      </c>
      <c r="C1320">
        <v>11</v>
      </c>
      <c r="D1320">
        <v>30.001000000000001</v>
      </c>
      <c r="E1320">
        <v>0.01</v>
      </c>
      <c r="F1320" t="s">
        <v>13</v>
      </c>
      <c r="G1320" t="s">
        <v>12</v>
      </c>
      <c r="H1320">
        <v>10</v>
      </c>
      <c r="I1320">
        <v>10.01</v>
      </c>
      <c r="J1320" t="s">
        <v>10</v>
      </c>
      <c r="K1320">
        <v>58</v>
      </c>
      <c r="L1320">
        <v>29</v>
      </c>
      <c r="M1320">
        <v>57.682000000000002</v>
      </c>
      <c r="N1320">
        <v>28.934999999999999</v>
      </c>
      <c r="O1320" t="s">
        <v>2248</v>
      </c>
    </row>
    <row r="1321" spans="1:15" x14ac:dyDescent="0.25">
      <c r="A1321" t="s">
        <v>55</v>
      </c>
      <c r="B1321" t="s">
        <v>62</v>
      </c>
      <c r="C1321">
        <v>11</v>
      </c>
      <c r="D1321">
        <v>30.001000000000001</v>
      </c>
      <c r="E1321">
        <v>0.1</v>
      </c>
      <c r="F1321" t="s">
        <v>13</v>
      </c>
      <c r="G1321" t="s">
        <v>12</v>
      </c>
      <c r="H1321">
        <v>1</v>
      </c>
      <c r="I1321">
        <v>5.01</v>
      </c>
      <c r="J1321" t="s">
        <v>10</v>
      </c>
      <c r="K1321">
        <v>33.826999999999998</v>
      </c>
      <c r="L1321">
        <v>6.6978</v>
      </c>
      <c r="M1321">
        <v>33.792000000000002</v>
      </c>
      <c r="N1321">
        <v>6.6978999999999997</v>
      </c>
      <c r="O1321" t="s">
        <v>2757</v>
      </c>
    </row>
    <row r="1322" spans="1:15" x14ac:dyDescent="0.25">
      <c r="A1322" t="s">
        <v>55</v>
      </c>
      <c r="B1322" t="s">
        <v>62</v>
      </c>
      <c r="C1322">
        <v>11</v>
      </c>
      <c r="D1322">
        <v>30.001000000000001</v>
      </c>
      <c r="E1322">
        <v>0.1</v>
      </c>
      <c r="F1322" t="s">
        <v>13</v>
      </c>
      <c r="G1322" t="s">
        <v>12</v>
      </c>
      <c r="H1322">
        <v>5</v>
      </c>
      <c r="I1322">
        <v>10</v>
      </c>
      <c r="J1322" t="s">
        <v>10</v>
      </c>
      <c r="K1322">
        <v>63.353000000000002</v>
      </c>
      <c r="L1322">
        <v>28.821999999999999</v>
      </c>
      <c r="M1322">
        <v>63.613</v>
      </c>
      <c r="N1322">
        <v>28.797000000000001</v>
      </c>
      <c r="O1322" t="s">
        <v>2254</v>
      </c>
    </row>
    <row r="1323" spans="1:15" x14ac:dyDescent="0.25">
      <c r="A1323" t="s">
        <v>55</v>
      </c>
      <c r="B1323" t="s">
        <v>62</v>
      </c>
      <c r="C1323">
        <v>11</v>
      </c>
      <c r="D1323">
        <v>30.001000000000001</v>
      </c>
      <c r="E1323">
        <v>0.1</v>
      </c>
      <c r="F1323" t="s">
        <v>13</v>
      </c>
      <c r="G1323" t="s">
        <v>12</v>
      </c>
      <c r="H1323">
        <v>10</v>
      </c>
      <c r="I1323">
        <v>10.01</v>
      </c>
      <c r="J1323" t="s">
        <v>10</v>
      </c>
      <c r="K1323">
        <v>63.353000000000002</v>
      </c>
      <c r="L1323">
        <v>28.821999999999999</v>
      </c>
      <c r="M1323">
        <v>63.613</v>
      </c>
      <c r="N1323">
        <v>28.797000000000001</v>
      </c>
      <c r="O1323" t="s">
        <v>2758</v>
      </c>
    </row>
    <row r="1324" spans="1:15" x14ac:dyDescent="0.25">
      <c r="A1324" t="s">
        <v>55</v>
      </c>
      <c r="B1324" t="s">
        <v>62</v>
      </c>
      <c r="C1324">
        <v>11</v>
      </c>
      <c r="D1324">
        <v>30.001000000000001</v>
      </c>
      <c r="E1324">
        <v>0.1</v>
      </c>
      <c r="F1324" t="s">
        <v>13</v>
      </c>
      <c r="G1324" t="s">
        <v>12</v>
      </c>
      <c r="H1324">
        <v>0.01</v>
      </c>
      <c r="I1324">
        <v>4.5010000000000001E-2</v>
      </c>
      <c r="J1324" t="s">
        <v>10</v>
      </c>
      <c r="K1324">
        <v>44.393999999999998</v>
      </c>
      <c r="L1324">
        <v>2.0188000000000001</v>
      </c>
      <c r="M1324">
        <v>44.317</v>
      </c>
      <c r="N1324">
        <v>2.0184000000000002</v>
      </c>
      <c r="O1324" t="s">
        <v>2255</v>
      </c>
    </row>
    <row r="1325" spans="1:15" x14ac:dyDescent="0.25">
      <c r="A1325" t="s">
        <v>55</v>
      </c>
      <c r="B1325" t="s">
        <v>62</v>
      </c>
      <c r="C1325">
        <v>11</v>
      </c>
      <c r="D1325">
        <v>30.001000000000001</v>
      </c>
      <c r="E1325">
        <v>0.1</v>
      </c>
      <c r="F1325" t="s">
        <v>13</v>
      </c>
      <c r="G1325" t="s">
        <v>12</v>
      </c>
      <c r="H1325">
        <v>4.4999999999999998E-2</v>
      </c>
      <c r="I1325">
        <v>1.0000100000000001</v>
      </c>
      <c r="J1325" t="s">
        <v>10</v>
      </c>
      <c r="K1325">
        <v>48.985999999999997</v>
      </c>
      <c r="L1325">
        <v>1.2457</v>
      </c>
      <c r="M1325">
        <v>48.966999999999999</v>
      </c>
      <c r="N1325">
        <v>1.244</v>
      </c>
      <c r="O1325" t="s">
        <v>2253</v>
      </c>
    </row>
    <row r="1326" spans="1:15" x14ac:dyDescent="0.25">
      <c r="A1326" t="s">
        <v>55</v>
      </c>
      <c r="B1326" t="s">
        <v>62</v>
      </c>
      <c r="C1326">
        <v>11</v>
      </c>
      <c r="D1326">
        <v>30.001000000000001</v>
      </c>
      <c r="E1326">
        <v>1</v>
      </c>
      <c r="F1326" t="s">
        <v>13</v>
      </c>
      <c r="G1326" t="s">
        <v>12</v>
      </c>
      <c r="H1326">
        <v>1</v>
      </c>
      <c r="I1326">
        <v>5.01</v>
      </c>
      <c r="J1326" t="s">
        <v>10</v>
      </c>
      <c r="K1326">
        <v>566.19000000000005</v>
      </c>
      <c r="L1326">
        <v>1.8955</v>
      </c>
      <c r="M1326">
        <v>566.17999999999995</v>
      </c>
      <c r="N1326">
        <v>1.8942000000000001</v>
      </c>
      <c r="O1326" t="s">
        <v>2259</v>
      </c>
    </row>
    <row r="1327" spans="1:15" x14ac:dyDescent="0.25">
      <c r="A1327" t="s">
        <v>55</v>
      </c>
      <c r="B1327" t="s">
        <v>62</v>
      </c>
      <c r="C1327">
        <v>11</v>
      </c>
      <c r="D1327">
        <v>30.001000000000001</v>
      </c>
      <c r="E1327">
        <v>1</v>
      </c>
      <c r="F1327" t="s">
        <v>13</v>
      </c>
      <c r="G1327" t="s">
        <v>12</v>
      </c>
      <c r="H1327">
        <v>10</v>
      </c>
      <c r="I1327">
        <v>10.01</v>
      </c>
      <c r="J1327" t="s">
        <v>10</v>
      </c>
      <c r="K1327">
        <v>458.92</v>
      </c>
      <c r="L1327">
        <v>21.117999999999999</v>
      </c>
      <c r="M1327">
        <v>458.89</v>
      </c>
      <c r="N1327">
        <v>21.117000000000001</v>
      </c>
      <c r="O1327" t="s">
        <v>2258</v>
      </c>
    </row>
    <row r="1328" spans="1:15" x14ac:dyDescent="0.25">
      <c r="A1328" t="s">
        <v>55</v>
      </c>
      <c r="B1328" t="s">
        <v>62</v>
      </c>
      <c r="C1328">
        <v>11</v>
      </c>
      <c r="D1328">
        <v>30.001000000000001</v>
      </c>
      <c r="E1328">
        <v>1</v>
      </c>
      <c r="F1328" t="s">
        <v>13</v>
      </c>
      <c r="G1328" t="s">
        <v>12</v>
      </c>
      <c r="H1328">
        <v>5</v>
      </c>
      <c r="I1328">
        <v>10</v>
      </c>
      <c r="J1328" t="s">
        <v>10</v>
      </c>
      <c r="K1328">
        <v>458.92</v>
      </c>
      <c r="L1328">
        <v>21.117999999999999</v>
      </c>
      <c r="M1328">
        <v>458.89</v>
      </c>
      <c r="N1328">
        <v>21.117000000000001</v>
      </c>
      <c r="O1328" t="s">
        <v>2256</v>
      </c>
    </row>
    <row r="1329" spans="1:15" x14ac:dyDescent="0.25">
      <c r="A1329" t="s">
        <v>55</v>
      </c>
      <c r="B1329" t="s">
        <v>62</v>
      </c>
      <c r="C1329">
        <v>11</v>
      </c>
      <c r="D1329">
        <v>30.001000000000001</v>
      </c>
      <c r="E1329">
        <v>1</v>
      </c>
      <c r="F1329" t="s">
        <v>13</v>
      </c>
      <c r="G1329" t="s">
        <v>12</v>
      </c>
      <c r="H1329">
        <v>4.4999999999999998E-2</v>
      </c>
      <c r="I1329">
        <v>1.0000100000000001</v>
      </c>
      <c r="J1329" t="s">
        <v>10</v>
      </c>
      <c r="K1329">
        <v>578.74</v>
      </c>
      <c r="L1329">
        <v>0.1605</v>
      </c>
      <c r="M1329">
        <v>578.73</v>
      </c>
      <c r="N1329">
        <v>0.15917999999999999</v>
      </c>
      <c r="O1329" t="s">
        <v>2759</v>
      </c>
    </row>
    <row r="1330" spans="1:15" x14ac:dyDescent="0.25">
      <c r="A1330" t="s">
        <v>55</v>
      </c>
      <c r="B1330" t="s">
        <v>62</v>
      </c>
      <c r="C1330">
        <v>11</v>
      </c>
      <c r="D1330">
        <v>30.001000000000001</v>
      </c>
      <c r="E1330">
        <v>1</v>
      </c>
      <c r="F1330" t="s">
        <v>13</v>
      </c>
      <c r="G1330" t="s">
        <v>12</v>
      </c>
      <c r="H1330">
        <v>0.01</v>
      </c>
      <c r="I1330">
        <v>4.5010000000000001E-2</v>
      </c>
      <c r="J1330" t="s">
        <v>10</v>
      </c>
      <c r="K1330">
        <v>577.67999999999995</v>
      </c>
      <c r="L1330">
        <v>0.29774</v>
      </c>
      <c r="M1330">
        <v>577.66</v>
      </c>
      <c r="N1330">
        <v>0.29630000000000001</v>
      </c>
      <c r="O1330" t="s">
        <v>2257</v>
      </c>
    </row>
    <row r="1331" spans="1:15" x14ac:dyDescent="0.25">
      <c r="A1331" t="s">
        <v>55</v>
      </c>
      <c r="B1331" t="s">
        <v>62</v>
      </c>
      <c r="C1331">
        <v>11</v>
      </c>
      <c r="D1331">
        <v>30.001000000000001</v>
      </c>
      <c r="E1331">
        <v>10</v>
      </c>
      <c r="F1331" t="s">
        <v>13</v>
      </c>
      <c r="G1331" t="s">
        <v>12</v>
      </c>
      <c r="H1331">
        <v>5</v>
      </c>
      <c r="I1331">
        <v>10</v>
      </c>
      <c r="J1331" t="s">
        <v>10</v>
      </c>
      <c r="K1331">
        <v>5776.7</v>
      </c>
      <c r="L1331">
        <v>3.2241</v>
      </c>
      <c r="M1331">
        <v>5776.7</v>
      </c>
      <c r="N1331">
        <v>3.2231000000000001</v>
      </c>
      <c r="O1331" t="s">
        <v>2260</v>
      </c>
    </row>
    <row r="1332" spans="1:15" x14ac:dyDescent="0.25">
      <c r="A1332" t="s">
        <v>55</v>
      </c>
      <c r="B1332" t="s">
        <v>62</v>
      </c>
      <c r="C1332">
        <v>11</v>
      </c>
      <c r="D1332">
        <v>30.001000000000001</v>
      </c>
      <c r="E1332">
        <v>10</v>
      </c>
      <c r="F1332" t="s">
        <v>13</v>
      </c>
      <c r="G1332" t="s">
        <v>12</v>
      </c>
      <c r="H1332">
        <v>10</v>
      </c>
      <c r="I1332">
        <v>10.01</v>
      </c>
      <c r="J1332" t="s">
        <v>10</v>
      </c>
      <c r="K1332">
        <v>5776.7</v>
      </c>
      <c r="L1332">
        <v>3.2241</v>
      </c>
      <c r="M1332">
        <v>5776.7</v>
      </c>
      <c r="N1332">
        <v>3.2231000000000001</v>
      </c>
      <c r="O1332" t="s">
        <v>2761</v>
      </c>
    </row>
    <row r="1333" spans="1:15" x14ac:dyDescent="0.25">
      <c r="A1333" t="s">
        <v>55</v>
      </c>
      <c r="B1333" t="s">
        <v>62</v>
      </c>
      <c r="C1333">
        <v>11</v>
      </c>
      <c r="D1333">
        <v>30.001000000000001</v>
      </c>
      <c r="E1333">
        <v>10</v>
      </c>
      <c r="F1333" t="s">
        <v>13</v>
      </c>
      <c r="G1333" t="s">
        <v>12</v>
      </c>
      <c r="H1333">
        <v>0.01</v>
      </c>
      <c r="I1333">
        <v>4.5010000000000001E-2</v>
      </c>
      <c r="J1333" t="s">
        <v>10</v>
      </c>
      <c r="K1333">
        <v>5799.8</v>
      </c>
      <c r="L1333">
        <v>3.0408000000000001E-2</v>
      </c>
      <c r="M1333">
        <v>5799.8</v>
      </c>
      <c r="N1333">
        <v>2.9818999999999998E-2</v>
      </c>
      <c r="O1333" t="s">
        <v>2760</v>
      </c>
    </row>
    <row r="1334" spans="1:15" x14ac:dyDescent="0.25">
      <c r="A1334" t="s">
        <v>55</v>
      </c>
      <c r="B1334" t="s">
        <v>62</v>
      </c>
      <c r="C1334">
        <v>11</v>
      </c>
      <c r="D1334">
        <v>30.001000000000001</v>
      </c>
      <c r="E1334">
        <v>10</v>
      </c>
      <c r="F1334" t="s">
        <v>13</v>
      </c>
      <c r="G1334" t="s">
        <v>12</v>
      </c>
      <c r="H1334">
        <v>1</v>
      </c>
      <c r="I1334">
        <v>5.01</v>
      </c>
      <c r="J1334" t="s">
        <v>10</v>
      </c>
      <c r="K1334">
        <v>5798.5</v>
      </c>
      <c r="L1334">
        <v>0.19808000000000001</v>
      </c>
      <c r="M1334">
        <v>5798.5</v>
      </c>
      <c r="N1334">
        <v>0.19750000000000001</v>
      </c>
      <c r="O1334" t="s">
        <v>2262</v>
      </c>
    </row>
    <row r="1335" spans="1:15" x14ac:dyDescent="0.25">
      <c r="A1335" t="s">
        <v>55</v>
      </c>
      <c r="B1335" t="s">
        <v>62</v>
      </c>
      <c r="C1335">
        <v>11</v>
      </c>
      <c r="D1335">
        <v>30.001000000000001</v>
      </c>
      <c r="E1335">
        <v>10</v>
      </c>
      <c r="F1335" t="s">
        <v>13</v>
      </c>
      <c r="G1335" t="s">
        <v>12</v>
      </c>
      <c r="H1335">
        <v>4.4999999999999998E-2</v>
      </c>
      <c r="I1335">
        <v>1.0000100000000001</v>
      </c>
      <c r="J1335" t="s">
        <v>10</v>
      </c>
      <c r="K1335">
        <v>5799.9</v>
      </c>
      <c r="L1335">
        <v>1.6507000000000001E-2</v>
      </c>
      <c r="M1335">
        <v>5799.9</v>
      </c>
      <c r="N1335">
        <v>1.5972E-2</v>
      </c>
      <c r="O1335" t="s">
        <v>2261</v>
      </c>
    </row>
    <row r="1336" spans="1:15" x14ac:dyDescent="0.25">
      <c r="A1336" t="s">
        <v>55</v>
      </c>
      <c r="B1336" t="s">
        <v>62</v>
      </c>
      <c r="C1336">
        <v>30</v>
      </c>
      <c r="D1336">
        <v>110.01</v>
      </c>
      <c r="E1336">
        <v>0.01</v>
      </c>
      <c r="F1336" t="s">
        <v>13</v>
      </c>
      <c r="G1336" t="s">
        <v>12</v>
      </c>
      <c r="H1336">
        <v>1</v>
      </c>
      <c r="I1336">
        <v>5</v>
      </c>
      <c r="J1336" t="s">
        <v>10</v>
      </c>
      <c r="K1336">
        <v>24</v>
      </c>
      <c r="L1336">
        <v>35</v>
      </c>
      <c r="M1336">
        <v>23.064</v>
      </c>
      <c r="N1336">
        <v>34.698999999999998</v>
      </c>
      <c r="O1336" t="s">
        <v>2263</v>
      </c>
    </row>
    <row r="1337" spans="1:15" x14ac:dyDescent="0.25">
      <c r="A1337" t="s">
        <v>55</v>
      </c>
      <c r="B1337" t="s">
        <v>62</v>
      </c>
      <c r="C1337">
        <v>30</v>
      </c>
      <c r="D1337">
        <v>110.01</v>
      </c>
      <c r="E1337">
        <v>0.01</v>
      </c>
      <c r="F1337" t="s">
        <v>13</v>
      </c>
      <c r="G1337" t="s">
        <v>12</v>
      </c>
      <c r="H1337">
        <v>0.1</v>
      </c>
      <c r="I1337">
        <v>1.0000100000000001</v>
      </c>
      <c r="J1337" t="s">
        <v>10</v>
      </c>
      <c r="K1337">
        <v>15</v>
      </c>
      <c r="L1337">
        <v>2.2999999999999998</v>
      </c>
      <c r="M1337">
        <v>14.872</v>
      </c>
      <c r="N1337">
        <v>2.2866</v>
      </c>
      <c r="O1337" t="s">
        <v>2265</v>
      </c>
    </row>
    <row r="1338" spans="1:15" x14ac:dyDescent="0.25">
      <c r="A1338" t="s">
        <v>55</v>
      </c>
      <c r="B1338" t="s">
        <v>62</v>
      </c>
      <c r="C1338">
        <v>30</v>
      </c>
      <c r="D1338">
        <v>110.01</v>
      </c>
      <c r="E1338">
        <v>0.01</v>
      </c>
      <c r="F1338" t="s">
        <v>13</v>
      </c>
      <c r="G1338" t="s">
        <v>12</v>
      </c>
      <c r="H1338">
        <v>4.4999999999999998E-2</v>
      </c>
      <c r="I1338">
        <v>0.10001</v>
      </c>
      <c r="J1338" t="s">
        <v>10</v>
      </c>
      <c r="K1338">
        <v>12</v>
      </c>
      <c r="L1338">
        <v>2.1</v>
      </c>
      <c r="M1338">
        <v>11.984</v>
      </c>
      <c r="N1338">
        <v>2.0859999999999999</v>
      </c>
      <c r="O1338" t="s">
        <v>2264</v>
      </c>
    </row>
    <row r="1339" spans="1:15" x14ac:dyDescent="0.25">
      <c r="A1339" t="s">
        <v>55</v>
      </c>
      <c r="B1339" t="s">
        <v>62</v>
      </c>
      <c r="C1339">
        <v>30</v>
      </c>
      <c r="D1339">
        <v>110.01</v>
      </c>
      <c r="E1339">
        <v>0.01</v>
      </c>
      <c r="F1339" t="s">
        <v>13</v>
      </c>
      <c r="G1339" t="s">
        <v>12</v>
      </c>
      <c r="H1339">
        <v>5</v>
      </c>
      <c r="I1339">
        <v>5.01</v>
      </c>
      <c r="J1339" t="s">
        <v>10</v>
      </c>
      <c r="K1339">
        <v>24</v>
      </c>
      <c r="L1339">
        <v>35</v>
      </c>
      <c r="M1339">
        <v>23.064</v>
      </c>
      <c r="N1339">
        <v>34.698999999999998</v>
      </c>
      <c r="O1339" t="s">
        <v>2266</v>
      </c>
    </row>
    <row r="1340" spans="1:15" x14ac:dyDescent="0.25">
      <c r="A1340" t="s">
        <v>55</v>
      </c>
      <c r="B1340" t="s">
        <v>62</v>
      </c>
      <c r="C1340">
        <v>30</v>
      </c>
      <c r="D1340">
        <v>110.01</v>
      </c>
      <c r="E1340">
        <v>0.1</v>
      </c>
      <c r="F1340" t="s">
        <v>13</v>
      </c>
      <c r="G1340" t="s">
        <v>12</v>
      </c>
      <c r="H1340">
        <v>0.1</v>
      </c>
      <c r="I1340">
        <v>1.0000100000000001</v>
      </c>
      <c r="J1340" t="s">
        <v>10</v>
      </c>
      <c r="K1340">
        <v>37.347999999999999</v>
      </c>
      <c r="L1340">
        <v>2.1392000000000002</v>
      </c>
      <c r="M1340">
        <v>37.319000000000003</v>
      </c>
      <c r="N1340">
        <v>2.1387</v>
      </c>
      <c r="O1340" t="s">
        <v>2267</v>
      </c>
    </row>
    <row r="1341" spans="1:15" x14ac:dyDescent="0.25">
      <c r="A1341" t="s">
        <v>55</v>
      </c>
      <c r="B1341" t="s">
        <v>62</v>
      </c>
      <c r="C1341">
        <v>30</v>
      </c>
      <c r="D1341">
        <v>110.01</v>
      </c>
      <c r="E1341">
        <v>0.1</v>
      </c>
      <c r="F1341" t="s">
        <v>13</v>
      </c>
      <c r="G1341" t="s">
        <v>12</v>
      </c>
      <c r="H1341">
        <v>5</v>
      </c>
      <c r="I1341">
        <v>5.01</v>
      </c>
      <c r="J1341" t="s">
        <v>10</v>
      </c>
      <c r="K1341">
        <v>24</v>
      </c>
      <c r="L1341">
        <v>35</v>
      </c>
      <c r="M1341">
        <v>25.111999999999998</v>
      </c>
      <c r="N1341">
        <v>34.683999999999997</v>
      </c>
      <c r="O1341" t="s">
        <v>2270</v>
      </c>
    </row>
    <row r="1342" spans="1:15" x14ac:dyDescent="0.25">
      <c r="A1342" t="s">
        <v>55</v>
      </c>
      <c r="B1342" t="s">
        <v>62</v>
      </c>
      <c r="C1342">
        <v>30</v>
      </c>
      <c r="D1342">
        <v>110.01</v>
      </c>
      <c r="E1342">
        <v>0.1</v>
      </c>
      <c r="F1342" t="s">
        <v>13</v>
      </c>
      <c r="G1342" t="s">
        <v>12</v>
      </c>
      <c r="H1342">
        <v>1</v>
      </c>
      <c r="I1342">
        <v>5</v>
      </c>
      <c r="J1342" t="s">
        <v>10</v>
      </c>
      <c r="K1342">
        <v>24</v>
      </c>
      <c r="L1342">
        <v>35</v>
      </c>
      <c r="M1342">
        <v>25.111999999999998</v>
      </c>
      <c r="N1342">
        <v>34.683999999999997</v>
      </c>
      <c r="O1342" t="s">
        <v>2269</v>
      </c>
    </row>
    <row r="1343" spans="1:15" x14ac:dyDescent="0.25">
      <c r="A1343" t="s">
        <v>55</v>
      </c>
      <c r="B1343" t="s">
        <v>62</v>
      </c>
      <c r="C1343">
        <v>30</v>
      </c>
      <c r="D1343">
        <v>110.01</v>
      </c>
      <c r="E1343">
        <v>0.1</v>
      </c>
      <c r="F1343" t="s">
        <v>13</v>
      </c>
      <c r="G1343" t="s">
        <v>12</v>
      </c>
      <c r="H1343">
        <v>4.4999999999999998E-2</v>
      </c>
      <c r="I1343">
        <v>0.10001</v>
      </c>
      <c r="J1343" t="s">
        <v>10</v>
      </c>
      <c r="K1343">
        <v>36.579000000000001</v>
      </c>
      <c r="L1343">
        <v>1.9251</v>
      </c>
      <c r="M1343">
        <v>36.551000000000002</v>
      </c>
      <c r="N1343">
        <v>1.9245000000000001</v>
      </c>
      <c r="O1343" t="s">
        <v>2268</v>
      </c>
    </row>
    <row r="1344" spans="1:15" x14ac:dyDescent="0.25">
      <c r="A1344" t="s">
        <v>55</v>
      </c>
      <c r="B1344" t="s">
        <v>62</v>
      </c>
      <c r="C1344">
        <v>30</v>
      </c>
      <c r="D1344">
        <v>110.01</v>
      </c>
      <c r="E1344">
        <v>1</v>
      </c>
      <c r="F1344" t="s">
        <v>13</v>
      </c>
      <c r="G1344" t="s">
        <v>12</v>
      </c>
      <c r="H1344">
        <v>5</v>
      </c>
      <c r="I1344">
        <v>5.01</v>
      </c>
      <c r="J1344" t="s">
        <v>10</v>
      </c>
      <c r="K1344">
        <v>210.04</v>
      </c>
      <c r="L1344">
        <v>33.396000000000001</v>
      </c>
      <c r="M1344">
        <v>210.02</v>
      </c>
      <c r="N1344">
        <v>33.395000000000003</v>
      </c>
      <c r="O1344" t="s">
        <v>2273</v>
      </c>
    </row>
    <row r="1345" spans="1:15" x14ac:dyDescent="0.25">
      <c r="A1345" t="s">
        <v>55</v>
      </c>
      <c r="B1345" t="s">
        <v>62</v>
      </c>
      <c r="C1345">
        <v>30</v>
      </c>
      <c r="D1345">
        <v>110.01</v>
      </c>
      <c r="E1345">
        <v>1</v>
      </c>
      <c r="F1345" t="s">
        <v>13</v>
      </c>
      <c r="G1345" t="s">
        <v>12</v>
      </c>
      <c r="H1345">
        <v>1</v>
      </c>
      <c r="I1345">
        <v>5</v>
      </c>
      <c r="J1345" t="s">
        <v>10</v>
      </c>
      <c r="K1345">
        <v>210.04</v>
      </c>
      <c r="L1345">
        <v>33.396000000000001</v>
      </c>
      <c r="M1345">
        <v>210.02</v>
      </c>
      <c r="N1345">
        <v>33.395000000000003</v>
      </c>
      <c r="O1345" t="s">
        <v>2272</v>
      </c>
    </row>
    <row r="1346" spans="1:15" x14ac:dyDescent="0.25">
      <c r="A1346" t="s">
        <v>55</v>
      </c>
      <c r="B1346" t="s">
        <v>62</v>
      </c>
      <c r="C1346">
        <v>30</v>
      </c>
      <c r="D1346">
        <v>110.01</v>
      </c>
      <c r="E1346">
        <v>1</v>
      </c>
      <c r="F1346" t="s">
        <v>13</v>
      </c>
      <c r="G1346" t="s">
        <v>12</v>
      </c>
      <c r="H1346">
        <v>0.1</v>
      </c>
      <c r="I1346">
        <v>1.0000100000000001</v>
      </c>
      <c r="J1346" t="s">
        <v>10</v>
      </c>
      <c r="K1346">
        <v>566.33000000000004</v>
      </c>
      <c r="L1346">
        <v>0.65491999999999995</v>
      </c>
      <c r="M1346">
        <v>566.34</v>
      </c>
      <c r="N1346">
        <v>0.65351000000000004</v>
      </c>
      <c r="O1346" t="s">
        <v>2274</v>
      </c>
    </row>
    <row r="1347" spans="1:15" x14ac:dyDescent="0.25">
      <c r="A1347" t="s">
        <v>55</v>
      </c>
      <c r="B1347" t="s">
        <v>62</v>
      </c>
      <c r="C1347">
        <v>30</v>
      </c>
      <c r="D1347">
        <v>110.01</v>
      </c>
      <c r="E1347">
        <v>1</v>
      </c>
      <c r="F1347" t="s">
        <v>13</v>
      </c>
      <c r="G1347" t="s">
        <v>12</v>
      </c>
      <c r="H1347">
        <v>4.4999999999999998E-2</v>
      </c>
      <c r="I1347">
        <v>0.10001</v>
      </c>
      <c r="J1347" t="s">
        <v>10</v>
      </c>
      <c r="K1347">
        <v>568.42999999999995</v>
      </c>
      <c r="L1347">
        <v>0.54491000000000001</v>
      </c>
      <c r="M1347">
        <v>568.44000000000005</v>
      </c>
      <c r="N1347">
        <v>0.54347000000000001</v>
      </c>
      <c r="O1347" t="s">
        <v>2271</v>
      </c>
    </row>
    <row r="1348" spans="1:15" x14ac:dyDescent="0.25">
      <c r="A1348" t="s">
        <v>55</v>
      </c>
      <c r="B1348" t="s">
        <v>62</v>
      </c>
      <c r="C1348">
        <v>30</v>
      </c>
      <c r="D1348">
        <v>110.01</v>
      </c>
      <c r="E1348">
        <v>10</v>
      </c>
      <c r="F1348" t="s">
        <v>13</v>
      </c>
      <c r="G1348" t="s">
        <v>12</v>
      </c>
      <c r="H1348">
        <v>1</v>
      </c>
      <c r="I1348">
        <v>5</v>
      </c>
      <c r="J1348" t="s">
        <v>10</v>
      </c>
      <c r="K1348">
        <v>5499.6</v>
      </c>
      <c r="L1348">
        <v>13.241</v>
      </c>
      <c r="M1348">
        <v>5499.7</v>
      </c>
      <c r="N1348">
        <v>13.239000000000001</v>
      </c>
      <c r="O1348" t="s">
        <v>2277</v>
      </c>
    </row>
    <row r="1349" spans="1:15" x14ac:dyDescent="0.25">
      <c r="A1349" t="s">
        <v>55</v>
      </c>
      <c r="B1349" t="s">
        <v>62</v>
      </c>
      <c r="C1349">
        <v>30</v>
      </c>
      <c r="D1349">
        <v>110.01</v>
      </c>
      <c r="E1349">
        <v>10</v>
      </c>
      <c r="F1349" t="s">
        <v>13</v>
      </c>
      <c r="G1349" t="s">
        <v>12</v>
      </c>
      <c r="H1349">
        <v>0.1</v>
      </c>
      <c r="I1349">
        <v>1.0000100000000001</v>
      </c>
      <c r="J1349" t="s">
        <v>10</v>
      </c>
      <c r="K1349">
        <v>5798.5</v>
      </c>
      <c r="L1349">
        <v>6.9560999999999998E-2</v>
      </c>
      <c r="M1349">
        <v>5798.5</v>
      </c>
      <c r="N1349">
        <v>6.8926000000000001E-2</v>
      </c>
      <c r="O1349" t="s">
        <v>2762</v>
      </c>
    </row>
    <row r="1350" spans="1:15" x14ac:dyDescent="0.25">
      <c r="A1350" t="s">
        <v>55</v>
      </c>
      <c r="B1350" t="s">
        <v>62</v>
      </c>
      <c r="C1350">
        <v>30</v>
      </c>
      <c r="D1350">
        <v>110.01</v>
      </c>
      <c r="E1350">
        <v>10</v>
      </c>
      <c r="F1350" t="s">
        <v>13</v>
      </c>
      <c r="G1350" t="s">
        <v>12</v>
      </c>
      <c r="H1350">
        <v>5</v>
      </c>
      <c r="I1350">
        <v>5.01</v>
      </c>
      <c r="J1350" t="s">
        <v>10</v>
      </c>
      <c r="K1350">
        <v>5499.6</v>
      </c>
      <c r="L1350">
        <v>13.241</v>
      </c>
      <c r="M1350">
        <v>5499.7</v>
      </c>
      <c r="N1350">
        <v>13.239000000000001</v>
      </c>
      <c r="O1350" t="s">
        <v>2276</v>
      </c>
    </row>
    <row r="1351" spans="1:15" x14ac:dyDescent="0.25">
      <c r="A1351" t="s">
        <v>55</v>
      </c>
      <c r="B1351" t="s">
        <v>62</v>
      </c>
      <c r="C1351">
        <v>30</v>
      </c>
      <c r="D1351">
        <v>110.01</v>
      </c>
      <c r="E1351">
        <v>10</v>
      </c>
      <c r="F1351" t="s">
        <v>13</v>
      </c>
      <c r="G1351" t="s">
        <v>12</v>
      </c>
      <c r="H1351">
        <v>4.4999999999999998E-2</v>
      </c>
      <c r="I1351">
        <v>0.10001</v>
      </c>
      <c r="J1351" t="s">
        <v>10</v>
      </c>
      <c r="K1351">
        <v>5798.8</v>
      </c>
      <c r="L1351">
        <v>5.7436000000000001E-2</v>
      </c>
      <c r="M1351">
        <v>5798.8</v>
      </c>
      <c r="N1351">
        <v>5.6800999999999997E-2</v>
      </c>
      <c r="O1351" t="s">
        <v>2275</v>
      </c>
    </row>
    <row r="1352" spans="1:15" x14ac:dyDescent="0.25">
      <c r="A1352" t="s">
        <v>55</v>
      </c>
      <c r="B1352" t="s">
        <v>62</v>
      </c>
      <c r="C1352">
        <v>30</v>
      </c>
      <c r="D1352">
        <v>110.01</v>
      </c>
      <c r="E1352">
        <v>100</v>
      </c>
      <c r="F1352" t="s">
        <v>13</v>
      </c>
      <c r="G1352" t="s">
        <v>12</v>
      </c>
      <c r="H1352">
        <v>0.1</v>
      </c>
      <c r="I1352">
        <v>1.0000100000000001</v>
      </c>
      <c r="J1352" t="s">
        <v>10</v>
      </c>
      <c r="K1352">
        <v>58000</v>
      </c>
      <c r="L1352">
        <v>7.1509E-3</v>
      </c>
      <c r="M1352">
        <v>58000</v>
      </c>
      <c r="N1352">
        <v>6.8966000000000001E-3</v>
      </c>
      <c r="O1352" t="s">
        <v>2279</v>
      </c>
    </row>
    <row r="1353" spans="1:15" x14ac:dyDescent="0.25">
      <c r="A1353" t="s">
        <v>55</v>
      </c>
      <c r="B1353" t="s">
        <v>62</v>
      </c>
      <c r="C1353">
        <v>30</v>
      </c>
      <c r="D1353">
        <v>110.01</v>
      </c>
      <c r="E1353">
        <v>100</v>
      </c>
      <c r="F1353" t="s">
        <v>13</v>
      </c>
      <c r="G1353" t="s">
        <v>12</v>
      </c>
      <c r="H1353">
        <v>4.4999999999999998E-2</v>
      </c>
      <c r="I1353">
        <v>0.10001</v>
      </c>
      <c r="J1353" t="s">
        <v>10</v>
      </c>
      <c r="K1353">
        <v>58000</v>
      </c>
      <c r="L1353">
        <v>5.9370999999999998E-3</v>
      </c>
      <c r="M1353">
        <v>58000</v>
      </c>
      <c r="N1353">
        <v>5.6828E-3</v>
      </c>
      <c r="O1353" t="s">
        <v>2278</v>
      </c>
    </row>
    <row r="1354" spans="1:15" x14ac:dyDescent="0.25">
      <c r="A1354" t="s">
        <v>55</v>
      </c>
      <c r="B1354" t="s">
        <v>62</v>
      </c>
      <c r="C1354">
        <v>30</v>
      </c>
      <c r="D1354">
        <v>110.01</v>
      </c>
      <c r="E1354">
        <v>100</v>
      </c>
      <c r="F1354" t="s">
        <v>13</v>
      </c>
      <c r="G1354" t="s">
        <v>12</v>
      </c>
      <c r="H1354">
        <v>1</v>
      </c>
      <c r="I1354">
        <v>5</v>
      </c>
      <c r="J1354" t="s">
        <v>10</v>
      </c>
      <c r="K1354">
        <v>57966</v>
      </c>
      <c r="L1354">
        <v>1.4661</v>
      </c>
      <c r="M1354">
        <v>57966</v>
      </c>
      <c r="N1354">
        <v>1.4652000000000001</v>
      </c>
      <c r="O1354" t="s">
        <v>2763</v>
      </c>
    </row>
    <row r="1355" spans="1:15" x14ac:dyDescent="0.25">
      <c r="A1355" t="s">
        <v>55</v>
      </c>
      <c r="B1355" t="s">
        <v>62</v>
      </c>
      <c r="C1355">
        <v>30</v>
      </c>
      <c r="D1355">
        <v>110.01</v>
      </c>
      <c r="E1355">
        <v>100</v>
      </c>
      <c r="F1355" t="s">
        <v>13</v>
      </c>
      <c r="G1355" t="s">
        <v>12</v>
      </c>
      <c r="H1355">
        <v>5</v>
      </c>
      <c r="I1355">
        <v>5.01</v>
      </c>
      <c r="J1355" t="s">
        <v>10</v>
      </c>
      <c r="K1355">
        <v>57966</v>
      </c>
      <c r="L1355">
        <v>1.4661</v>
      </c>
      <c r="M1355">
        <v>57966</v>
      </c>
      <c r="N1355">
        <v>1.4652000000000001</v>
      </c>
      <c r="O1355" t="s">
        <v>2764</v>
      </c>
    </row>
    <row r="1356" spans="1:15" x14ac:dyDescent="0.25">
      <c r="A1356" t="s">
        <v>55</v>
      </c>
      <c r="B1356" t="s">
        <v>62</v>
      </c>
      <c r="C1356">
        <v>110</v>
      </c>
      <c r="D1356">
        <v>205.01</v>
      </c>
      <c r="E1356">
        <v>0.01</v>
      </c>
      <c r="F1356" t="s">
        <v>13</v>
      </c>
      <c r="G1356" t="s">
        <v>12</v>
      </c>
      <c r="H1356">
        <v>0.1</v>
      </c>
      <c r="I1356">
        <v>1.0000100000000001</v>
      </c>
      <c r="J1356" t="s">
        <v>10</v>
      </c>
      <c r="K1356">
        <v>49</v>
      </c>
      <c r="L1356">
        <v>2.6</v>
      </c>
      <c r="M1356">
        <v>42.201999999999998</v>
      </c>
      <c r="N1356">
        <v>2.6324000000000001</v>
      </c>
      <c r="O1356" t="s">
        <v>2765</v>
      </c>
    </row>
    <row r="1357" spans="1:15" x14ac:dyDescent="0.25">
      <c r="A1357" t="s">
        <v>55</v>
      </c>
      <c r="B1357" t="s">
        <v>62</v>
      </c>
      <c r="C1357">
        <v>110</v>
      </c>
      <c r="D1357">
        <v>205.01</v>
      </c>
      <c r="E1357">
        <v>0.01</v>
      </c>
      <c r="F1357" t="s">
        <v>13</v>
      </c>
      <c r="G1357" t="s">
        <v>12</v>
      </c>
      <c r="H1357">
        <v>5</v>
      </c>
      <c r="I1357">
        <v>5.01</v>
      </c>
      <c r="J1357" t="s">
        <v>10</v>
      </c>
      <c r="K1357">
        <v>58</v>
      </c>
      <c r="L1357">
        <v>35</v>
      </c>
      <c r="M1357">
        <v>57.612000000000002</v>
      </c>
      <c r="N1357">
        <v>34.698999999999998</v>
      </c>
      <c r="O1357" t="s">
        <v>2280</v>
      </c>
    </row>
    <row r="1358" spans="1:15" x14ac:dyDescent="0.25">
      <c r="A1358" t="s">
        <v>55</v>
      </c>
      <c r="B1358" t="s">
        <v>62</v>
      </c>
      <c r="C1358">
        <v>110</v>
      </c>
      <c r="D1358">
        <v>205.01</v>
      </c>
      <c r="E1358">
        <v>0.01</v>
      </c>
      <c r="F1358" t="s">
        <v>13</v>
      </c>
      <c r="G1358" t="s">
        <v>12</v>
      </c>
      <c r="H1358">
        <v>4.4999999999999998E-2</v>
      </c>
      <c r="I1358">
        <v>0.10001</v>
      </c>
      <c r="J1358" t="s">
        <v>10</v>
      </c>
      <c r="K1358">
        <v>42</v>
      </c>
      <c r="L1358">
        <v>2.4</v>
      </c>
      <c r="M1358">
        <v>38.552999999999997</v>
      </c>
      <c r="N1358">
        <v>2.4159000000000002</v>
      </c>
      <c r="O1358" t="s">
        <v>2281</v>
      </c>
    </row>
    <row r="1359" spans="1:15" x14ac:dyDescent="0.25">
      <c r="A1359" t="s">
        <v>55</v>
      </c>
      <c r="B1359" t="s">
        <v>62</v>
      </c>
      <c r="C1359">
        <v>110</v>
      </c>
      <c r="D1359">
        <v>205.01</v>
      </c>
      <c r="E1359">
        <v>0.01</v>
      </c>
      <c r="F1359" t="s">
        <v>13</v>
      </c>
      <c r="G1359" t="s">
        <v>12</v>
      </c>
      <c r="H1359">
        <v>1</v>
      </c>
      <c r="I1359">
        <v>5</v>
      </c>
      <c r="J1359" t="s">
        <v>10</v>
      </c>
      <c r="K1359">
        <v>58</v>
      </c>
      <c r="L1359">
        <v>35</v>
      </c>
      <c r="M1359">
        <v>57.612000000000002</v>
      </c>
      <c r="N1359">
        <v>34.698999999999998</v>
      </c>
      <c r="O1359" t="s">
        <v>2766</v>
      </c>
    </row>
    <row r="1360" spans="1:15" x14ac:dyDescent="0.25">
      <c r="A1360" t="s">
        <v>55</v>
      </c>
      <c r="B1360" t="s">
        <v>62</v>
      </c>
      <c r="C1360">
        <v>110</v>
      </c>
      <c r="D1360">
        <v>205.01</v>
      </c>
      <c r="E1360">
        <v>0.1</v>
      </c>
      <c r="F1360" t="s">
        <v>13</v>
      </c>
      <c r="G1360" t="s">
        <v>12</v>
      </c>
      <c r="H1360">
        <v>0.1</v>
      </c>
      <c r="I1360">
        <v>1.0000100000000001</v>
      </c>
      <c r="J1360" t="s">
        <v>10</v>
      </c>
      <c r="K1360">
        <v>49.765000000000001</v>
      </c>
      <c r="L1360">
        <v>2.6107999999999998</v>
      </c>
      <c r="M1360">
        <v>49.649000000000001</v>
      </c>
      <c r="N1360">
        <v>2.61</v>
      </c>
      <c r="O1360" t="s">
        <v>2767</v>
      </c>
    </row>
    <row r="1361" spans="1:15" x14ac:dyDescent="0.25">
      <c r="A1361" t="s">
        <v>55</v>
      </c>
      <c r="B1361" t="s">
        <v>62</v>
      </c>
      <c r="C1361">
        <v>110</v>
      </c>
      <c r="D1361">
        <v>205.01</v>
      </c>
      <c r="E1361">
        <v>0.1</v>
      </c>
      <c r="F1361" t="s">
        <v>13</v>
      </c>
      <c r="G1361" t="s">
        <v>12</v>
      </c>
      <c r="H1361">
        <v>4.4999999999999998E-2</v>
      </c>
      <c r="I1361">
        <v>0.10001</v>
      </c>
      <c r="J1361" t="s">
        <v>10</v>
      </c>
      <c r="K1361">
        <v>46.786999999999999</v>
      </c>
      <c r="L1361">
        <v>2.3923999999999999</v>
      </c>
      <c r="M1361">
        <v>46.65</v>
      </c>
      <c r="N1361">
        <v>2.3915999999999999</v>
      </c>
      <c r="O1361" t="s">
        <v>2283</v>
      </c>
    </row>
    <row r="1362" spans="1:15" x14ac:dyDescent="0.25">
      <c r="A1362" t="s">
        <v>55</v>
      </c>
      <c r="B1362" t="s">
        <v>62</v>
      </c>
      <c r="C1362">
        <v>110</v>
      </c>
      <c r="D1362">
        <v>205.01</v>
      </c>
      <c r="E1362">
        <v>0.1</v>
      </c>
      <c r="F1362" t="s">
        <v>13</v>
      </c>
      <c r="G1362" t="s">
        <v>12</v>
      </c>
      <c r="H1362">
        <v>5</v>
      </c>
      <c r="I1362">
        <v>5.01</v>
      </c>
      <c r="J1362" t="s">
        <v>10</v>
      </c>
      <c r="K1362">
        <v>58</v>
      </c>
      <c r="L1362">
        <v>35</v>
      </c>
      <c r="M1362">
        <v>58.262</v>
      </c>
      <c r="N1362">
        <v>34.697000000000003</v>
      </c>
      <c r="O1362" t="s">
        <v>2768</v>
      </c>
    </row>
    <row r="1363" spans="1:15" x14ac:dyDescent="0.25">
      <c r="A1363" t="s">
        <v>55</v>
      </c>
      <c r="B1363" t="s">
        <v>62</v>
      </c>
      <c r="C1363">
        <v>110</v>
      </c>
      <c r="D1363">
        <v>205.01</v>
      </c>
      <c r="E1363">
        <v>0.1</v>
      </c>
      <c r="F1363" t="s">
        <v>13</v>
      </c>
      <c r="G1363" t="s">
        <v>12</v>
      </c>
      <c r="H1363">
        <v>1</v>
      </c>
      <c r="I1363">
        <v>5</v>
      </c>
      <c r="J1363" t="s">
        <v>10</v>
      </c>
      <c r="K1363">
        <v>58</v>
      </c>
      <c r="L1363">
        <v>35</v>
      </c>
      <c r="M1363">
        <v>58.262</v>
      </c>
      <c r="N1363">
        <v>34.697000000000003</v>
      </c>
      <c r="O1363" t="s">
        <v>2282</v>
      </c>
    </row>
    <row r="1364" spans="1:15" x14ac:dyDescent="0.25">
      <c r="A1364" t="s">
        <v>55</v>
      </c>
      <c r="B1364" t="s">
        <v>62</v>
      </c>
      <c r="C1364">
        <v>110</v>
      </c>
      <c r="D1364">
        <v>205.01</v>
      </c>
      <c r="E1364">
        <v>1</v>
      </c>
      <c r="F1364" t="s">
        <v>13</v>
      </c>
      <c r="G1364" t="s">
        <v>12</v>
      </c>
      <c r="H1364">
        <v>0.1</v>
      </c>
      <c r="I1364">
        <v>1.0000100000000001</v>
      </c>
      <c r="J1364" t="s">
        <v>10</v>
      </c>
      <c r="K1364">
        <v>490.55</v>
      </c>
      <c r="L1364">
        <v>1.6184000000000001</v>
      </c>
      <c r="M1364">
        <v>490.58</v>
      </c>
      <c r="N1364">
        <v>1.6144000000000001</v>
      </c>
      <c r="O1364" t="s">
        <v>2286</v>
      </c>
    </row>
    <row r="1365" spans="1:15" x14ac:dyDescent="0.25">
      <c r="A1365" t="s">
        <v>55</v>
      </c>
      <c r="B1365" t="s">
        <v>62</v>
      </c>
      <c r="C1365">
        <v>110</v>
      </c>
      <c r="D1365">
        <v>205.01</v>
      </c>
      <c r="E1365">
        <v>1</v>
      </c>
      <c r="F1365" t="s">
        <v>13</v>
      </c>
      <c r="G1365" t="s">
        <v>12</v>
      </c>
      <c r="H1365">
        <v>1</v>
      </c>
      <c r="I1365">
        <v>5</v>
      </c>
      <c r="J1365" t="s">
        <v>10</v>
      </c>
      <c r="K1365">
        <v>79.069999999999993</v>
      </c>
      <c r="L1365">
        <v>34.896999999999998</v>
      </c>
      <c r="M1365">
        <v>123.66</v>
      </c>
      <c r="N1365">
        <v>34.491</v>
      </c>
      <c r="O1365" t="s">
        <v>2287</v>
      </c>
    </row>
    <row r="1366" spans="1:15" x14ac:dyDescent="0.25">
      <c r="A1366" t="s">
        <v>55</v>
      </c>
      <c r="B1366" t="s">
        <v>62</v>
      </c>
      <c r="C1366">
        <v>110</v>
      </c>
      <c r="D1366">
        <v>205.01</v>
      </c>
      <c r="E1366">
        <v>1</v>
      </c>
      <c r="F1366" t="s">
        <v>13</v>
      </c>
      <c r="G1366" t="s">
        <v>12</v>
      </c>
      <c r="H1366">
        <v>4.4999999999999998E-2</v>
      </c>
      <c r="I1366">
        <v>0.10001</v>
      </c>
      <c r="J1366" t="s">
        <v>10</v>
      </c>
      <c r="K1366">
        <v>500.59</v>
      </c>
      <c r="L1366">
        <v>1.4072</v>
      </c>
      <c r="M1366">
        <v>500.63</v>
      </c>
      <c r="N1366">
        <v>1.403</v>
      </c>
      <c r="O1366" t="s">
        <v>2285</v>
      </c>
    </row>
    <row r="1367" spans="1:15" x14ac:dyDescent="0.25">
      <c r="A1367" t="s">
        <v>55</v>
      </c>
      <c r="B1367" t="s">
        <v>62</v>
      </c>
      <c r="C1367">
        <v>110</v>
      </c>
      <c r="D1367">
        <v>205.01</v>
      </c>
      <c r="E1367">
        <v>1</v>
      </c>
      <c r="F1367" t="s">
        <v>13</v>
      </c>
      <c r="G1367" t="s">
        <v>12</v>
      </c>
      <c r="H1367">
        <v>5</v>
      </c>
      <c r="I1367">
        <v>5.01</v>
      </c>
      <c r="J1367" t="s">
        <v>10</v>
      </c>
      <c r="K1367">
        <v>79.069999999999993</v>
      </c>
      <c r="L1367">
        <v>34.896999999999998</v>
      </c>
      <c r="M1367">
        <v>123.66</v>
      </c>
      <c r="N1367">
        <v>34.491</v>
      </c>
      <c r="O1367" t="s">
        <v>2284</v>
      </c>
    </row>
    <row r="1368" spans="1:15" x14ac:dyDescent="0.25">
      <c r="A1368" t="s">
        <v>55</v>
      </c>
      <c r="B1368" t="s">
        <v>62</v>
      </c>
      <c r="C1368">
        <v>110</v>
      </c>
      <c r="D1368">
        <v>205.01</v>
      </c>
      <c r="E1368">
        <v>10</v>
      </c>
      <c r="F1368" t="s">
        <v>13</v>
      </c>
      <c r="G1368" t="s">
        <v>12</v>
      </c>
      <c r="H1368">
        <v>0.1</v>
      </c>
      <c r="I1368">
        <v>1.0000100000000001</v>
      </c>
      <c r="J1368" t="s">
        <v>10</v>
      </c>
      <c r="K1368">
        <v>5786.7</v>
      </c>
      <c r="L1368">
        <v>0.20930000000000001</v>
      </c>
      <c r="M1368">
        <v>5786.8</v>
      </c>
      <c r="N1368">
        <v>0.20663999999999999</v>
      </c>
      <c r="O1368" t="s">
        <v>2290</v>
      </c>
    </row>
    <row r="1369" spans="1:15" x14ac:dyDescent="0.25">
      <c r="A1369" t="s">
        <v>55</v>
      </c>
      <c r="B1369" t="s">
        <v>62</v>
      </c>
      <c r="C1369">
        <v>110</v>
      </c>
      <c r="D1369">
        <v>205.01</v>
      </c>
      <c r="E1369">
        <v>10</v>
      </c>
      <c r="F1369" t="s">
        <v>13</v>
      </c>
      <c r="G1369" t="s">
        <v>12</v>
      </c>
      <c r="H1369">
        <v>4.4999999999999998E-2</v>
      </c>
      <c r="I1369">
        <v>0.10001</v>
      </c>
      <c r="J1369" t="s">
        <v>10</v>
      </c>
      <c r="K1369">
        <v>5788.7</v>
      </c>
      <c r="L1369">
        <v>0.17673</v>
      </c>
      <c r="M1369">
        <v>5788.8</v>
      </c>
      <c r="N1369">
        <v>0.17407</v>
      </c>
      <c r="O1369" t="s">
        <v>2291</v>
      </c>
    </row>
    <row r="1370" spans="1:15" x14ac:dyDescent="0.25">
      <c r="A1370" t="s">
        <v>55</v>
      </c>
      <c r="B1370" t="s">
        <v>62</v>
      </c>
      <c r="C1370">
        <v>110</v>
      </c>
      <c r="D1370">
        <v>205.01</v>
      </c>
      <c r="E1370">
        <v>10</v>
      </c>
      <c r="F1370" t="s">
        <v>13</v>
      </c>
      <c r="G1370" t="s">
        <v>12</v>
      </c>
      <c r="H1370">
        <v>5</v>
      </c>
      <c r="I1370">
        <v>5.01</v>
      </c>
      <c r="J1370" t="s">
        <v>10</v>
      </c>
      <c r="K1370">
        <v>4372.5</v>
      </c>
      <c r="L1370">
        <v>23.661999999999999</v>
      </c>
      <c r="M1370">
        <v>4372.3999999999996</v>
      </c>
      <c r="N1370">
        <v>23.661000000000001</v>
      </c>
      <c r="O1370" t="s">
        <v>2288</v>
      </c>
    </row>
    <row r="1371" spans="1:15" x14ac:dyDescent="0.25">
      <c r="A1371" t="s">
        <v>55</v>
      </c>
      <c r="B1371" t="s">
        <v>62</v>
      </c>
      <c r="C1371">
        <v>110</v>
      </c>
      <c r="D1371">
        <v>205.01</v>
      </c>
      <c r="E1371">
        <v>10</v>
      </c>
      <c r="F1371" t="s">
        <v>13</v>
      </c>
      <c r="G1371" t="s">
        <v>12</v>
      </c>
      <c r="H1371">
        <v>1</v>
      </c>
      <c r="I1371">
        <v>5</v>
      </c>
      <c r="J1371" t="s">
        <v>10</v>
      </c>
      <c r="K1371">
        <v>4372.5</v>
      </c>
      <c r="L1371">
        <v>23.661999999999999</v>
      </c>
      <c r="M1371">
        <v>4372.3999999999996</v>
      </c>
      <c r="N1371">
        <v>23.661000000000001</v>
      </c>
      <c r="O1371" t="s">
        <v>2289</v>
      </c>
    </row>
    <row r="1372" spans="1:15" x14ac:dyDescent="0.25">
      <c r="A1372" t="s">
        <v>55</v>
      </c>
      <c r="B1372" t="s">
        <v>62</v>
      </c>
      <c r="C1372">
        <v>110</v>
      </c>
      <c r="D1372">
        <v>205.01</v>
      </c>
      <c r="E1372">
        <v>100</v>
      </c>
      <c r="F1372" t="s">
        <v>13</v>
      </c>
      <c r="G1372" t="s">
        <v>12</v>
      </c>
      <c r="H1372">
        <v>0.1</v>
      </c>
      <c r="I1372">
        <v>1.0000100000000001</v>
      </c>
      <c r="J1372" t="s">
        <v>10</v>
      </c>
      <c r="K1372">
        <v>57999</v>
      </c>
      <c r="L1372">
        <v>2.1802999999999999E-2</v>
      </c>
      <c r="M1372">
        <v>57999</v>
      </c>
      <c r="N1372">
        <v>2.0732E-2</v>
      </c>
      <c r="O1372" t="s">
        <v>2294</v>
      </c>
    </row>
    <row r="1373" spans="1:15" x14ac:dyDescent="0.25">
      <c r="A1373" t="s">
        <v>55</v>
      </c>
      <c r="B1373" t="s">
        <v>62</v>
      </c>
      <c r="C1373">
        <v>110</v>
      </c>
      <c r="D1373">
        <v>205.01</v>
      </c>
      <c r="E1373">
        <v>100</v>
      </c>
      <c r="F1373" t="s">
        <v>13</v>
      </c>
      <c r="G1373" t="s">
        <v>12</v>
      </c>
      <c r="H1373">
        <v>4.4999999999999998E-2</v>
      </c>
      <c r="I1373">
        <v>0.10001</v>
      </c>
      <c r="J1373" t="s">
        <v>10</v>
      </c>
      <c r="K1373">
        <v>57999</v>
      </c>
      <c r="L1373">
        <v>1.8526000000000001E-2</v>
      </c>
      <c r="M1373">
        <v>57999</v>
      </c>
      <c r="N1373">
        <v>1.7454999999999998E-2</v>
      </c>
      <c r="O1373" t="s">
        <v>2292</v>
      </c>
    </row>
    <row r="1374" spans="1:15" x14ac:dyDescent="0.25">
      <c r="A1374" t="s">
        <v>55</v>
      </c>
      <c r="B1374" t="s">
        <v>62</v>
      </c>
      <c r="C1374">
        <v>110</v>
      </c>
      <c r="D1374">
        <v>205.01</v>
      </c>
      <c r="E1374">
        <v>100</v>
      </c>
      <c r="F1374" t="s">
        <v>13</v>
      </c>
      <c r="G1374" t="s">
        <v>12</v>
      </c>
      <c r="H1374">
        <v>1</v>
      </c>
      <c r="I1374">
        <v>5</v>
      </c>
      <c r="J1374" t="s">
        <v>10</v>
      </c>
      <c r="K1374">
        <v>57768</v>
      </c>
      <c r="L1374">
        <v>3.2888999999999999</v>
      </c>
      <c r="M1374">
        <v>57768</v>
      </c>
      <c r="N1374">
        <v>3.2877999999999998</v>
      </c>
      <c r="O1374" t="s">
        <v>2293</v>
      </c>
    </row>
    <row r="1375" spans="1:15" x14ac:dyDescent="0.25">
      <c r="A1375" t="s">
        <v>55</v>
      </c>
      <c r="B1375" t="s">
        <v>62</v>
      </c>
      <c r="C1375">
        <v>110</v>
      </c>
      <c r="D1375">
        <v>205.01</v>
      </c>
      <c r="E1375">
        <v>100</v>
      </c>
      <c r="F1375" t="s">
        <v>13</v>
      </c>
      <c r="G1375" t="s">
        <v>12</v>
      </c>
      <c r="H1375">
        <v>5</v>
      </c>
      <c r="I1375">
        <v>5.01</v>
      </c>
      <c r="J1375" t="s">
        <v>10</v>
      </c>
      <c r="K1375">
        <v>57768</v>
      </c>
      <c r="L1375">
        <v>3.2888999999999999</v>
      </c>
      <c r="M1375">
        <v>57768</v>
      </c>
      <c r="N1375">
        <v>3.2877999999999998</v>
      </c>
      <c r="O1375" t="s">
        <v>2295</v>
      </c>
    </row>
    <row r="1376" spans="1:15" x14ac:dyDescent="0.25">
      <c r="A1376" t="s">
        <v>55</v>
      </c>
      <c r="B1376" t="s">
        <v>63</v>
      </c>
      <c r="C1376">
        <v>22</v>
      </c>
      <c r="D1376">
        <v>60.000999999999998</v>
      </c>
      <c r="E1376">
        <v>1E-3</v>
      </c>
      <c r="F1376" t="s">
        <v>13</v>
      </c>
      <c r="G1376" t="s">
        <v>12</v>
      </c>
      <c r="H1376">
        <v>1</v>
      </c>
      <c r="I1376">
        <v>5.01</v>
      </c>
      <c r="J1376" t="s">
        <v>10</v>
      </c>
      <c r="K1376">
        <v>2.2999999999999998</v>
      </c>
      <c r="L1376">
        <v>7.6</v>
      </c>
      <c r="M1376">
        <v>2.2214999999999998</v>
      </c>
      <c r="N1376">
        <v>7.5885999999999996</v>
      </c>
      <c r="O1376" t="s">
        <v>2175</v>
      </c>
    </row>
    <row r="1377" spans="1:15" x14ac:dyDescent="0.25">
      <c r="A1377" t="s">
        <v>55</v>
      </c>
      <c r="B1377" t="s">
        <v>63</v>
      </c>
      <c r="C1377">
        <v>22</v>
      </c>
      <c r="D1377">
        <v>60.000999999999998</v>
      </c>
      <c r="E1377">
        <v>1E-3</v>
      </c>
      <c r="F1377" t="s">
        <v>13</v>
      </c>
      <c r="G1377" t="s">
        <v>12</v>
      </c>
      <c r="H1377">
        <v>0.01</v>
      </c>
      <c r="I1377">
        <v>4.5010000000000001E-2</v>
      </c>
      <c r="J1377" t="s">
        <v>10</v>
      </c>
      <c r="K1377">
        <v>-5.2</v>
      </c>
      <c r="L1377">
        <v>3</v>
      </c>
      <c r="M1377">
        <v>-6.3514999999999997</v>
      </c>
      <c r="N1377">
        <v>3.0358000000000001</v>
      </c>
      <c r="O1377" t="s">
        <v>2174</v>
      </c>
    </row>
    <row r="1378" spans="1:15" x14ac:dyDescent="0.25">
      <c r="A1378" t="s">
        <v>55</v>
      </c>
      <c r="B1378" t="s">
        <v>63</v>
      </c>
      <c r="C1378">
        <v>22</v>
      </c>
      <c r="D1378">
        <v>60.000999999999998</v>
      </c>
      <c r="E1378">
        <v>1E-3</v>
      </c>
      <c r="F1378" t="s">
        <v>13</v>
      </c>
      <c r="G1378" t="s">
        <v>12</v>
      </c>
      <c r="H1378">
        <v>10</v>
      </c>
      <c r="I1378">
        <v>10.01</v>
      </c>
      <c r="J1378" t="s">
        <v>10</v>
      </c>
      <c r="K1378">
        <v>52</v>
      </c>
      <c r="L1378">
        <v>30</v>
      </c>
      <c r="M1378">
        <v>34.529000000000003</v>
      </c>
      <c r="N1378">
        <v>30.459</v>
      </c>
      <c r="O1378" t="s">
        <v>2176</v>
      </c>
    </row>
    <row r="1379" spans="1:15" x14ac:dyDescent="0.25">
      <c r="A1379" t="s">
        <v>55</v>
      </c>
      <c r="B1379" t="s">
        <v>63</v>
      </c>
      <c r="C1379">
        <v>22</v>
      </c>
      <c r="D1379">
        <v>60.000999999999998</v>
      </c>
      <c r="E1379">
        <v>1E-3</v>
      </c>
      <c r="F1379" t="s">
        <v>13</v>
      </c>
      <c r="G1379" t="s">
        <v>12</v>
      </c>
      <c r="H1379">
        <v>5</v>
      </c>
      <c r="I1379">
        <v>10</v>
      </c>
      <c r="J1379" t="s">
        <v>10</v>
      </c>
      <c r="K1379">
        <v>52</v>
      </c>
      <c r="L1379">
        <v>30</v>
      </c>
      <c r="M1379">
        <v>34.529000000000003</v>
      </c>
      <c r="N1379">
        <v>30.459</v>
      </c>
      <c r="O1379" t="s">
        <v>2736</v>
      </c>
    </row>
    <row r="1380" spans="1:15" x14ac:dyDescent="0.25">
      <c r="A1380" t="s">
        <v>55</v>
      </c>
      <c r="B1380" t="s">
        <v>63</v>
      </c>
      <c r="C1380">
        <v>22</v>
      </c>
      <c r="D1380">
        <v>60.000999999999998</v>
      </c>
      <c r="E1380">
        <v>1E-3</v>
      </c>
      <c r="F1380" t="s">
        <v>13</v>
      </c>
      <c r="G1380" t="s">
        <v>12</v>
      </c>
      <c r="H1380">
        <v>4.4999999999999998E-2</v>
      </c>
      <c r="I1380">
        <v>1.0000100000000001</v>
      </c>
      <c r="J1380" t="s">
        <v>10</v>
      </c>
      <c r="K1380">
        <v>15</v>
      </c>
      <c r="L1380">
        <v>2.2999999999999998</v>
      </c>
      <c r="M1380">
        <v>-5.0780000000000003</v>
      </c>
      <c r="N1380">
        <v>2.2269999999999999</v>
      </c>
      <c r="O1380" t="s">
        <v>2173</v>
      </c>
    </row>
    <row r="1381" spans="1:15" x14ac:dyDescent="0.25">
      <c r="A1381" t="s">
        <v>55</v>
      </c>
      <c r="B1381" t="s">
        <v>63</v>
      </c>
      <c r="C1381">
        <v>22</v>
      </c>
      <c r="D1381">
        <v>60.000999999999998</v>
      </c>
      <c r="E1381">
        <v>0.01</v>
      </c>
      <c r="F1381" t="s">
        <v>13</v>
      </c>
      <c r="G1381" t="s">
        <v>12</v>
      </c>
      <c r="H1381">
        <v>10</v>
      </c>
      <c r="I1381">
        <v>10.01</v>
      </c>
      <c r="J1381" t="s">
        <v>10</v>
      </c>
      <c r="K1381">
        <v>52</v>
      </c>
      <c r="L1381">
        <v>30.457999999999998</v>
      </c>
      <c r="M1381">
        <v>34.545000000000002</v>
      </c>
      <c r="N1381">
        <v>30.459</v>
      </c>
      <c r="O1381" t="s">
        <v>2180</v>
      </c>
    </row>
    <row r="1382" spans="1:15" x14ac:dyDescent="0.25">
      <c r="A1382" t="s">
        <v>55</v>
      </c>
      <c r="B1382" t="s">
        <v>63</v>
      </c>
      <c r="C1382">
        <v>22</v>
      </c>
      <c r="D1382">
        <v>60.000999999999998</v>
      </c>
      <c r="E1382">
        <v>0.01</v>
      </c>
      <c r="F1382" t="s">
        <v>13</v>
      </c>
      <c r="G1382" t="s">
        <v>12</v>
      </c>
      <c r="H1382">
        <v>1</v>
      </c>
      <c r="I1382">
        <v>5.01</v>
      </c>
      <c r="J1382" t="s">
        <v>10</v>
      </c>
      <c r="K1382">
        <v>2.3481999999999998</v>
      </c>
      <c r="L1382">
        <v>7.5869</v>
      </c>
      <c r="M1382">
        <v>2.3433000000000002</v>
      </c>
      <c r="N1382">
        <v>7.5869</v>
      </c>
      <c r="O1382" t="s">
        <v>2177</v>
      </c>
    </row>
    <row r="1383" spans="1:15" x14ac:dyDescent="0.25">
      <c r="A1383" t="s">
        <v>55</v>
      </c>
      <c r="B1383" t="s">
        <v>63</v>
      </c>
      <c r="C1383">
        <v>22</v>
      </c>
      <c r="D1383">
        <v>60.000999999999998</v>
      </c>
      <c r="E1383">
        <v>0.01</v>
      </c>
      <c r="F1383" t="s">
        <v>13</v>
      </c>
      <c r="G1383" t="s">
        <v>12</v>
      </c>
      <c r="H1383">
        <v>4.4999999999999998E-2</v>
      </c>
      <c r="I1383">
        <v>1.0000100000000001</v>
      </c>
      <c r="J1383" t="s">
        <v>10</v>
      </c>
      <c r="K1383">
        <v>15</v>
      </c>
      <c r="L1383">
        <v>2.2999999999999998</v>
      </c>
      <c r="M1383">
        <v>-4.6150000000000002</v>
      </c>
      <c r="N1383">
        <v>2.2202999999999999</v>
      </c>
      <c r="O1383" t="s">
        <v>2179</v>
      </c>
    </row>
    <row r="1384" spans="1:15" x14ac:dyDescent="0.25">
      <c r="A1384" t="s">
        <v>55</v>
      </c>
      <c r="B1384" t="s">
        <v>63</v>
      </c>
      <c r="C1384">
        <v>22</v>
      </c>
      <c r="D1384">
        <v>60.000999999999998</v>
      </c>
      <c r="E1384">
        <v>0.01</v>
      </c>
      <c r="F1384" t="s">
        <v>13</v>
      </c>
      <c r="G1384" t="s">
        <v>12</v>
      </c>
      <c r="H1384">
        <v>5</v>
      </c>
      <c r="I1384">
        <v>10</v>
      </c>
      <c r="J1384" t="s">
        <v>10</v>
      </c>
      <c r="K1384">
        <v>52</v>
      </c>
      <c r="L1384">
        <v>30.457999999999998</v>
      </c>
      <c r="M1384">
        <v>34.545000000000002</v>
      </c>
      <c r="N1384">
        <v>30.459</v>
      </c>
      <c r="O1384" t="s">
        <v>2737</v>
      </c>
    </row>
    <row r="1385" spans="1:15" x14ac:dyDescent="0.25">
      <c r="A1385" t="s">
        <v>55</v>
      </c>
      <c r="B1385" t="s">
        <v>63</v>
      </c>
      <c r="C1385">
        <v>22</v>
      </c>
      <c r="D1385">
        <v>60.000999999999998</v>
      </c>
      <c r="E1385">
        <v>0.01</v>
      </c>
      <c r="F1385" t="s">
        <v>13</v>
      </c>
      <c r="G1385" t="s">
        <v>12</v>
      </c>
      <c r="H1385">
        <v>0.01</v>
      </c>
      <c r="I1385">
        <v>4.5010000000000001E-2</v>
      </c>
      <c r="J1385" t="s">
        <v>10</v>
      </c>
      <c r="K1385">
        <v>-5.2</v>
      </c>
      <c r="L1385">
        <v>3.0308999999999999</v>
      </c>
      <c r="M1385">
        <v>-6.0166000000000004</v>
      </c>
      <c r="N1385">
        <v>3.0310000000000001</v>
      </c>
      <c r="O1385" t="s">
        <v>2178</v>
      </c>
    </row>
    <row r="1386" spans="1:15" x14ac:dyDescent="0.25">
      <c r="A1386" t="s">
        <v>55</v>
      </c>
      <c r="B1386" t="s">
        <v>63</v>
      </c>
      <c r="C1386">
        <v>22</v>
      </c>
      <c r="D1386">
        <v>60.000999999999998</v>
      </c>
      <c r="E1386">
        <v>0.1</v>
      </c>
      <c r="F1386" t="s">
        <v>13</v>
      </c>
      <c r="G1386" t="s">
        <v>12</v>
      </c>
      <c r="H1386">
        <v>0.01</v>
      </c>
      <c r="I1386">
        <v>4.5010000000000001E-2</v>
      </c>
      <c r="J1386" t="s">
        <v>10</v>
      </c>
      <c r="K1386">
        <v>24.504000000000001</v>
      </c>
      <c r="L1386">
        <v>2.6608999999999998</v>
      </c>
      <c r="M1386">
        <v>24.465</v>
      </c>
      <c r="N1386">
        <v>2.6608000000000001</v>
      </c>
      <c r="O1386" t="s">
        <v>2181</v>
      </c>
    </row>
    <row r="1387" spans="1:15" x14ac:dyDescent="0.25">
      <c r="A1387" t="s">
        <v>55</v>
      </c>
      <c r="B1387" t="s">
        <v>63</v>
      </c>
      <c r="C1387">
        <v>22</v>
      </c>
      <c r="D1387">
        <v>60.000999999999998</v>
      </c>
      <c r="E1387">
        <v>0.1</v>
      </c>
      <c r="F1387" t="s">
        <v>13</v>
      </c>
      <c r="G1387" t="s">
        <v>12</v>
      </c>
      <c r="H1387">
        <v>5</v>
      </c>
      <c r="I1387">
        <v>10</v>
      </c>
      <c r="J1387" t="s">
        <v>10</v>
      </c>
      <c r="K1387">
        <v>52</v>
      </c>
      <c r="L1387">
        <v>30.419</v>
      </c>
      <c r="M1387">
        <v>37.46</v>
      </c>
      <c r="N1387">
        <v>30.419</v>
      </c>
      <c r="O1387" t="s">
        <v>2183</v>
      </c>
    </row>
    <row r="1388" spans="1:15" x14ac:dyDescent="0.25">
      <c r="A1388" t="s">
        <v>55</v>
      </c>
      <c r="B1388" t="s">
        <v>63</v>
      </c>
      <c r="C1388">
        <v>22</v>
      </c>
      <c r="D1388">
        <v>60.000999999999998</v>
      </c>
      <c r="E1388">
        <v>0.1</v>
      </c>
      <c r="F1388" t="s">
        <v>13</v>
      </c>
      <c r="G1388" t="s">
        <v>12</v>
      </c>
      <c r="H1388">
        <v>1</v>
      </c>
      <c r="I1388">
        <v>5.01</v>
      </c>
      <c r="J1388" t="s">
        <v>10</v>
      </c>
      <c r="K1388">
        <v>14.11</v>
      </c>
      <c r="L1388">
        <v>7.4272999999999998</v>
      </c>
      <c r="M1388">
        <v>14.090999999999999</v>
      </c>
      <c r="N1388">
        <v>7.4272999999999998</v>
      </c>
      <c r="O1388" t="s">
        <v>2185</v>
      </c>
    </row>
    <row r="1389" spans="1:15" x14ac:dyDescent="0.25">
      <c r="A1389" t="s">
        <v>55</v>
      </c>
      <c r="B1389" t="s">
        <v>63</v>
      </c>
      <c r="C1389">
        <v>22</v>
      </c>
      <c r="D1389">
        <v>60.000999999999998</v>
      </c>
      <c r="E1389">
        <v>0.1</v>
      </c>
      <c r="F1389" t="s">
        <v>13</v>
      </c>
      <c r="G1389" t="s">
        <v>12</v>
      </c>
      <c r="H1389">
        <v>10</v>
      </c>
      <c r="I1389">
        <v>10.01</v>
      </c>
      <c r="J1389" t="s">
        <v>10</v>
      </c>
      <c r="K1389">
        <v>52</v>
      </c>
      <c r="L1389">
        <v>30.419</v>
      </c>
      <c r="M1389">
        <v>37.46</v>
      </c>
      <c r="N1389">
        <v>30.419</v>
      </c>
      <c r="O1389" t="s">
        <v>2184</v>
      </c>
    </row>
    <row r="1390" spans="1:15" x14ac:dyDescent="0.25">
      <c r="A1390" t="s">
        <v>55</v>
      </c>
      <c r="B1390" t="s">
        <v>63</v>
      </c>
      <c r="C1390">
        <v>22</v>
      </c>
      <c r="D1390">
        <v>60.000999999999998</v>
      </c>
      <c r="E1390">
        <v>0.1</v>
      </c>
      <c r="F1390" t="s">
        <v>13</v>
      </c>
      <c r="G1390" t="s">
        <v>12</v>
      </c>
      <c r="H1390">
        <v>4.4999999999999998E-2</v>
      </c>
      <c r="I1390">
        <v>1.0000100000000001</v>
      </c>
      <c r="J1390" t="s">
        <v>10</v>
      </c>
      <c r="K1390">
        <v>25.632000000000001</v>
      </c>
      <c r="L1390">
        <v>2.1227999999999998</v>
      </c>
      <c r="M1390">
        <v>32.901000000000003</v>
      </c>
      <c r="N1390">
        <v>1.7903</v>
      </c>
      <c r="O1390" t="s">
        <v>2182</v>
      </c>
    </row>
    <row r="1391" spans="1:15" x14ac:dyDescent="0.25">
      <c r="A1391" t="s">
        <v>55</v>
      </c>
      <c r="B1391" t="s">
        <v>63</v>
      </c>
      <c r="C1391">
        <v>22</v>
      </c>
      <c r="D1391">
        <v>60.000999999999998</v>
      </c>
      <c r="E1391">
        <v>1</v>
      </c>
      <c r="F1391" t="s">
        <v>13</v>
      </c>
      <c r="G1391" t="s">
        <v>12</v>
      </c>
      <c r="H1391">
        <v>1</v>
      </c>
      <c r="I1391">
        <v>5.01</v>
      </c>
      <c r="J1391" t="s">
        <v>10</v>
      </c>
      <c r="K1391">
        <v>526.04999999999995</v>
      </c>
      <c r="L1391">
        <v>3.5184000000000002</v>
      </c>
      <c r="M1391">
        <v>526.04999999999995</v>
      </c>
      <c r="N1391">
        <v>3.5177999999999998</v>
      </c>
      <c r="O1391" t="s">
        <v>2187</v>
      </c>
    </row>
    <row r="1392" spans="1:15" x14ac:dyDescent="0.25">
      <c r="A1392" t="s">
        <v>55</v>
      </c>
      <c r="B1392" t="s">
        <v>63</v>
      </c>
      <c r="C1392">
        <v>22</v>
      </c>
      <c r="D1392">
        <v>60.000999999999998</v>
      </c>
      <c r="E1392">
        <v>1</v>
      </c>
      <c r="F1392" t="s">
        <v>13</v>
      </c>
      <c r="G1392" t="s">
        <v>12</v>
      </c>
      <c r="H1392">
        <v>0.01</v>
      </c>
      <c r="I1392">
        <v>4.5010000000000001E-2</v>
      </c>
      <c r="J1392" t="s">
        <v>10</v>
      </c>
      <c r="K1392">
        <v>569.88</v>
      </c>
      <c r="L1392">
        <v>0.59872000000000003</v>
      </c>
      <c r="M1392">
        <v>569.88</v>
      </c>
      <c r="N1392">
        <v>0.59787000000000001</v>
      </c>
      <c r="O1392" t="s">
        <v>2739</v>
      </c>
    </row>
    <row r="1393" spans="1:15" x14ac:dyDescent="0.25">
      <c r="A1393" t="s">
        <v>55</v>
      </c>
      <c r="B1393" t="s">
        <v>63</v>
      </c>
      <c r="C1393">
        <v>22</v>
      </c>
      <c r="D1393">
        <v>60.000999999999998</v>
      </c>
      <c r="E1393">
        <v>1</v>
      </c>
      <c r="F1393" t="s">
        <v>13</v>
      </c>
      <c r="G1393" t="s">
        <v>12</v>
      </c>
      <c r="H1393">
        <v>5</v>
      </c>
      <c r="I1393">
        <v>10</v>
      </c>
      <c r="J1393" t="s">
        <v>10</v>
      </c>
      <c r="K1393">
        <v>304.91000000000003</v>
      </c>
      <c r="L1393">
        <v>27.254999999999999</v>
      </c>
      <c r="M1393">
        <v>304.83999999999997</v>
      </c>
      <c r="N1393">
        <v>27.254999999999999</v>
      </c>
      <c r="O1393" t="s">
        <v>2188</v>
      </c>
    </row>
    <row r="1394" spans="1:15" x14ac:dyDescent="0.25">
      <c r="A1394" t="s">
        <v>55</v>
      </c>
      <c r="B1394" t="s">
        <v>63</v>
      </c>
      <c r="C1394">
        <v>22</v>
      </c>
      <c r="D1394">
        <v>60.000999999999998</v>
      </c>
      <c r="E1394">
        <v>1</v>
      </c>
      <c r="F1394" t="s">
        <v>13</v>
      </c>
      <c r="G1394" t="s">
        <v>12</v>
      </c>
      <c r="H1394">
        <v>10</v>
      </c>
      <c r="I1394">
        <v>10.01</v>
      </c>
      <c r="J1394" t="s">
        <v>10</v>
      </c>
      <c r="K1394">
        <v>304.91000000000003</v>
      </c>
      <c r="L1394">
        <v>27.254999999999999</v>
      </c>
      <c r="M1394">
        <v>304.83999999999997</v>
      </c>
      <c r="N1394">
        <v>27.254999999999999</v>
      </c>
      <c r="O1394" t="s">
        <v>2186</v>
      </c>
    </row>
    <row r="1395" spans="1:15" x14ac:dyDescent="0.25">
      <c r="A1395" t="s">
        <v>55</v>
      </c>
      <c r="B1395" t="s">
        <v>63</v>
      </c>
      <c r="C1395">
        <v>22</v>
      </c>
      <c r="D1395">
        <v>60.000999999999998</v>
      </c>
      <c r="E1395">
        <v>1</v>
      </c>
      <c r="F1395" t="s">
        <v>13</v>
      </c>
      <c r="G1395" t="s">
        <v>12</v>
      </c>
      <c r="H1395">
        <v>4.4999999999999998E-2</v>
      </c>
      <c r="I1395">
        <v>1.0000100000000001</v>
      </c>
      <c r="J1395" t="s">
        <v>10</v>
      </c>
      <c r="K1395">
        <v>574.48</v>
      </c>
      <c r="L1395">
        <v>0.32468000000000002</v>
      </c>
      <c r="M1395">
        <v>574.48</v>
      </c>
      <c r="N1395">
        <v>0.32379999999999998</v>
      </c>
      <c r="O1395" t="s">
        <v>2738</v>
      </c>
    </row>
    <row r="1396" spans="1:15" x14ac:dyDescent="0.25">
      <c r="A1396" t="s">
        <v>55</v>
      </c>
      <c r="B1396" t="s">
        <v>63</v>
      </c>
      <c r="C1396">
        <v>22</v>
      </c>
      <c r="D1396">
        <v>60.000999999999998</v>
      </c>
      <c r="E1396">
        <v>10</v>
      </c>
      <c r="F1396" t="s">
        <v>13</v>
      </c>
      <c r="G1396" t="s">
        <v>12</v>
      </c>
      <c r="H1396">
        <v>5</v>
      </c>
      <c r="I1396">
        <v>10</v>
      </c>
      <c r="J1396" t="s">
        <v>10</v>
      </c>
      <c r="K1396">
        <v>5698.4</v>
      </c>
      <c r="L1396">
        <v>6.4999000000000002</v>
      </c>
      <c r="M1396">
        <v>5698.4</v>
      </c>
      <c r="N1396">
        <v>6.4988999999999999</v>
      </c>
      <c r="O1396" t="s">
        <v>2741</v>
      </c>
    </row>
    <row r="1397" spans="1:15" x14ac:dyDescent="0.25">
      <c r="A1397" t="s">
        <v>55</v>
      </c>
      <c r="B1397" t="s">
        <v>63</v>
      </c>
      <c r="C1397">
        <v>22</v>
      </c>
      <c r="D1397">
        <v>60.000999999999998</v>
      </c>
      <c r="E1397">
        <v>10</v>
      </c>
      <c r="F1397" t="s">
        <v>13</v>
      </c>
      <c r="G1397" t="s">
        <v>12</v>
      </c>
      <c r="H1397">
        <v>0.01</v>
      </c>
      <c r="I1397">
        <v>4.5010000000000001E-2</v>
      </c>
      <c r="J1397" t="s">
        <v>10</v>
      </c>
      <c r="K1397">
        <v>5799</v>
      </c>
      <c r="L1397">
        <v>6.1619E-2</v>
      </c>
      <c r="M1397">
        <v>5799</v>
      </c>
      <c r="N1397">
        <v>6.1254999999999997E-2</v>
      </c>
      <c r="O1397" t="s">
        <v>2742</v>
      </c>
    </row>
    <row r="1398" spans="1:15" x14ac:dyDescent="0.25">
      <c r="A1398" t="s">
        <v>55</v>
      </c>
      <c r="B1398" t="s">
        <v>63</v>
      </c>
      <c r="C1398">
        <v>22</v>
      </c>
      <c r="D1398">
        <v>60.000999999999998</v>
      </c>
      <c r="E1398">
        <v>10</v>
      </c>
      <c r="F1398" t="s">
        <v>13</v>
      </c>
      <c r="G1398" t="s">
        <v>12</v>
      </c>
      <c r="H1398">
        <v>10</v>
      </c>
      <c r="I1398">
        <v>10.01</v>
      </c>
      <c r="J1398" t="s">
        <v>10</v>
      </c>
      <c r="K1398">
        <v>5698.4</v>
      </c>
      <c r="L1398">
        <v>6.4999000000000002</v>
      </c>
      <c r="M1398">
        <v>5698.4</v>
      </c>
      <c r="N1398">
        <v>6.4988999999999999</v>
      </c>
      <c r="O1398" t="s">
        <v>2189</v>
      </c>
    </row>
    <row r="1399" spans="1:15" x14ac:dyDescent="0.25">
      <c r="A1399" t="s">
        <v>55</v>
      </c>
      <c r="B1399" t="s">
        <v>63</v>
      </c>
      <c r="C1399">
        <v>22</v>
      </c>
      <c r="D1399">
        <v>60.000999999999998</v>
      </c>
      <c r="E1399">
        <v>10</v>
      </c>
      <c r="F1399" t="s">
        <v>13</v>
      </c>
      <c r="G1399" t="s">
        <v>12</v>
      </c>
      <c r="H1399">
        <v>4.4999999999999998E-2</v>
      </c>
      <c r="I1399">
        <v>1.0000100000000001</v>
      </c>
      <c r="J1399" t="s">
        <v>10</v>
      </c>
      <c r="K1399">
        <v>5799.4</v>
      </c>
      <c r="L1399">
        <v>3.3173000000000001E-2</v>
      </c>
      <c r="M1399">
        <v>5799.4</v>
      </c>
      <c r="N1399">
        <v>3.2808999999999998E-2</v>
      </c>
      <c r="O1399" t="s">
        <v>2740</v>
      </c>
    </row>
    <row r="1400" spans="1:15" x14ac:dyDescent="0.25">
      <c r="A1400" t="s">
        <v>55</v>
      </c>
      <c r="B1400" t="s">
        <v>63</v>
      </c>
      <c r="C1400">
        <v>22</v>
      </c>
      <c r="D1400">
        <v>60.000999999999998</v>
      </c>
      <c r="E1400">
        <v>10</v>
      </c>
      <c r="F1400" t="s">
        <v>13</v>
      </c>
      <c r="G1400" t="s">
        <v>12</v>
      </c>
      <c r="H1400">
        <v>1</v>
      </c>
      <c r="I1400">
        <v>5.01</v>
      </c>
      <c r="J1400" t="s">
        <v>10</v>
      </c>
      <c r="K1400">
        <v>5793.5</v>
      </c>
      <c r="L1400">
        <v>0.40619</v>
      </c>
      <c r="M1400">
        <v>5793.5</v>
      </c>
      <c r="N1400">
        <v>0.40583000000000002</v>
      </c>
      <c r="O1400" t="s">
        <v>2190</v>
      </c>
    </row>
    <row r="1401" spans="1:15" x14ac:dyDescent="0.25">
      <c r="A1401" t="s">
        <v>55</v>
      </c>
      <c r="B1401" t="s">
        <v>63</v>
      </c>
      <c r="C1401">
        <v>60</v>
      </c>
      <c r="D1401">
        <v>220.01</v>
      </c>
      <c r="E1401">
        <v>0.01</v>
      </c>
      <c r="F1401" t="s">
        <v>13</v>
      </c>
      <c r="G1401" t="s">
        <v>12</v>
      </c>
      <c r="H1401">
        <v>0.1</v>
      </c>
      <c r="I1401">
        <v>1.0000100000000001</v>
      </c>
      <c r="J1401" t="s">
        <v>10</v>
      </c>
      <c r="K1401">
        <v>30</v>
      </c>
      <c r="L1401">
        <v>2.2999999999999998</v>
      </c>
      <c r="M1401">
        <v>29.364000000000001</v>
      </c>
      <c r="N1401">
        <v>2.2879</v>
      </c>
      <c r="O1401" t="s">
        <v>2744</v>
      </c>
    </row>
    <row r="1402" spans="1:15" x14ac:dyDescent="0.25">
      <c r="A1402" t="s">
        <v>55</v>
      </c>
      <c r="B1402" t="s">
        <v>63</v>
      </c>
      <c r="C1402">
        <v>60</v>
      </c>
      <c r="D1402">
        <v>220.01</v>
      </c>
      <c r="E1402">
        <v>0.01</v>
      </c>
      <c r="F1402" t="s">
        <v>13</v>
      </c>
      <c r="G1402" t="s">
        <v>12</v>
      </c>
      <c r="H1402">
        <v>5</v>
      </c>
      <c r="I1402">
        <v>5.01</v>
      </c>
      <c r="J1402" t="s">
        <v>10</v>
      </c>
      <c r="K1402">
        <v>47</v>
      </c>
      <c r="L1402">
        <v>35</v>
      </c>
      <c r="M1402">
        <v>46.103000000000002</v>
      </c>
      <c r="N1402">
        <v>34.698999999999998</v>
      </c>
      <c r="O1402" t="s">
        <v>2192</v>
      </c>
    </row>
    <row r="1403" spans="1:15" x14ac:dyDescent="0.25">
      <c r="A1403" t="s">
        <v>55</v>
      </c>
      <c r="B1403" t="s">
        <v>63</v>
      </c>
      <c r="C1403">
        <v>60</v>
      </c>
      <c r="D1403">
        <v>220.01</v>
      </c>
      <c r="E1403">
        <v>0.01</v>
      </c>
      <c r="F1403" t="s">
        <v>13</v>
      </c>
      <c r="G1403" t="s">
        <v>12</v>
      </c>
      <c r="H1403">
        <v>1</v>
      </c>
      <c r="I1403">
        <v>5</v>
      </c>
      <c r="J1403" t="s">
        <v>10</v>
      </c>
      <c r="K1403">
        <v>47</v>
      </c>
      <c r="L1403">
        <v>35</v>
      </c>
      <c r="M1403">
        <v>46.103000000000002</v>
      </c>
      <c r="N1403">
        <v>34.698999999999998</v>
      </c>
      <c r="O1403" t="s">
        <v>2191</v>
      </c>
    </row>
    <row r="1404" spans="1:15" x14ac:dyDescent="0.25">
      <c r="A1404" t="s">
        <v>55</v>
      </c>
      <c r="B1404" t="s">
        <v>63</v>
      </c>
      <c r="C1404">
        <v>60</v>
      </c>
      <c r="D1404">
        <v>220.01</v>
      </c>
      <c r="E1404">
        <v>0.01</v>
      </c>
      <c r="F1404" t="s">
        <v>13</v>
      </c>
      <c r="G1404" t="s">
        <v>12</v>
      </c>
      <c r="H1404">
        <v>4.4999999999999998E-2</v>
      </c>
      <c r="I1404">
        <v>0.10001</v>
      </c>
      <c r="J1404" t="s">
        <v>10</v>
      </c>
      <c r="K1404">
        <v>24</v>
      </c>
      <c r="L1404">
        <v>2.1</v>
      </c>
      <c r="M1404">
        <v>23.533999999999999</v>
      </c>
      <c r="N1404">
        <v>2.0874999999999999</v>
      </c>
      <c r="O1404" t="s">
        <v>2743</v>
      </c>
    </row>
    <row r="1405" spans="1:15" x14ac:dyDescent="0.25">
      <c r="A1405" t="s">
        <v>55</v>
      </c>
      <c r="B1405" t="s">
        <v>63</v>
      </c>
      <c r="C1405">
        <v>60</v>
      </c>
      <c r="D1405">
        <v>220.01</v>
      </c>
      <c r="E1405">
        <v>0.1</v>
      </c>
      <c r="F1405" t="s">
        <v>13</v>
      </c>
      <c r="G1405" t="s">
        <v>12</v>
      </c>
      <c r="H1405">
        <v>1</v>
      </c>
      <c r="I1405">
        <v>5</v>
      </c>
      <c r="J1405" t="s">
        <v>10</v>
      </c>
      <c r="K1405">
        <v>47</v>
      </c>
      <c r="L1405">
        <v>35</v>
      </c>
      <c r="M1405">
        <v>47.146000000000001</v>
      </c>
      <c r="N1405">
        <v>34.695</v>
      </c>
      <c r="O1405" t="s">
        <v>2745</v>
      </c>
    </row>
    <row r="1406" spans="1:15" x14ac:dyDescent="0.25">
      <c r="A1406" t="s">
        <v>55</v>
      </c>
      <c r="B1406" t="s">
        <v>63</v>
      </c>
      <c r="C1406">
        <v>60</v>
      </c>
      <c r="D1406">
        <v>220.01</v>
      </c>
      <c r="E1406">
        <v>0.1</v>
      </c>
      <c r="F1406" t="s">
        <v>13</v>
      </c>
      <c r="G1406" t="s">
        <v>12</v>
      </c>
      <c r="H1406">
        <v>4.4999999999999998E-2</v>
      </c>
      <c r="I1406">
        <v>0.10001</v>
      </c>
      <c r="J1406" t="s">
        <v>10</v>
      </c>
      <c r="K1406">
        <v>37.146000000000001</v>
      </c>
      <c r="L1406">
        <v>2.0415000000000001</v>
      </c>
      <c r="M1406">
        <v>37.093000000000004</v>
      </c>
      <c r="N1406">
        <v>2.0415000000000001</v>
      </c>
      <c r="O1406" t="s">
        <v>2746</v>
      </c>
    </row>
    <row r="1407" spans="1:15" x14ac:dyDescent="0.25">
      <c r="A1407" t="s">
        <v>55</v>
      </c>
      <c r="B1407" t="s">
        <v>63</v>
      </c>
      <c r="C1407">
        <v>60</v>
      </c>
      <c r="D1407">
        <v>220.01</v>
      </c>
      <c r="E1407">
        <v>0.1</v>
      </c>
      <c r="F1407" t="s">
        <v>13</v>
      </c>
      <c r="G1407" t="s">
        <v>12</v>
      </c>
      <c r="H1407">
        <v>0.1</v>
      </c>
      <c r="I1407">
        <v>1.0000100000000001</v>
      </c>
      <c r="J1407" t="s">
        <v>10</v>
      </c>
      <c r="K1407">
        <v>41.543999999999997</v>
      </c>
      <c r="L1407">
        <v>2.2475000000000001</v>
      </c>
      <c r="M1407">
        <v>41.546999999999997</v>
      </c>
      <c r="N1407">
        <v>2.2467000000000001</v>
      </c>
      <c r="O1407" t="s">
        <v>2193</v>
      </c>
    </row>
    <row r="1408" spans="1:15" x14ac:dyDescent="0.25">
      <c r="A1408" t="s">
        <v>55</v>
      </c>
      <c r="B1408" t="s">
        <v>63</v>
      </c>
      <c r="C1408">
        <v>60</v>
      </c>
      <c r="D1408">
        <v>220.01</v>
      </c>
      <c r="E1408">
        <v>0.1</v>
      </c>
      <c r="F1408" t="s">
        <v>13</v>
      </c>
      <c r="G1408" t="s">
        <v>12</v>
      </c>
      <c r="H1408">
        <v>5</v>
      </c>
      <c r="I1408">
        <v>5.01</v>
      </c>
      <c r="J1408" t="s">
        <v>10</v>
      </c>
      <c r="K1408">
        <v>47</v>
      </c>
      <c r="L1408">
        <v>35</v>
      </c>
      <c r="M1408">
        <v>47.146000000000001</v>
      </c>
      <c r="N1408">
        <v>34.695</v>
      </c>
      <c r="O1408" t="s">
        <v>2747</v>
      </c>
    </row>
    <row r="1409" spans="1:15" x14ac:dyDescent="0.25">
      <c r="A1409" t="s">
        <v>55</v>
      </c>
      <c r="B1409" t="s">
        <v>63</v>
      </c>
      <c r="C1409">
        <v>60</v>
      </c>
      <c r="D1409">
        <v>220.01</v>
      </c>
      <c r="E1409">
        <v>1</v>
      </c>
      <c r="F1409" t="s">
        <v>13</v>
      </c>
      <c r="G1409" t="s">
        <v>12</v>
      </c>
      <c r="H1409">
        <v>5</v>
      </c>
      <c r="I1409">
        <v>5.01</v>
      </c>
      <c r="J1409" t="s">
        <v>10</v>
      </c>
      <c r="K1409">
        <v>127.73</v>
      </c>
      <c r="L1409">
        <v>34.633000000000003</v>
      </c>
      <c r="M1409">
        <v>144.69999999999999</v>
      </c>
      <c r="N1409">
        <v>34.35</v>
      </c>
      <c r="O1409" t="s">
        <v>2194</v>
      </c>
    </row>
    <row r="1410" spans="1:15" x14ac:dyDescent="0.25">
      <c r="A1410" t="s">
        <v>55</v>
      </c>
      <c r="B1410" t="s">
        <v>63</v>
      </c>
      <c r="C1410">
        <v>60</v>
      </c>
      <c r="D1410">
        <v>220.01</v>
      </c>
      <c r="E1410">
        <v>1</v>
      </c>
      <c r="F1410" t="s">
        <v>13</v>
      </c>
      <c r="G1410" t="s">
        <v>12</v>
      </c>
      <c r="H1410">
        <v>1</v>
      </c>
      <c r="I1410">
        <v>5</v>
      </c>
      <c r="J1410" t="s">
        <v>10</v>
      </c>
      <c r="K1410">
        <v>127.73</v>
      </c>
      <c r="L1410">
        <v>34.633000000000003</v>
      </c>
      <c r="M1410">
        <v>144.69999999999999</v>
      </c>
      <c r="N1410">
        <v>34.35</v>
      </c>
      <c r="O1410" t="s">
        <v>2748</v>
      </c>
    </row>
    <row r="1411" spans="1:15" x14ac:dyDescent="0.25">
      <c r="A1411" t="s">
        <v>55</v>
      </c>
      <c r="B1411" t="s">
        <v>63</v>
      </c>
      <c r="C1411">
        <v>60</v>
      </c>
      <c r="D1411">
        <v>220.01</v>
      </c>
      <c r="E1411">
        <v>1</v>
      </c>
      <c r="F1411" t="s">
        <v>13</v>
      </c>
      <c r="G1411" t="s">
        <v>12</v>
      </c>
      <c r="H1411">
        <v>4.4999999999999998E-2</v>
      </c>
      <c r="I1411">
        <v>0.10001</v>
      </c>
      <c r="J1411" t="s">
        <v>10</v>
      </c>
      <c r="K1411">
        <v>540.32000000000005</v>
      </c>
      <c r="L1411">
        <v>0.97470999999999997</v>
      </c>
      <c r="M1411">
        <v>540.29999999999995</v>
      </c>
      <c r="N1411">
        <v>0.97416999999999998</v>
      </c>
      <c r="O1411" t="s">
        <v>2195</v>
      </c>
    </row>
    <row r="1412" spans="1:15" x14ac:dyDescent="0.25">
      <c r="A1412" t="s">
        <v>55</v>
      </c>
      <c r="B1412" t="s">
        <v>63</v>
      </c>
      <c r="C1412">
        <v>60</v>
      </c>
      <c r="D1412">
        <v>220.01</v>
      </c>
      <c r="E1412">
        <v>1</v>
      </c>
      <c r="F1412" t="s">
        <v>13</v>
      </c>
      <c r="G1412" t="s">
        <v>12</v>
      </c>
      <c r="H1412">
        <v>0.1</v>
      </c>
      <c r="I1412">
        <v>1.0000100000000001</v>
      </c>
      <c r="J1412" t="s">
        <v>10</v>
      </c>
      <c r="K1412">
        <v>534.45000000000005</v>
      </c>
      <c r="L1412">
        <v>1.1508</v>
      </c>
      <c r="M1412">
        <v>534.41999999999996</v>
      </c>
      <c r="N1412">
        <v>1.1503000000000001</v>
      </c>
      <c r="O1412" t="s">
        <v>2196</v>
      </c>
    </row>
    <row r="1413" spans="1:15" x14ac:dyDescent="0.25">
      <c r="A1413" t="s">
        <v>55</v>
      </c>
      <c r="B1413" t="s">
        <v>63</v>
      </c>
      <c r="C1413">
        <v>60</v>
      </c>
      <c r="D1413">
        <v>220.01</v>
      </c>
      <c r="E1413">
        <v>10</v>
      </c>
      <c r="F1413" t="s">
        <v>13</v>
      </c>
      <c r="G1413" t="s">
        <v>12</v>
      </c>
      <c r="H1413">
        <v>1</v>
      </c>
      <c r="I1413">
        <v>5</v>
      </c>
      <c r="J1413" t="s">
        <v>10</v>
      </c>
      <c r="K1413">
        <v>4885.8999999999996</v>
      </c>
      <c r="L1413">
        <v>21.536999999999999</v>
      </c>
      <c r="M1413">
        <v>4885.8999999999996</v>
      </c>
      <c r="N1413">
        <v>21.536999999999999</v>
      </c>
      <c r="O1413" t="s">
        <v>2199</v>
      </c>
    </row>
    <row r="1414" spans="1:15" x14ac:dyDescent="0.25">
      <c r="A1414" t="s">
        <v>55</v>
      </c>
      <c r="B1414" t="s">
        <v>63</v>
      </c>
      <c r="C1414">
        <v>60</v>
      </c>
      <c r="D1414">
        <v>220.01</v>
      </c>
      <c r="E1414">
        <v>10</v>
      </c>
      <c r="F1414" t="s">
        <v>13</v>
      </c>
      <c r="G1414" t="s">
        <v>12</v>
      </c>
      <c r="H1414">
        <v>4.4999999999999998E-2</v>
      </c>
      <c r="I1414">
        <v>0.10001</v>
      </c>
      <c r="J1414" t="s">
        <v>10</v>
      </c>
      <c r="K1414">
        <v>5795.1</v>
      </c>
      <c r="L1414">
        <v>0.11376</v>
      </c>
      <c r="M1414">
        <v>5795.1</v>
      </c>
      <c r="N1414">
        <v>0.11344</v>
      </c>
      <c r="O1414" t="s">
        <v>2200</v>
      </c>
    </row>
    <row r="1415" spans="1:15" x14ac:dyDescent="0.25">
      <c r="A1415" t="s">
        <v>55</v>
      </c>
      <c r="B1415" t="s">
        <v>63</v>
      </c>
      <c r="C1415">
        <v>60</v>
      </c>
      <c r="D1415">
        <v>220.01</v>
      </c>
      <c r="E1415">
        <v>10</v>
      </c>
      <c r="F1415" t="s">
        <v>13</v>
      </c>
      <c r="G1415" t="s">
        <v>12</v>
      </c>
      <c r="H1415">
        <v>5</v>
      </c>
      <c r="I1415">
        <v>5.01</v>
      </c>
      <c r="J1415" t="s">
        <v>10</v>
      </c>
      <c r="K1415">
        <v>4885.8999999999996</v>
      </c>
      <c r="L1415">
        <v>21.536999999999999</v>
      </c>
      <c r="M1415">
        <v>4885.8999999999996</v>
      </c>
      <c r="N1415">
        <v>21.536999999999999</v>
      </c>
      <c r="O1415" t="s">
        <v>2197</v>
      </c>
    </row>
    <row r="1416" spans="1:15" x14ac:dyDescent="0.25">
      <c r="A1416" t="s">
        <v>55</v>
      </c>
      <c r="B1416" t="s">
        <v>63</v>
      </c>
      <c r="C1416">
        <v>60</v>
      </c>
      <c r="D1416">
        <v>220.01</v>
      </c>
      <c r="E1416">
        <v>10</v>
      </c>
      <c r="F1416" t="s">
        <v>13</v>
      </c>
      <c r="G1416" t="s">
        <v>12</v>
      </c>
      <c r="H1416">
        <v>0.1</v>
      </c>
      <c r="I1416">
        <v>1.0000100000000001</v>
      </c>
      <c r="J1416" t="s">
        <v>10</v>
      </c>
      <c r="K1416">
        <v>5794.1</v>
      </c>
      <c r="L1416">
        <v>0.13793</v>
      </c>
      <c r="M1416">
        <v>5794.1</v>
      </c>
      <c r="N1416">
        <v>0.13761000000000001</v>
      </c>
      <c r="O1416" t="s">
        <v>2198</v>
      </c>
    </row>
    <row r="1417" spans="1:15" x14ac:dyDescent="0.25">
      <c r="A1417" t="s">
        <v>55</v>
      </c>
      <c r="B1417" t="s">
        <v>63</v>
      </c>
      <c r="C1417">
        <v>60</v>
      </c>
      <c r="D1417">
        <v>220.01</v>
      </c>
      <c r="E1417">
        <v>100</v>
      </c>
      <c r="F1417" t="s">
        <v>13</v>
      </c>
      <c r="G1417" t="s">
        <v>12</v>
      </c>
      <c r="H1417">
        <v>0.1</v>
      </c>
      <c r="I1417">
        <v>1.0000100000000001</v>
      </c>
      <c r="J1417" t="s">
        <v>10</v>
      </c>
      <c r="K1417">
        <v>58000</v>
      </c>
      <c r="L1417">
        <v>1.392E-2</v>
      </c>
      <c r="M1417">
        <v>58000</v>
      </c>
      <c r="N1417">
        <v>1.3793E-2</v>
      </c>
      <c r="O1417" t="s">
        <v>2203</v>
      </c>
    </row>
    <row r="1418" spans="1:15" x14ac:dyDescent="0.25">
      <c r="A1418" t="s">
        <v>55</v>
      </c>
      <c r="B1418" t="s">
        <v>63</v>
      </c>
      <c r="C1418">
        <v>60</v>
      </c>
      <c r="D1418">
        <v>220.01</v>
      </c>
      <c r="E1418">
        <v>100</v>
      </c>
      <c r="F1418" t="s">
        <v>13</v>
      </c>
      <c r="G1418" t="s">
        <v>12</v>
      </c>
      <c r="H1418">
        <v>1</v>
      </c>
      <c r="I1418">
        <v>5</v>
      </c>
      <c r="J1418" t="s">
        <v>10</v>
      </c>
      <c r="K1418">
        <v>57864</v>
      </c>
      <c r="L1418">
        <v>2.9205000000000001</v>
      </c>
      <c r="M1418">
        <v>57864</v>
      </c>
      <c r="N1418">
        <v>2.9201000000000001</v>
      </c>
      <c r="O1418" t="s">
        <v>2201</v>
      </c>
    </row>
    <row r="1419" spans="1:15" x14ac:dyDescent="0.25">
      <c r="A1419" t="s">
        <v>55</v>
      </c>
      <c r="B1419" t="s">
        <v>63</v>
      </c>
      <c r="C1419">
        <v>60</v>
      </c>
      <c r="D1419">
        <v>220.01</v>
      </c>
      <c r="E1419">
        <v>100</v>
      </c>
      <c r="F1419" t="s">
        <v>13</v>
      </c>
      <c r="G1419" t="s">
        <v>12</v>
      </c>
      <c r="H1419">
        <v>4.4999999999999998E-2</v>
      </c>
      <c r="I1419">
        <v>0.10001</v>
      </c>
      <c r="J1419" t="s">
        <v>10</v>
      </c>
      <c r="K1419">
        <v>58000</v>
      </c>
      <c r="L1419">
        <v>1.1493E-2</v>
      </c>
      <c r="M1419">
        <v>58000</v>
      </c>
      <c r="N1419">
        <v>1.1365E-2</v>
      </c>
      <c r="O1419" t="s">
        <v>2204</v>
      </c>
    </row>
    <row r="1420" spans="1:15" x14ac:dyDescent="0.25">
      <c r="A1420" t="s">
        <v>55</v>
      </c>
      <c r="B1420" t="s">
        <v>63</v>
      </c>
      <c r="C1420">
        <v>60</v>
      </c>
      <c r="D1420">
        <v>220.01</v>
      </c>
      <c r="E1420">
        <v>100</v>
      </c>
      <c r="F1420" t="s">
        <v>13</v>
      </c>
      <c r="G1420" t="s">
        <v>12</v>
      </c>
      <c r="H1420">
        <v>5</v>
      </c>
      <c r="I1420">
        <v>5.01</v>
      </c>
      <c r="J1420" t="s">
        <v>10</v>
      </c>
      <c r="K1420">
        <v>57864</v>
      </c>
      <c r="L1420">
        <v>2.9205000000000001</v>
      </c>
      <c r="M1420">
        <v>57864</v>
      </c>
      <c r="N1420">
        <v>2.9201000000000001</v>
      </c>
      <c r="O1420" t="s">
        <v>2202</v>
      </c>
    </row>
    <row r="1421" spans="1:15" x14ac:dyDescent="0.25">
      <c r="A1421" t="s">
        <v>55</v>
      </c>
      <c r="B1421" t="s">
        <v>63</v>
      </c>
      <c r="C1421">
        <v>220</v>
      </c>
      <c r="D1421">
        <v>410.01</v>
      </c>
      <c r="E1421">
        <v>0.01</v>
      </c>
      <c r="F1421" t="s">
        <v>13</v>
      </c>
      <c r="G1421" t="s">
        <v>12</v>
      </c>
      <c r="H1421">
        <v>4.4999999999999998E-2</v>
      </c>
      <c r="I1421">
        <v>0.10001</v>
      </c>
      <c r="J1421" t="s">
        <v>10</v>
      </c>
      <c r="K1421">
        <v>84</v>
      </c>
      <c r="L1421">
        <v>2.4</v>
      </c>
      <c r="M1421">
        <v>76.977999999999994</v>
      </c>
      <c r="N1421">
        <v>2.4161000000000001</v>
      </c>
      <c r="O1421" t="s">
        <v>2206</v>
      </c>
    </row>
    <row r="1422" spans="1:15" x14ac:dyDescent="0.25">
      <c r="A1422" t="s">
        <v>55</v>
      </c>
      <c r="B1422" t="s">
        <v>63</v>
      </c>
      <c r="C1422">
        <v>220</v>
      </c>
      <c r="D1422">
        <v>410.01</v>
      </c>
      <c r="E1422">
        <v>0.01</v>
      </c>
      <c r="F1422" t="s">
        <v>13</v>
      </c>
      <c r="G1422" t="s">
        <v>12</v>
      </c>
      <c r="H1422">
        <v>5</v>
      </c>
      <c r="I1422">
        <v>5.01</v>
      </c>
      <c r="J1422" t="s">
        <v>10</v>
      </c>
      <c r="K1422">
        <v>120</v>
      </c>
      <c r="L1422">
        <v>35</v>
      </c>
      <c r="M1422">
        <v>115.22</v>
      </c>
      <c r="N1422">
        <v>34.698999999999998</v>
      </c>
      <c r="O1422" t="s">
        <v>2208</v>
      </c>
    </row>
    <row r="1423" spans="1:15" x14ac:dyDescent="0.25">
      <c r="A1423" t="s">
        <v>55</v>
      </c>
      <c r="B1423" t="s">
        <v>63</v>
      </c>
      <c r="C1423">
        <v>220</v>
      </c>
      <c r="D1423">
        <v>410.01</v>
      </c>
      <c r="E1423">
        <v>0.01</v>
      </c>
      <c r="F1423" t="s">
        <v>13</v>
      </c>
      <c r="G1423" t="s">
        <v>12</v>
      </c>
      <c r="H1423">
        <v>0.1</v>
      </c>
      <c r="I1423">
        <v>1.0000100000000001</v>
      </c>
      <c r="J1423" t="s">
        <v>10</v>
      </c>
      <c r="K1423">
        <v>98</v>
      </c>
      <c r="L1423">
        <v>2.6</v>
      </c>
      <c r="M1423">
        <v>84.28</v>
      </c>
      <c r="N1423">
        <v>2.6326000000000001</v>
      </c>
      <c r="O1423" t="s">
        <v>2207</v>
      </c>
    </row>
    <row r="1424" spans="1:15" x14ac:dyDescent="0.25">
      <c r="A1424" t="s">
        <v>55</v>
      </c>
      <c r="B1424" t="s">
        <v>63</v>
      </c>
      <c r="C1424">
        <v>220</v>
      </c>
      <c r="D1424">
        <v>410.01</v>
      </c>
      <c r="E1424">
        <v>0.01</v>
      </c>
      <c r="F1424" t="s">
        <v>13</v>
      </c>
      <c r="G1424" t="s">
        <v>12</v>
      </c>
      <c r="H1424">
        <v>1</v>
      </c>
      <c r="I1424">
        <v>5</v>
      </c>
      <c r="J1424" t="s">
        <v>10</v>
      </c>
      <c r="K1424">
        <v>120</v>
      </c>
      <c r="L1424">
        <v>35</v>
      </c>
      <c r="M1424">
        <v>115.22</v>
      </c>
      <c r="N1424">
        <v>34.698999999999998</v>
      </c>
      <c r="O1424" t="s">
        <v>2205</v>
      </c>
    </row>
    <row r="1425" spans="1:15" x14ac:dyDescent="0.25">
      <c r="A1425" t="s">
        <v>55</v>
      </c>
      <c r="B1425" t="s">
        <v>63</v>
      </c>
      <c r="C1425">
        <v>220</v>
      </c>
      <c r="D1425">
        <v>410.01</v>
      </c>
      <c r="E1425">
        <v>0.1</v>
      </c>
      <c r="F1425" t="s">
        <v>13</v>
      </c>
      <c r="G1425" t="s">
        <v>12</v>
      </c>
      <c r="H1425">
        <v>1</v>
      </c>
      <c r="I1425">
        <v>5</v>
      </c>
      <c r="J1425" t="s">
        <v>10</v>
      </c>
      <c r="K1425">
        <v>120</v>
      </c>
      <c r="L1425">
        <v>35</v>
      </c>
      <c r="M1425">
        <v>115.69</v>
      </c>
      <c r="N1425">
        <v>34.698</v>
      </c>
      <c r="O1425" t="s">
        <v>2209</v>
      </c>
    </row>
    <row r="1426" spans="1:15" x14ac:dyDescent="0.25">
      <c r="A1426" t="s">
        <v>55</v>
      </c>
      <c r="B1426" t="s">
        <v>63</v>
      </c>
      <c r="C1426">
        <v>220</v>
      </c>
      <c r="D1426">
        <v>410.01</v>
      </c>
      <c r="E1426">
        <v>0.1</v>
      </c>
      <c r="F1426" t="s">
        <v>13</v>
      </c>
      <c r="G1426" t="s">
        <v>12</v>
      </c>
      <c r="H1426">
        <v>5</v>
      </c>
      <c r="I1426">
        <v>5.01</v>
      </c>
      <c r="J1426" t="s">
        <v>10</v>
      </c>
      <c r="K1426">
        <v>120</v>
      </c>
      <c r="L1426">
        <v>35</v>
      </c>
      <c r="M1426">
        <v>115.69</v>
      </c>
      <c r="N1426">
        <v>34.698</v>
      </c>
      <c r="O1426" t="s">
        <v>2212</v>
      </c>
    </row>
    <row r="1427" spans="1:15" x14ac:dyDescent="0.25">
      <c r="A1427" t="s">
        <v>55</v>
      </c>
      <c r="B1427" t="s">
        <v>63</v>
      </c>
      <c r="C1427">
        <v>220</v>
      </c>
      <c r="D1427">
        <v>410.01</v>
      </c>
      <c r="E1427">
        <v>0.1</v>
      </c>
      <c r="F1427" t="s">
        <v>13</v>
      </c>
      <c r="G1427" t="s">
        <v>12</v>
      </c>
      <c r="H1427">
        <v>4.4999999999999998E-2</v>
      </c>
      <c r="I1427">
        <v>0.10001</v>
      </c>
      <c r="J1427" t="s">
        <v>10</v>
      </c>
      <c r="K1427">
        <v>84</v>
      </c>
      <c r="L1427">
        <v>2.4068999999999998</v>
      </c>
      <c r="M1427">
        <v>81.076999999999998</v>
      </c>
      <c r="N1427">
        <v>2.4098999999999999</v>
      </c>
      <c r="O1427" t="s">
        <v>2211</v>
      </c>
    </row>
    <row r="1428" spans="1:15" x14ac:dyDescent="0.25">
      <c r="A1428" t="s">
        <v>55</v>
      </c>
      <c r="B1428" t="s">
        <v>63</v>
      </c>
      <c r="C1428">
        <v>220</v>
      </c>
      <c r="D1428">
        <v>410.01</v>
      </c>
      <c r="E1428">
        <v>0.1</v>
      </c>
      <c r="F1428" t="s">
        <v>13</v>
      </c>
      <c r="G1428" t="s">
        <v>12</v>
      </c>
      <c r="H1428">
        <v>0.1</v>
      </c>
      <c r="I1428">
        <v>1.0000100000000001</v>
      </c>
      <c r="J1428" t="s">
        <v>10</v>
      </c>
      <c r="K1428">
        <v>98</v>
      </c>
      <c r="L1428">
        <v>2.6065</v>
      </c>
      <c r="M1428">
        <v>88.046000000000006</v>
      </c>
      <c r="N1428">
        <v>2.6269</v>
      </c>
      <c r="O1428" t="s">
        <v>2210</v>
      </c>
    </row>
    <row r="1429" spans="1:15" x14ac:dyDescent="0.25">
      <c r="A1429" t="s">
        <v>55</v>
      </c>
      <c r="B1429" t="s">
        <v>63</v>
      </c>
      <c r="C1429">
        <v>220</v>
      </c>
      <c r="D1429">
        <v>410.01</v>
      </c>
      <c r="E1429">
        <v>1</v>
      </c>
      <c r="F1429" t="s">
        <v>13</v>
      </c>
      <c r="G1429" t="s">
        <v>12</v>
      </c>
      <c r="H1429">
        <v>5</v>
      </c>
      <c r="I1429">
        <v>5.01</v>
      </c>
      <c r="J1429" t="s">
        <v>10</v>
      </c>
      <c r="K1429">
        <v>120</v>
      </c>
      <c r="L1429">
        <v>35</v>
      </c>
      <c r="M1429">
        <v>148.62</v>
      </c>
      <c r="N1429">
        <v>34.646000000000001</v>
      </c>
      <c r="O1429" t="s">
        <v>2213</v>
      </c>
    </row>
    <row r="1430" spans="1:15" x14ac:dyDescent="0.25">
      <c r="A1430" t="s">
        <v>55</v>
      </c>
      <c r="B1430" t="s">
        <v>63</v>
      </c>
      <c r="C1430">
        <v>220</v>
      </c>
      <c r="D1430">
        <v>410.01</v>
      </c>
      <c r="E1430">
        <v>1</v>
      </c>
      <c r="F1430" t="s">
        <v>13</v>
      </c>
      <c r="G1430" t="s">
        <v>12</v>
      </c>
      <c r="H1430">
        <v>0.1</v>
      </c>
      <c r="I1430">
        <v>1.0000100000000001</v>
      </c>
      <c r="J1430" t="s">
        <v>10</v>
      </c>
      <c r="K1430">
        <v>396.27</v>
      </c>
      <c r="L1430">
        <v>2.2061000000000002</v>
      </c>
      <c r="M1430">
        <v>396.12</v>
      </c>
      <c r="N1430">
        <v>2.2050000000000001</v>
      </c>
      <c r="O1430" t="s">
        <v>2215</v>
      </c>
    </row>
    <row r="1431" spans="1:15" x14ac:dyDescent="0.25">
      <c r="A1431" t="s">
        <v>55</v>
      </c>
      <c r="B1431" t="s">
        <v>63</v>
      </c>
      <c r="C1431">
        <v>220</v>
      </c>
      <c r="D1431">
        <v>410.01</v>
      </c>
      <c r="E1431">
        <v>1</v>
      </c>
      <c r="F1431" t="s">
        <v>13</v>
      </c>
      <c r="G1431" t="s">
        <v>12</v>
      </c>
      <c r="H1431">
        <v>1</v>
      </c>
      <c r="I1431">
        <v>5</v>
      </c>
      <c r="J1431" t="s">
        <v>10</v>
      </c>
      <c r="K1431">
        <v>120</v>
      </c>
      <c r="L1431">
        <v>35</v>
      </c>
      <c r="M1431">
        <v>148.62</v>
      </c>
      <c r="N1431">
        <v>34.646000000000001</v>
      </c>
      <c r="O1431" t="s">
        <v>2216</v>
      </c>
    </row>
    <row r="1432" spans="1:15" x14ac:dyDescent="0.25">
      <c r="A1432" t="s">
        <v>55</v>
      </c>
      <c r="B1432" t="s">
        <v>63</v>
      </c>
      <c r="C1432">
        <v>220</v>
      </c>
      <c r="D1432">
        <v>410.01</v>
      </c>
      <c r="E1432">
        <v>1</v>
      </c>
      <c r="F1432" t="s">
        <v>13</v>
      </c>
      <c r="G1432" t="s">
        <v>12</v>
      </c>
      <c r="H1432">
        <v>4.4999999999999998E-2</v>
      </c>
      <c r="I1432">
        <v>0.10001</v>
      </c>
      <c r="J1432" t="s">
        <v>10</v>
      </c>
      <c r="K1432">
        <v>407.38</v>
      </c>
      <c r="L1432">
        <v>1.9712000000000001</v>
      </c>
      <c r="M1432">
        <v>407.21</v>
      </c>
      <c r="N1432">
        <v>1.9701</v>
      </c>
      <c r="O1432" t="s">
        <v>2214</v>
      </c>
    </row>
    <row r="1433" spans="1:15" x14ac:dyDescent="0.25">
      <c r="A1433" t="s">
        <v>55</v>
      </c>
      <c r="B1433" t="s">
        <v>63</v>
      </c>
      <c r="C1433">
        <v>220</v>
      </c>
      <c r="D1433">
        <v>410.01</v>
      </c>
      <c r="E1433">
        <v>10</v>
      </c>
      <c r="F1433" t="s">
        <v>13</v>
      </c>
      <c r="G1433" t="s">
        <v>12</v>
      </c>
      <c r="H1433">
        <v>1</v>
      </c>
      <c r="I1433">
        <v>5</v>
      </c>
      <c r="J1433" t="s">
        <v>10</v>
      </c>
      <c r="K1433">
        <v>2974.4</v>
      </c>
      <c r="L1433">
        <v>30.478999999999999</v>
      </c>
      <c r="M1433">
        <v>2973.8</v>
      </c>
      <c r="N1433">
        <v>30.478999999999999</v>
      </c>
      <c r="O1433" t="s">
        <v>2218</v>
      </c>
    </row>
    <row r="1434" spans="1:15" x14ac:dyDescent="0.25">
      <c r="A1434" t="s">
        <v>55</v>
      </c>
      <c r="B1434" t="s">
        <v>63</v>
      </c>
      <c r="C1434">
        <v>220</v>
      </c>
      <c r="D1434">
        <v>410.01</v>
      </c>
      <c r="E1434">
        <v>10</v>
      </c>
      <c r="F1434" t="s">
        <v>13</v>
      </c>
      <c r="G1434" t="s">
        <v>12</v>
      </c>
      <c r="H1434">
        <v>4.4999999999999998E-2</v>
      </c>
      <c r="I1434">
        <v>0.10001</v>
      </c>
      <c r="J1434" t="s">
        <v>10</v>
      </c>
      <c r="K1434">
        <v>5755.8</v>
      </c>
      <c r="L1434">
        <v>0.34672999999999998</v>
      </c>
      <c r="M1434">
        <v>5755.9</v>
      </c>
      <c r="N1434">
        <v>0.34526000000000001</v>
      </c>
      <c r="O1434" t="s">
        <v>2749</v>
      </c>
    </row>
    <row r="1435" spans="1:15" x14ac:dyDescent="0.25">
      <c r="A1435" t="s">
        <v>55</v>
      </c>
      <c r="B1435" t="s">
        <v>63</v>
      </c>
      <c r="C1435">
        <v>220</v>
      </c>
      <c r="D1435">
        <v>410.01</v>
      </c>
      <c r="E1435">
        <v>10</v>
      </c>
      <c r="F1435" t="s">
        <v>13</v>
      </c>
      <c r="G1435" t="s">
        <v>12</v>
      </c>
      <c r="H1435">
        <v>0.1</v>
      </c>
      <c r="I1435">
        <v>1.0000100000000001</v>
      </c>
      <c r="J1435" t="s">
        <v>10</v>
      </c>
      <c r="K1435">
        <v>5747.7</v>
      </c>
      <c r="L1435">
        <v>0.41071000000000002</v>
      </c>
      <c r="M1435">
        <v>5747.8</v>
      </c>
      <c r="N1435">
        <v>0.40925</v>
      </c>
      <c r="O1435" t="s">
        <v>2217</v>
      </c>
    </row>
    <row r="1436" spans="1:15" x14ac:dyDescent="0.25">
      <c r="A1436" t="s">
        <v>55</v>
      </c>
      <c r="B1436" t="s">
        <v>63</v>
      </c>
      <c r="C1436">
        <v>220</v>
      </c>
      <c r="D1436">
        <v>410.01</v>
      </c>
      <c r="E1436">
        <v>10</v>
      </c>
      <c r="F1436" t="s">
        <v>13</v>
      </c>
      <c r="G1436" t="s">
        <v>12</v>
      </c>
      <c r="H1436">
        <v>5</v>
      </c>
      <c r="I1436">
        <v>5.01</v>
      </c>
      <c r="J1436" t="s">
        <v>10</v>
      </c>
      <c r="K1436">
        <v>2974.4</v>
      </c>
      <c r="L1436">
        <v>30.478999999999999</v>
      </c>
      <c r="M1436">
        <v>2973.8</v>
      </c>
      <c r="N1436">
        <v>30.478999999999999</v>
      </c>
      <c r="O1436" t="s">
        <v>2219</v>
      </c>
    </row>
    <row r="1437" spans="1:15" x14ac:dyDescent="0.25">
      <c r="A1437" t="s">
        <v>55</v>
      </c>
      <c r="B1437" t="s">
        <v>63</v>
      </c>
      <c r="C1437">
        <v>220</v>
      </c>
      <c r="D1437">
        <v>410.01</v>
      </c>
      <c r="E1437">
        <v>100</v>
      </c>
      <c r="F1437" t="s">
        <v>13</v>
      </c>
      <c r="G1437" t="s">
        <v>12</v>
      </c>
      <c r="H1437">
        <v>0.1</v>
      </c>
      <c r="I1437">
        <v>1.0000100000000001</v>
      </c>
      <c r="J1437" t="s">
        <v>10</v>
      </c>
      <c r="K1437">
        <v>57995</v>
      </c>
      <c r="L1437">
        <v>4.2063000000000003E-2</v>
      </c>
      <c r="M1437">
        <v>57995</v>
      </c>
      <c r="N1437">
        <v>4.1459999999999997E-2</v>
      </c>
      <c r="O1437" t="s">
        <v>2220</v>
      </c>
    </row>
    <row r="1438" spans="1:15" x14ac:dyDescent="0.25">
      <c r="A1438" t="s">
        <v>55</v>
      </c>
      <c r="B1438" t="s">
        <v>63</v>
      </c>
      <c r="C1438">
        <v>220</v>
      </c>
      <c r="D1438">
        <v>410.01</v>
      </c>
      <c r="E1438">
        <v>100</v>
      </c>
      <c r="F1438" t="s">
        <v>13</v>
      </c>
      <c r="G1438" t="s">
        <v>12</v>
      </c>
      <c r="H1438">
        <v>4.4999999999999998E-2</v>
      </c>
      <c r="I1438">
        <v>0.10001</v>
      </c>
      <c r="J1438" t="s">
        <v>10</v>
      </c>
      <c r="K1438">
        <v>57996</v>
      </c>
      <c r="L1438">
        <v>3.551E-2</v>
      </c>
      <c r="M1438">
        <v>57996</v>
      </c>
      <c r="N1438">
        <v>3.4907000000000001E-2</v>
      </c>
      <c r="O1438" t="s">
        <v>2221</v>
      </c>
    </row>
    <row r="1439" spans="1:15" x14ac:dyDescent="0.25">
      <c r="A1439" t="s">
        <v>55</v>
      </c>
      <c r="B1439" t="s">
        <v>63</v>
      </c>
      <c r="C1439">
        <v>220</v>
      </c>
      <c r="D1439">
        <v>410.01</v>
      </c>
      <c r="E1439">
        <v>100</v>
      </c>
      <c r="F1439" t="s">
        <v>13</v>
      </c>
      <c r="G1439" t="s">
        <v>12</v>
      </c>
      <c r="H1439">
        <v>5</v>
      </c>
      <c r="I1439">
        <v>5.01</v>
      </c>
      <c r="J1439" t="s">
        <v>10</v>
      </c>
      <c r="K1439">
        <v>57090</v>
      </c>
      <c r="L1439">
        <v>6.4831000000000003</v>
      </c>
      <c r="M1439">
        <v>57090</v>
      </c>
      <c r="N1439">
        <v>6.4816000000000003</v>
      </c>
      <c r="O1439" t="s">
        <v>2750</v>
      </c>
    </row>
    <row r="1440" spans="1:15" x14ac:dyDescent="0.25">
      <c r="A1440" t="s">
        <v>55</v>
      </c>
      <c r="B1440" t="s">
        <v>63</v>
      </c>
      <c r="C1440">
        <v>220</v>
      </c>
      <c r="D1440">
        <v>410.01</v>
      </c>
      <c r="E1440">
        <v>100</v>
      </c>
      <c r="F1440" t="s">
        <v>13</v>
      </c>
      <c r="G1440" t="s">
        <v>12</v>
      </c>
      <c r="H1440">
        <v>1</v>
      </c>
      <c r="I1440">
        <v>5</v>
      </c>
      <c r="J1440" t="s">
        <v>10</v>
      </c>
      <c r="K1440">
        <v>57090</v>
      </c>
      <c r="L1440">
        <v>6.4831000000000003</v>
      </c>
      <c r="M1440">
        <v>57090</v>
      </c>
      <c r="N1440">
        <v>6.4816000000000003</v>
      </c>
      <c r="O1440" t="s">
        <v>2751</v>
      </c>
    </row>
    <row r="1441" spans="1:15" x14ac:dyDescent="0.25">
      <c r="A1441" t="s">
        <v>55</v>
      </c>
      <c r="B1441" t="s">
        <v>64</v>
      </c>
      <c r="C1441">
        <v>55</v>
      </c>
      <c r="D1441">
        <v>150.01</v>
      </c>
      <c r="E1441">
        <v>1E-3</v>
      </c>
      <c r="F1441" t="s">
        <v>13</v>
      </c>
      <c r="G1441" t="s">
        <v>12</v>
      </c>
      <c r="H1441">
        <v>4.4999999999999998E-2</v>
      </c>
      <c r="I1441">
        <v>0.1</v>
      </c>
      <c r="J1441" t="s">
        <v>10</v>
      </c>
      <c r="K1441">
        <v>49</v>
      </c>
      <c r="L1441">
        <v>2.6</v>
      </c>
      <c r="M1441">
        <v>2.0611000000000002</v>
      </c>
      <c r="N1441">
        <v>2.1158000000000001</v>
      </c>
      <c r="O1441" t="s">
        <v>2120</v>
      </c>
    </row>
    <row r="1442" spans="1:15" x14ac:dyDescent="0.25">
      <c r="A1442" t="s">
        <v>55</v>
      </c>
      <c r="B1442" t="s">
        <v>64</v>
      </c>
      <c r="C1442">
        <v>55</v>
      </c>
      <c r="D1442">
        <v>150.01</v>
      </c>
      <c r="E1442">
        <v>1E-3</v>
      </c>
      <c r="F1442" t="s">
        <v>13</v>
      </c>
      <c r="G1442" t="s">
        <v>12</v>
      </c>
      <c r="H1442">
        <v>1</v>
      </c>
      <c r="I1442">
        <v>5.01</v>
      </c>
      <c r="J1442" t="s">
        <v>10</v>
      </c>
      <c r="K1442">
        <v>58</v>
      </c>
      <c r="L1442">
        <v>7.2</v>
      </c>
      <c r="M1442">
        <v>55.853000000000002</v>
      </c>
      <c r="N1442">
        <v>7.2092999999999998</v>
      </c>
      <c r="O1442" t="s">
        <v>2119</v>
      </c>
    </row>
    <row r="1443" spans="1:15" x14ac:dyDescent="0.25">
      <c r="A1443" t="s">
        <v>55</v>
      </c>
      <c r="B1443" t="s">
        <v>64</v>
      </c>
      <c r="C1443">
        <v>55</v>
      </c>
      <c r="D1443">
        <v>150.01</v>
      </c>
      <c r="E1443">
        <v>1E-3</v>
      </c>
      <c r="F1443" t="s">
        <v>13</v>
      </c>
      <c r="G1443" t="s">
        <v>12</v>
      </c>
      <c r="H1443">
        <v>0.01</v>
      </c>
      <c r="I1443">
        <v>4.4999999999999998E-2</v>
      </c>
      <c r="J1443" t="s">
        <v>10</v>
      </c>
      <c r="K1443">
        <v>22</v>
      </c>
      <c r="L1443">
        <v>2.8</v>
      </c>
      <c r="M1443">
        <v>4.2301000000000002</v>
      </c>
      <c r="N1443">
        <v>2.8841000000000001</v>
      </c>
      <c r="O1443" t="s">
        <v>2118</v>
      </c>
    </row>
    <row r="1444" spans="1:15" x14ac:dyDescent="0.25">
      <c r="A1444" t="s">
        <v>55</v>
      </c>
      <c r="B1444" t="s">
        <v>64</v>
      </c>
      <c r="C1444">
        <v>55</v>
      </c>
      <c r="D1444">
        <v>150.01</v>
      </c>
      <c r="E1444">
        <v>1E-3</v>
      </c>
      <c r="F1444" t="s">
        <v>13</v>
      </c>
      <c r="G1444" t="s">
        <v>12</v>
      </c>
      <c r="H1444">
        <v>5</v>
      </c>
      <c r="I1444">
        <v>10</v>
      </c>
      <c r="J1444" t="s">
        <v>10</v>
      </c>
      <c r="K1444">
        <v>290</v>
      </c>
      <c r="L1444">
        <v>29</v>
      </c>
      <c r="M1444">
        <v>288.13</v>
      </c>
      <c r="N1444">
        <v>28.936</v>
      </c>
      <c r="O1444" t="s">
        <v>2121</v>
      </c>
    </row>
    <row r="1445" spans="1:15" x14ac:dyDescent="0.25">
      <c r="A1445" t="s">
        <v>55</v>
      </c>
      <c r="B1445" t="s">
        <v>64</v>
      </c>
      <c r="C1445">
        <v>55</v>
      </c>
      <c r="D1445">
        <v>150.01</v>
      </c>
      <c r="E1445">
        <v>1E-3</v>
      </c>
      <c r="F1445" t="s">
        <v>13</v>
      </c>
      <c r="G1445" t="s">
        <v>12</v>
      </c>
      <c r="H1445">
        <v>0.1</v>
      </c>
      <c r="I1445">
        <v>1</v>
      </c>
      <c r="J1445" t="s">
        <v>10</v>
      </c>
      <c r="K1445">
        <v>49</v>
      </c>
      <c r="L1445">
        <v>2.6</v>
      </c>
      <c r="M1445">
        <v>2.0611000000000002</v>
      </c>
      <c r="N1445">
        <v>2.1158000000000001</v>
      </c>
      <c r="O1445" t="s">
        <v>2123</v>
      </c>
    </row>
    <row r="1446" spans="1:15" x14ac:dyDescent="0.25">
      <c r="A1446" t="s">
        <v>55</v>
      </c>
      <c r="B1446" t="s">
        <v>64</v>
      </c>
      <c r="C1446">
        <v>55</v>
      </c>
      <c r="D1446">
        <v>150.01</v>
      </c>
      <c r="E1446">
        <v>1E-3</v>
      </c>
      <c r="F1446" t="s">
        <v>13</v>
      </c>
      <c r="G1446" t="s">
        <v>12</v>
      </c>
      <c r="H1446">
        <v>10</v>
      </c>
      <c r="I1446">
        <v>10.01</v>
      </c>
      <c r="J1446" t="s">
        <v>10</v>
      </c>
      <c r="K1446">
        <v>290</v>
      </c>
      <c r="L1446">
        <v>29</v>
      </c>
      <c r="M1446">
        <v>288.13</v>
      </c>
      <c r="N1446">
        <v>28.936</v>
      </c>
      <c r="O1446" t="s">
        <v>2122</v>
      </c>
    </row>
    <row r="1447" spans="1:15" x14ac:dyDescent="0.25">
      <c r="A1447" t="s">
        <v>55</v>
      </c>
      <c r="B1447" t="s">
        <v>64</v>
      </c>
      <c r="C1447">
        <v>55</v>
      </c>
      <c r="D1447">
        <v>150.01</v>
      </c>
      <c r="E1447">
        <v>0.01</v>
      </c>
      <c r="F1447" t="s">
        <v>13</v>
      </c>
      <c r="G1447" t="s">
        <v>12</v>
      </c>
      <c r="H1447">
        <v>5</v>
      </c>
      <c r="I1447">
        <v>10</v>
      </c>
      <c r="J1447" t="s">
        <v>10</v>
      </c>
      <c r="K1447">
        <v>290</v>
      </c>
      <c r="L1447">
        <v>28.936</v>
      </c>
      <c r="M1447">
        <v>288.14</v>
      </c>
      <c r="N1447">
        <v>28.936</v>
      </c>
      <c r="O1447" t="s">
        <v>2128</v>
      </c>
    </row>
    <row r="1448" spans="1:15" x14ac:dyDescent="0.25">
      <c r="A1448" t="s">
        <v>55</v>
      </c>
      <c r="B1448" t="s">
        <v>64</v>
      </c>
      <c r="C1448">
        <v>55</v>
      </c>
      <c r="D1448">
        <v>150.01</v>
      </c>
      <c r="E1448">
        <v>0.01</v>
      </c>
      <c r="F1448" t="s">
        <v>13</v>
      </c>
      <c r="G1448" t="s">
        <v>12</v>
      </c>
      <c r="H1448">
        <v>0.1</v>
      </c>
      <c r="I1448">
        <v>1</v>
      </c>
      <c r="J1448" t="s">
        <v>10</v>
      </c>
      <c r="K1448">
        <v>49</v>
      </c>
      <c r="L1448">
        <v>2.6</v>
      </c>
      <c r="M1448">
        <v>2.2593000000000001</v>
      </c>
      <c r="N1448">
        <v>2.1147999999999998</v>
      </c>
      <c r="O1448" t="s">
        <v>2125</v>
      </c>
    </row>
    <row r="1449" spans="1:15" x14ac:dyDescent="0.25">
      <c r="A1449" t="s">
        <v>55</v>
      </c>
      <c r="B1449" t="s">
        <v>64</v>
      </c>
      <c r="C1449">
        <v>55</v>
      </c>
      <c r="D1449">
        <v>150.01</v>
      </c>
      <c r="E1449">
        <v>0.01</v>
      </c>
      <c r="F1449" t="s">
        <v>13</v>
      </c>
      <c r="G1449" t="s">
        <v>12</v>
      </c>
      <c r="H1449">
        <v>10</v>
      </c>
      <c r="I1449">
        <v>10.01</v>
      </c>
      <c r="J1449" t="s">
        <v>10</v>
      </c>
      <c r="K1449">
        <v>290</v>
      </c>
      <c r="L1449">
        <v>28.936</v>
      </c>
      <c r="M1449">
        <v>288.14</v>
      </c>
      <c r="N1449">
        <v>28.936</v>
      </c>
      <c r="O1449" t="s">
        <v>2126</v>
      </c>
    </row>
    <row r="1450" spans="1:15" x14ac:dyDescent="0.25">
      <c r="A1450" t="s">
        <v>55</v>
      </c>
      <c r="B1450" t="s">
        <v>64</v>
      </c>
      <c r="C1450">
        <v>55</v>
      </c>
      <c r="D1450">
        <v>150.01</v>
      </c>
      <c r="E1450">
        <v>0.01</v>
      </c>
      <c r="F1450" t="s">
        <v>13</v>
      </c>
      <c r="G1450" t="s">
        <v>12</v>
      </c>
      <c r="H1450">
        <v>0.01</v>
      </c>
      <c r="I1450">
        <v>4.4999999999999998E-2</v>
      </c>
      <c r="J1450" t="s">
        <v>10</v>
      </c>
      <c r="K1450">
        <v>22</v>
      </c>
      <c r="L1450">
        <v>2.7673000000000001</v>
      </c>
      <c r="M1450">
        <v>4.3733000000000004</v>
      </c>
      <c r="N1450">
        <v>2.8834</v>
      </c>
      <c r="O1450" t="s">
        <v>2124</v>
      </c>
    </row>
    <row r="1451" spans="1:15" x14ac:dyDescent="0.25">
      <c r="A1451" t="s">
        <v>55</v>
      </c>
      <c r="B1451" t="s">
        <v>64</v>
      </c>
      <c r="C1451">
        <v>55</v>
      </c>
      <c r="D1451">
        <v>150.01</v>
      </c>
      <c r="E1451">
        <v>0.01</v>
      </c>
      <c r="F1451" t="s">
        <v>13</v>
      </c>
      <c r="G1451" t="s">
        <v>12</v>
      </c>
      <c r="H1451">
        <v>1</v>
      </c>
      <c r="I1451">
        <v>5.01</v>
      </c>
      <c r="J1451" t="s">
        <v>10</v>
      </c>
      <c r="K1451">
        <v>58</v>
      </c>
      <c r="L1451">
        <v>7.2089999999999996</v>
      </c>
      <c r="M1451">
        <v>55.901000000000003</v>
      </c>
      <c r="N1451">
        <v>7.2091000000000003</v>
      </c>
      <c r="O1451" t="s">
        <v>2127</v>
      </c>
    </row>
    <row r="1452" spans="1:15" x14ac:dyDescent="0.25">
      <c r="A1452" t="s">
        <v>55</v>
      </c>
      <c r="B1452" t="s">
        <v>64</v>
      </c>
      <c r="C1452">
        <v>55</v>
      </c>
      <c r="D1452">
        <v>150.01</v>
      </c>
      <c r="E1452">
        <v>0.01</v>
      </c>
      <c r="F1452" t="s">
        <v>13</v>
      </c>
      <c r="G1452" t="s">
        <v>12</v>
      </c>
      <c r="H1452">
        <v>4.4999999999999998E-2</v>
      </c>
      <c r="I1452">
        <v>0.1</v>
      </c>
      <c r="J1452" t="s">
        <v>10</v>
      </c>
      <c r="K1452">
        <v>49</v>
      </c>
      <c r="L1452">
        <v>2.6</v>
      </c>
      <c r="M1452">
        <v>2.2593000000000001</v>
      </c>
      <c r="N1452">
        <v>2.1147999999999998</v>
      </c>
      <c r="O1452" t="s">
        <v>2129</v>
      </c>
    </row>
    <row r="1453" spans="1:15" x14ac:dyDescent="0.25">
      <c r="A1453" t="s">
        <v>55</v>
      </c>
      <c r="B1453" t="s">
        <v>64</v>
      </c>
      <c r="C1453">
        <v>55</v>
      </c>
      <c r="D1453">
        <v>150.01</v>
      </c>
      <c r="E1453">
        <v>0.1</v>
      </c>
      <c r="F1453" t="s">
        <v>13</v>
      </c>
      <c r="G1453" t="s">
        <v>12</v>
      </c>
      <c r="H1453">
        <v>1</v>
      </c>
      <c r="I1453">
        <v>5.01</v>
      </c>
      <c r="J1453" t="s">
        <v>10</v>
      </c>
      <c r="K1453">
        <v>60.896000000000001</v>
      </c>
      <c r="L1453">
        <v>7.1858000000000004</v>
      </c>
      <c r="M1453">
        <v>60.843000000000004</v>
      </c>
      <c r="N1453">
        <v>7.1859000000000002</v>
      </c>
      <c r="O1453" t="s">
        <v>2722</v>
      </c>
    </row>
    <row r="1454" spans="1:15" x14ac:dyDescent="0.25">
      <c r="A1454" t="s">
        <v>55</v>
      </c>
      <c r="B1454" t="s">
        <v>64</v>
      </c>
      <c r="C1454">
        <v>55</v>
      </c>
      <c r="D1454">
        <v>150.01</v>
      </c>
      <c r="E1454">
        <v>0.1</v>
      </c>
      <c r="F1454" t="s">
        <v>13</v>
      </c>
      <c r="G1454" t="s">
        <v>12</v>
      </c>
      <c r="H1454">
        <v>0.01</v>
      </c>
      <c r="I1454">
        <v>4.4999999999999998E-2</v>
      </c>
      <c r="J1454" t="s">
        <v>10</v>
      </c>
      <c r="K1454">
        <v>22</v>
      </c>
      <c r="L1454">
        <v>2.8075999999999999</v>
      </c>
      <c r="M1454">
        <v>17.829000000000001</v>
      </c>
      <c r="N1454">
        <v>2.819</v>
      </c>
      <c r="O1454" t="s">
        <v>2723</v>
      </c>
    </row>
    <row r="1455" spans="1:15" x14ac:dyDescent="0.25">
      <c r="A1455" t="s">
        <v>55</v>
      </c>
      <c r="B1455" t="s">
        <v>64</v>
      </c>
      <c r="C1455">
        <v>55</v>
      </c>
      <c r="D1455">
        <v>150.01</v>
      </c>
      <c r="E1455">
        <v>0.1</v>
      </c>
      <c r="F1455" t="s">
        <v>13</v>
      </c>
      <c r="G1455" t="s">
        <v>12</v>
      </c>
      <c r="H1455">
        <v>0.1</v>
      </c>
      <c r="I1455">
        <v>1</v>
      </c>
      <c r="J1455" t="s">
        <v>10</v>
      </c>
      <c r="K1455">
        <v>49</v>
      </c>
      <c r="L1455">
        <v>2.6</v>
      </c>
      <c r="M1455">
        <v>20.257000000000001</v>
      </c>
      <c r="N1455">
        <v>2.0293000000000001</v>
      </c>
      <c r="O1455" t="s">
        <v>2130</v>
      </c>
    </row>
    <row r="1456" spans="1:15" x14ac:dyDescent="0.25">
      <c r="A1456" t="s">
        <v>55</v>
      </c>
      <c r="B1456" t="s">
        <v>64</v>
      </c>
      <c r="C1456">
        <v>55</v>
      </c>
      <c r="D1456">
        <v>150.01</v>
      </c>
      <c r="E1456">
        <v>0.1</v>
      </c>
      <c r="F1456" t="s">
        <v>13</v>
      </c>
      <c r="G1456" t="s">
        <v>12</v>
      </c>
      <c r="H1456">
        <v>4.4999999999999998E-2</v>
      </c>
      <c r="I1456">
        <v>0.1</v>
      </c>
      <c r="J1456" t="s">
        <v>10</v>
      </c>
      <c r="K1456">
        <v>49</v>
      </c>
      <c r="L1456">
        <v>2.6</v>
      </c>
      <c r="M1456">
        <v>20.257000000000001</v>
      </c>
      <c r="N1456">
        <v>2.0293000000000001</v>
      </c>
      <c r="O1456" t="s">
        <v>2133</v>
      </c>
    </row>
    <row r="1457" spans="1:15" x14ac:dyDescent="0.25">
      <c r="A1457" t="s">
        <v>55</v>
      </c>
      <c r="B1457" t="s">
        <v>64</v>
      </c>
      <c r="C1457">
        <v>55</v>
      </c>
      <c r="D1457">
        <v>150.01</v>
      </c>
      <c r="E1457">
        <v>0.1</v>
      </c>
      <c r="F1457" t="s">
        <v>13</v>
      </c>
      <c r="G1457" t="s">
        <v>12</v>
      </c>
      <c r="H1457">
        <v>5</v>
      </c>
      <c r="I1457">
        <v>10</v>
      </c>
      <c r="J1457" t="s">
        <v>10</v>
      </c>
      <c r="K1457">
        <v>290</v>
      </c>
      <c r="L1457">
        <v>28.931000000000001</v>
      </c>
      <c r="M1457">
        <v>289.39999999999998</v>
      </c>
      <c r="N1457">
        <v>28.93</v>
      </c>
      <c r="O1457" t="s">
        <v>2132</v>
      </c>
    </row>
    <row r="1458" spans="1:15" x14ac:dyDescent="0.25">
      <c r="A1458" t="s">
        <v>55</v>
      </c>
      <c r="B1458" t="s">
        <v>64</v>
      </c>
      <c r="C1458">
        <v>55</v>
      </c>
      <c r="D1458">
        <v>150.01</v>
      </c>
      <c r="E1458">
        <v>0.1</v>
      </c>
      <c r="F1458" t="s">
        <v>13</v>
      </c>
      <c r="G1458" t="s">
        <v>12</v>
      </c>
      <c r="H1458">
        <v>10</v>
      </c>
      <c r="I1458">
        <v>10.01</v>
      </c>
      <c r="J1458" t="s">
        <v>10</v>
      </c>
      <c r="K1458">
        <v>290</v>
      </c>
      <c r="L1458">
        <v>28.931000000000001</v>
      </c>
      <c r="M1458">
        <v>289.39999999999998</v>
      </c>
      <c r="N1458">
        <v>28.93</v>
      </c>
      <c r="O1458" t="s">
        <v>2131</v>
      </c>
    </row>
    <row r="1459" spans="1:15" x14ac:dyDescent="0.25">
      <c r="A1459" t="s">
        <v>55</v>
      </c>
      <c r="B1459" t="s">
        <v>64</v>
      </c>
      <c r="C1459">
        <v>55</v>
      </c>
      <c r="D1459">
        <v>150.01</v>
      </c>
      <c r="E1459">
        <v>1</v>
      </c>
      <c r="F1459" t="s">
        <v>13</v>
      </c>
      <c r="G1459" t="s">
        <v>12</v>
      </c>
      <c r="H1459">
        <v>4.4999999999999998E-2</v>
      </c>
      <c r="I1459">
        <v>0.1</v>
      </c>
      <c r="J1459" t="s">
        <v>10</v>
      </c>
      <c r="K1459">
        <v>551.36</v>
      </c>
      <c r="L1459">
        <v>0.73945000000000005</v>
      </c>
      <c r="M1459">
        <v>551.34</v>
      </c>
      <c r="N1459">
        <v>0.73870000000000002</v>
      </c>
      <c r="O1459" t="s">
        <v>2134</v>
      </c>
    </row>
    <row r="1460" spans="1:15" x14ac:dyDescent="0.25">
      <c r="A1460" t="s">
        <v>55</v>
      </c>
      <c r="B1460" t="s">
        <v>64</v>
      </c>
      <c r="C1460">
        <v>55</v>
      </c>
      <c r="D1460">
        <v>150.01</v>
      </c>
      <c r="E1460">
        <v>1</v>
      </c>
      <c r="F1460" t="s">
        <v>13</v>
      </c>
      <c r="G1460" t="s">
        <v>12</v>
      </c>
      <c r="H1460">
        <v>0.1</v>
      </c>
      <c r="I1460">
        <v>1</v>
      </c>
      <c r="J1460" t="s">
        <v>10</v>
      </c>
      <c r="K1460">
        <v>551.36</v>
      </c>
      <c r="L1460">
        <v>0.73945000000000005</v>
      </c>
      <c r="M1460">
        <v>551.34</v>
      </c>
      <c r="N1460">
        <v>0.73870000000000002</v>
      </c>
      <c r="O1460" t="s">
        <v>2724</v>
      </c>
    </row>
    <row r="1461" spans="1:15" x14ac:dyDescent="0.25">
      <c r="A1461" t="s">
        <v>55</v>
      </c>
      <c r="B1461" t="s">
        <v>64</v>
      </c>
      <c r="C1461">
        <v>55</v>
      </c>
      <c r="D1461">
        <v>150.01</v>
      </c>
      <c r="E1461">
        <v>1</v>
      </c>
      <c r="F1461" t="s">
        <v>13</v>
      </c>
      <c r="G1461" t="s">
        <v>12</v>
      </c>
      <c r="H1461">
        <v>1</v>
      </c>
      <c r="I1461">
        <v>5.01</v>
      </c>
      <c r="J1461" t="s">
        <v>10</v>
      </c>
      <c r="K1461">
        <v>422.41</v>
      </c>
      <c r="L1461">
        <v>5.6955999999999998</v>
      </c>
      <c r="M1461">
        <v>422.3</v>
      </c>
      <c r="N1461">
        <v>5.6954000000000002</v>
      </c>
      <c r="O1461" t="s">
        <v>2135</v>
      </c>
    </row>
    <row r="1462" spans="1:15" x14ac:dyDescent="0.25">
      <c r="A1462" t="s">
        <v>55</v>
      </c>
      <c r="B1462" t="s">
        <v>64</v>
      </c>
      <c r="C1462">
        <v>55</v>
      </c>
      <c r="D1462">
        <v>150.01</v>
      </c>
      <c r="E1462">
        <v>1</v>
      </c>
      <c r="F1462" t="s">
        <v>13</v>
      </c>
      <c r="G1462" t="s">
        <v>12</v>
      </c>
      <c r="H1462">
        <v>5</v>
      </c>
      <c r="I1462">
        <v>10</v>
      </c>
      <c r="J1462" t="s">
        <v>10</v>
      </c>
      <c r="K1462">
        <v>405.34</v>
      </c>
      <c r="L1462">
        <v>28.398</v>
      </c>
      <c r="M1462">
        <v>405.23</v>
      </c>
      <c r="N1462">
        <v>28.396999999999998</v>
      </c>
      <c r="O1462" t="s">
        <v>2725</v>
      </c>
    </row>
    <row r="1463" spans="1:15" x14ac:dyDescent="0.25">
      <c r="A1463" t="s">
        <v>55</v>
      </c>
      <c r="B1463" t="s">
        <v>64</v>
      </c>
      <c r="C1463">
        <v>55</v>
      </c>
      <c r="D1463">
        <v>150.01</v>
      </c>
      <c r="E1463">
        <v>1</v>
      </c>
      <c r="F1463" t="s">
        <v>13</v>
      </c>
      <c r="G1463" t="s">
        <v>12</v>
      </c>
      <c r="H1463">
        <v>10</v>
      </c>
      <c r="I1463">
        <v>10.01</v>
      </c>
      <c r="J1463" t="s">
        <v>10</v>
      </c>
      <c r="K1463">
        <v>405.34</v>
      </c>
      <c r="L1463">
        <v>28.398</v>
      </c>
      <c r="M1463">
        <v>405.23</v>
      </c>
      <c r="N1463">
        <v>28.396999999999998</v>
      </c>
      <c r="O1463" t="s">
        <v>2137</v>
      </c>
    </row>
    <row r="1464" spans="1:15" x14ac:dyDescent="0.25">
      <c r="A1464" t="s">
        <v>55</v>
      </c>
      <c r="B1464" t="s">
        <v>64</v>
      </c>
      <c r="C1464">
        <v>55</v>
      </c>
      <c r="D1464">
        <v>150.01</v>
      </c>
      <c r="E1464">
        <v>1</v>
      </c>
      <c r="F1464" t="s">
        <v>13</v>
      </c>
      <c r="G1464" t="s">
        <v>12</v>
      </c>
      <c r="H1464">
        <v>0.01</v>
      </c>
      <c r="I1464">
        <v>4.4999999999999998E-2</v>
      </c>
      <c r="J1464" t="s">
        <v>10</v>
      </c>
      <c r="K1464">
        <v>530.85</v>
      </c>
      <c r="L1464">
        <v>1.3025</v>
      </c>
      <c r="M1464">
        <v>530.83000000000004</v>
      </c>
      <c r="N1464">
        <v>1.3019000000000001</v>
      </c>
      <c r="O1464" t="s">
        <v>2136</v>
      </c>
    </row>
    <row r="1465" spans="1:15" x14ac:dyDescent="0.25">
      <c r="A1465" t="s">
        <v>55</v>
      </c>
      <c r="B1465" t="s">
        <v>64</v>
      </c>
      <c r="C1465">
        <v>55</v>
      </c>
      <c r="D1465">
        <v>150.01</v>
      </c>
      <c r="E1465">
        <v>10</v>
      </c>
      <c r="F1465" t="s">
        <v>13</v>
      </c>
      <c r="G1465" t="s">
        <v>12</v>
      </c>
      <c r="H1465">
        <v>1</v>
      </c>
      <c r="I1465">
        <v>5.01</v>
      </c>
      <c r="J1465" t="s">
        <v>10</v>
      </c>
      <c r="K1465">
        <v>5763.9</v>
      </c>
      <c r="L1465">
        <v>0.97779000000000005</v>
      </c>
      <c r="M1465">
        <v>5763.9</v>
      </c>
      <c r="N1465">
        <v>0.97714999999999996</v>
      </c>
      <c r="O1465" t="s">
        <v>2726</v>
      </c>
    </row>
    <row r="1466" spans="1:15" x14ac:dyDescent="0.25">
      <c r="A1466" t="s">
        <v>55</v>
      </c>
      <c r="B1466" t="s">
        <v>64</v>
      </c>
      <c r="C1466">
        <v>55</v>
      </c>
      <c r="D1466">
        <v>150.01</v>
      </c>
      <c r="E1466">
        <v>10</v>
      </c>
      <c r="F1466" t="s">
        <v>13</v>
      </c>
      <c r="G1466" t="s">
        <v>12</v>
      </c>
      <c r="H1466">
        <v>4.4999999999999998E-2</v>
      </c>
      <c r="I1466">
        <v>0.1</v>
      </c>
      <c r="J1466" t="s">
        <v>10</v>
      </c>
      <c r="K1466">
        <v>5796.8</v>
      </c>
      <c r="L1466">
        <v>8.0168000000000003E-2</v>
      </c>
      <c r="M1466">
        <v>5796.8</v>
      </c>
      <c r="N1466">
        <v>7.9794000000000004E-2</v>
      </c>
      <c r="O1466" t="s">
        <v>2138</v>
      </c>
    </row>
    <row r="1467" spans="1:15" x14ac:dyDescent="0.25">
      <c r="A1467" t="s">
        <v>55</v>
      </c>
      <c r="B1467" t="s">
        <v>64</v>
      </c>
      <c r="C1467">
        <v>55</v>
      </c>
      <c r="D1467">
        <v>150.01</v>
      </c>
      <c r="E1467">
        <v>10</v>
      </c>
      <c r="F1467" t="s">
        <v>13</v>
      </c>
      <c r="G1467" t="s">
        <v>12</v>
      </c>
      <c r="H1467">
        <v>0.01</v>
      </c>
      <c r="I1467">
        <v>4.4999999999999998E-2</v>
      </c>
      <c r="J1467" t="s">
        <v>10</v>
      </c>
      <c r="K1467">
        <v>5794.1</v>
      </c>
      <c r="L1467">
        <v>0.14924000000000001</v>
      </c>
      <c r="M1467">
        <v>5794.1</v>
      </c>
      <c r="N1467">
        <v>0.14885999999999999</v>
      </c>
      <c r="O1467" t="s">
        <v>2140</v>
      </c>
    </row>
    <row r="1468" spans="1:15" x14ac:dyDescent="0.25">
      <c r="A1468" t="s">
        <v>55</v>
      </c>
      <c r="B1468" t="s">
        <v>64</v>
      </c>
      <c r="C1468">
        <v>55</v>
      </c>
      <c r="D1468">
        <v>150.01</v>
      </c>
      <c r="E1468">
        <v>10</v>
      </c>
      <c r="F1468" t="s">
        <v>13</v>
      </c>
      <c r="G1468" t="s">
        <v>12</v>
      </c>
      <c r="H1468">
        <v>5</v>
      </c>
      <c r="I1468">
        <v>10</v>
      </c>
      <c r="J1468" t="s">
        <v>10</v>
      </c>
      <c r="K1468">
        <v>5330.6</v>
      </c>
      <c r="L1468">
        <v>13.938000000000001</v>
      </c>
      <c r="M1468">
        <v>5330.7</v>
      </c>
      <c r="N1468">
        <v>13.932</v>
      </c>
      <c r="O1468" t="s">
        <v>2727</v>
      </c>
    </row>
    <row r="1469" spans="1:15" x14ac:dyDescent="0.25">
      <c r="A1469" t="s">
        <v>55</v>
      </c>
      <c r="B1469" t="s">
        <v>64</v>
      </c>
      <c r="C1469">
        <v>55</v>
      </c>
      <c r="D1469">
        <v>150.01</v>
      </c>
      <c r="E1469">
        <v>10</v>
      </c>
      <c r="F1469" t="s">
        <v>13</v>
      </c>
      <c r="G1469" t="s">
        <v>12</v>
      </c>
      <c r="H1469">
        <v>10</v>
      </c>
      <c r="I1469">
        <v>10.01</v>
      </c>
      <c r="J1469" t="s">
        <v>10</v>
      </c>
      <c r="K1469">
        <v>5330.6</v>
      </c>
      <c r="L1469">
        <v>13.938000000000001</v>
      </c>
      <c r="M1469">
        <v>5330.7</v>
      </c>
      <c r="N1469">
        <v>13.932</v>
      </c>
      <c r="O1469" t="s">
        <v>2141</v>
      </c>
    </row>
    <row r="1470" spans="1:15" x14ac:dyDescent="0.25">
      <c r="A1470" t="s">
        <v>55</v>
      </c>
      <c r="B1470" t="s">
        <v>64</v>
      </c>
      <c r="C1470">
        <v>55</v>
      </c>
      <c r="D1470">
        <v>150.01</v>
      </c>
      <c r="E1470">
        <v>10</v>
      </c>
      <c r="F1470" t="s">
        <v>13</v>
      </c>
      <c r="G1470" t="s">
        <v>12</v>
      </c>
      <c r="H1470">
        <v>0.1</v>
      </c>
      <c r="I1470">
        <v>1</v>
      </c>
      <c r="J1470" t="s">
        <v>10</v>
      </c>
      <c r="K1470">
        <v>5796.8</v>
      </c>
      <c r="L1470">
        <v>8.0168000000000003E-2</v>
      </c>
      <c r="M1470">
        <v>5796.8</v>
      </c>
      <c r="N1470">
        <v>7.9794000000000004E-2</v>
      </c>
      <c r="O1470" t="s">
        <v>2139</v>
      </c>
    </row>
    <row r="1471" spans="1:15" x14ac:dyDescent="0.25">
      <c r="A1471" t="s">
        <v>55</v>
      </c>
      <c r="B1471" t="s">
        <v>64</v>
      </c>
      <c r="C1471">
        <v>55</v>
      </c>
      <c r="D1471">
        <v>150.01</v>
      </c>
      <c r="E1471">
        <v>100</v>
      </c>
      <c r="F1471" t="s">
        <v>13</v>
      </c>
      <c r="G1471" t="s">
        <v>12</v>
      </c>
      <c r="H1471">
        <v>10</v>
      </c>
      <c r="I1471">
        <v>10.01</v>
      </c>
      <c r="J1471" t="s">
        <v>10</v>
      </c>
      <c r="K1471">
        <v>57941</v>
      </c>
      <c r="L1471">
        <v>1.6236999999999999</v>
      </c>
      <c r="M1471">
        <v>57264</v>
      </c>
      <c r="N1471">
        <v>1.6205000000000001</v>
      </c>
      <c r="O1471" t="s">
        <v>2145</v>
      </c>
    </row>
    <row r="1472" spans="1:15" x14ac:dyDescent="0.25">
      <c r="A1472" t="s">
        <v>55</v>
      </c>
      <c r="B1472" t="s">
        <v>64</v>
      </c>
      <c r="C1472">
        <v>55</v>
      </c>
      <c r="D1472">
        <v>150.01</v>
      </c>
      <c r="E1472">
        <v>100</v>
      </c>
      <c r="F1472" t="s">
        <v>13</v>
      </c>
      <c r="G1472" t="s">
        <v>12</v>
      </c>
      <c r="H1472">
        <v>5</v>
      </c>
      <c r="I1472">
        <v>10</v>
      </c>
      <c r="J1472" t="s">
        <v>10</v>
      </c>
      <c r="K1472">
        <v>57941</v>
      </c>
      <c r="L1472">
        <v>1.6236999999999999</v>
      </c>
      <c r="M1472">
        <v>57264</v>
      </c>
      <c r="N1472">
        <v>1.6205000000000001</v>
      </c>
      <c r="O1472" t="s">
        <v>2143</v>
      </c>
    </row>
    <row r="1473" spans="1:15" x14ac:dyDescent="0.25">
      <c r="A1473" t="s">
        <v>55</v>
      </c>
      <c r="B1473" t="s">
        <v>64</v>
      </c>
      <c r="C1473">
        <v>55</v>
      </c>
      <c r="D1473">
        <v>150.01</v>
      </c>
      <c r="E1473">
        <v>100</v>
      </c>
      <c r="F1473" t="s">
        <v>13</v>
      </c>
      <c r="G1473" t="s">
        <v>12</v>
      </c>
      <c r="H1473">
        <v>4.4999999999999998E-2</v>
      </c>
      <c r="I1473">
        <v>0.1</v>
      </c>
      <c r="J1473" t="s">
        <v>10</v>
      </c>
      <c r="K1473">
        <v>58000</v>
      </c>
      <c r="L1473">
        <v>8.1364000000000002E-3</v>
      </c>
      <c r="M1473">
        <v>57996</v>
      </c>
      <c r="N1473">
        <v>7.9862000000000006E-3</v>
      </c>
      <c r="O1473" t="s">
        <v>2144</v>
      </c>
    </row>
    <row r="1474" spans="1:15" x14ac:dyDescent="0.25">
      <c r="A1474" t="s">
        <v>55</v>
      </c>
      <c r="B1474" t="s">
        <v>64</v>
      </c>
      <c r="C1474">
        <v>55</v>
      </c>
      <c r="D1474">
        <v>150.01</v>
      </c>
      <c r="E1474">
        <v>100</v>
      </c>
      <c r="F1474" t="s">
        <v>13</v>
      </c>
      <c r="G1474" t="s">
        <v>12</v>
      </c>
      <c r="H1474">
        <v>1</v>
      </c>
      <c r="I1474">
        <v>5.01</v>
      </c>
      <c r="J1474" t="s">
        <v>10</v>
      </c>
      <c r="K1474">
        <v>57996</v>
      </c>
      <c r="L1474">
        <v>9.9046999999999996E-2</v>
      </c>
      <c r="M1474">
        <v>57948</v>
      </c>
      <c r="N1474">
        <v>9.8782999999999996E-2</v>
      </c>
      <c r="O1474" t="s">
        <v>2146</v>
      </c>
    </row>
    <row r="1475" spans="1:15" x14ac:dyDescent="0.25">
      <c r="A1475" t="s">
        <v>55</v>
      </c>
      <c r="B1475" t="s">
        <v>64</v>
      </c>
      <c r="C1475">
        <v>55</v>
      </c>
      <c r="D1475">
        <v>150.01</v>
      </c>
      <c r="E1475">
        <v>100</v>
      </c>
      <c r="F1475" t="s">
        <v>13</v>
      </c>
      <c r="G1475" t="s">
        <v>12</v>
      </c>
      <c r="H1475">
        <v>0.1</v>
      </c>
      <c r="I1475">
        <v>1</v>
      </c>
      <c r="J1475" t="s">
        <v>10</v>
      </c>
      <c r="K1475">
        <v>58000</v>
      </c>
      <c r="L1475">
        <v>8.1364000000000002E-3</v>
      </c>
      <c r="M1475">
        <v>57996</v>
      </c>
      <c r="N1475">
        <v>7.9862000000000006E-3</v>
      </c>
      <c r="O1475" t="s">
        <v>2728</v>
      </c>
    </row>
    <row r="1476" spans="1:15" x14ac:dyDescent="0.25">
      <c r="A1476" t="s">
        <v>55</v>
      </c>
      <c r="B1476" t="s">
        <v>64</v>
      </c>
      <c r="C1476">
        <v>55</v>
      </c>
      <c r="D1476">
        <v>150.01</v>
      </c>
      <c r="E1476">
        <v>100</v>
      </c>
      <c r="F1476" t="s">
        <v>13</v>
      </c>
      <c r="G1476" t="s">
        <v>12</v>
      </c>
      <c r="H1476">
        <v>0.01</v>
      </c>
      <c r="I1476">
        <v>4.4999999999999998E-2</v>
      </c>
      <c r="J1476" t="s">
        <v>10</v>
      </c>
      <c r="K1476">
        <v>58000</v>
      </c>
      <c r="L1476">
        <v>1.506E-2</v>
      </c>
      <c r="M1476">
        <v>57992</v>
      </c>
      <c r="N1476">
        <v>1.491E-2</v>
      </c>
      <c r="O1476" t="s">
        <v>2142</v>
      </c>
    </row>
    <row r="1477" spans="1:15" x14ac:dyDescent="0.25">
      <c r="A1477" t="s">
        <v>55</v>
      </c>
      <c r="B1477" t="s">
        <v>64</v>
      </c>
      <c r="C1477">
        <v>150</v>
      </c>
      <c r="D1477">
        <v>550.01</v>
      </c>
      <c r="E1477">
        <v>0.01</v>
      </c>
      <c r="F1477" t="s">
        <v>13</v>
      </c>
      <c r="G1477" t="s">
        <v>12</v>
      </c>
      <c r="H1477">
        <v>5</v>
      </c>
      <c r="I1477">
        <v>5.01</v>
      </c>
      <c r="J1477" t="s">
        <v>10</v>
      </c>
      <c r="K1477">
        <v>120</v>
      </c>
      <c r="L1477">
        <v>35</v>
      </c>
      <c r="M1477">
        <v>115.24</v>
      </c>
      <c r="N1477">
        <v>34.698999999999998</v>
      </c>
      <c r="O1477" t="s">
        <v>2149</v>
      </c>
    </row>
    <row r="1478" spans="1:15" x14ac:dyDescent="0.25">
      <c r="A1478" t="s">
        <v>55</v>
      </c>
      <c r="B1478" t="s">
        <v>64</v>
      </c>
      <c r="C1478">
        <v>150</v>
      </c>
      <c r="D1478">
        <v>550.01</v>
      </c>
      <c r="E1478">
        <v>0.01</v>
      </c>
      <c r="F1478" t="s">
        <v>13</v>
      </c>
      <c r="G1478" t="s">
        <v>12</v>
      </c>
      <c r="H1478">
        <v>4.4999999999999998E-2</v>
      </c>
      <c r="I1478">
        <v>0.10001</v>
      </c>
      <c r="J1478" t="s">
        <v>10</v>
      </c>
      <c r="K1478">
        <v>59</v>
      </c>
      <c r="L1478">
        <v>2.1</v>
      </c>
      <c r="M1478">
        <v>58.542000000000002</v>
      </c>
      <c r="N1478">
        <v>2.0878999999999999</v>
      </c>
      <c r="O1478" t="s">
        <v>2147</v>
      </c>
    </row>
    <row r="1479" spans="1:15" x14ac:dyDescent="0.25">
      <c r="A1479" t="s">
        <v>55</v>
      </c>
      <c r="B1479" t="s">
        <v>64</v>
      </c>
      <c r="C1479">
        <v>150</v>
      </c>
      <c r="D1479">
        <v>550.01</v>
      </c>
      <c r="E1479">
        <v>0.01</v>
      </c>
      <c r="F1479" t="s">
        <v>13</v>
      </c>
      <c r="G1479" t="s">
        <v>12</v>
      </c>
      <c r="H1479">
        <v>0.1</v>
      </c>
      <c r="I1479">
        <v>1.0000100000000001</v>
      </c>
      <c r="J1479" t="s">
        <v>10</v>
      </c>
      <c r="K1479">
        <v>74</v>
      </c>
      <c r="L1479">
        <v>2.2999999999999998</v>
      </c>
      <c r="M1479">
        <v>73.171000000000006</v>
      </c>
      <c r="N1479">
        <v>2.2881999999999998</v>
      </c>
      <c r="O1479" t="s">
        <v>2150</v>
      </c>
    </row>
    <row r="1480" spans="1:15" x14ac:dyDescent="0.25">
      <c r="A1480" t="s">
        <v>55</v>
      </c>
      <c r="B1480" t="s">
        <v>64</v>
      </c>
      <c r="C1480">
        <v>150</v>
      </c>
      <c r="D1480">
        <v>550.01</v>
      </c>
      <c r="E1480">
        <v>0.01</v>
      </c>
      <c r="F1480" t="s">
        <v>13</v>
      </c>
      <c r="G1480" t="s">
        <v>12</v>
      </c>
      <c r="H1480">
        <v>1</v>
      </c>
      <c r="I1480">
        <v>5</v>
      </c>
      <c r="J1480" t="s">
        <v>10</v>
      </c>
      <c r="K1480">
        <v>120</v>
      </c>
      <c r="L1480">
        <v>35</v>
      </c>
      <c r="M1480">
        <v>115.24</v>
      </c>
      <c r="N1480">
        <v>34.698999999999998</v>
      </c>
      <c r="O1480" t="s">
        <v>2148</v>
      </c>
    </row>
    <row r="1481" spans="1:15" x14ac:dyDescent="0.25">
      <c r="A1481" t="s">
        <v>55</v>
      </c>
      <c r="B1481" t="s">
        <v>64</v>
      </c>
      <c r="C1481">
        <v>150</v>
      </c>
      <c r="D1481">
        <v>550.01</v>
      </c>
      <c r="E1481">
        <v>0.1</v>
      </c>
      <c r="F1481" t="s">
        <v>13</v>
      </c>
      <c r="G1481" t="s">
        <v>12</v>
      </c>
      <c r="H1481">
        <v>1</v>
      </c>
      <c r="I1481">
        <v>5</v>
      </c>
      <c r="J1481" t="s">
        <v>10</v>
      </c>
      <c r="K1481">
        <v>120</v>
      </c>
      <c r="L1481">
        <v>35</v>
      </c>
      <c r="M1481">
        <v>115.76</v>
      </c>
      <c r="N1481">
        <v>34.698</v>
      </c>
      <c r="O1481" t="s">
        <v>2152</v>
      </c>
    </row>
    <row r="1482" spans="1:15" x14ac:dyDescent="0.25">
      <c r="A1482" t="s">
        <v>55</v>
      </c>
      <c r="B1482" t="s">
        <v>64</v>
      </c>
      <c r="C1482">
        <v>150</v>
      </c>
      <c r="D1482">
        <v>550.01</v>
      </c>
      <c r="E1482">
        <v>0.1</v>
      </c>
      <c r="F1482" t="s">
        <v>13</v>
      </c>
      <c r="G1482" t="s">
        <v>12</v>
      </c>
      <c r="H1482">
        <v>5</v>
      </c>
      <c r="I1482">
        <v>5.01</v>
      </c>
      <c r="J1482" t="s">
        <v>10</v>
      </c>
      <c r="K1482">
        <v>120</v>
      </c>
      <c r="L1482">
        <v>35</v>
      </c>
      <c r="M1482">
        <v>115.76</v>
      </c>
      <c r="N1482">
        <v>34.698</v>
      </c>
      <c r="O1482" t="s">
        <v>2151</v>
      </c>
    </row>
    <row r="1483" spans="1:15" x14ac:dyDescent="0.25">
      <c r="A1483" t="s">
        <v>55</v>
      </c>
      <c r="B1483" t="s">
        <v>64</v>
      </c>
      <c r="C1483">
        <v>150</v>
      </c>
      <c r="D1483">
        <v>550.01</v>
      </c>
      <c r="E1483">
        <v>0.1</v>
      </c>
      <c r="F1483" t="s">
        <v>13</v>
      </c>
      <c r="G1483" t="s">
        <v>12</v>
      </c>
      <c r="H1483">
        <v>4.4999999999999998E-2</v>
      </c>
      <c r="I1483">
        <v>0.10001</v>
      </c>
      <c r="J1483" t="s">
        <v>10</v>
      </c>
      <c r="K1483">
        <v>62.204999999999998</v>
      </c>
      <c r="L1483">
        <v>2.0941999999999998</v>
      </c>
      <c r="M1483">
        <v>64.156000000000006</v>
      </c>
      <c r="N1483">
        <v>2.0802</v>
      </c>
      <c r="O1483" t="s">
        <v>2729</v>
      </c>
    </row>
    <row r="1484" spans="1:15" x14ac:dyDescent="0.25">
      <c r="A1484" t="s">
        <v>55</v>
      </c>
      <c r="B1484" t="s">
        <v>64</v>
      </c>
      <c r="C1484">
        <v>150</v>
      </c>
      <c r="D1484">
        <v>550.01</v>
      </c>
      <c r="E1484">
        <v>0.1</v>
      </c>
      <c r="F1484" t="s">
        <v>13</v>
      </c>
      <c r="G1484" t="s">
        <v>12</v>
      </c>
      <c r="H1484">
        <v>0.1</v>
      </c>
      <c r="I1484">
        <v>1.0000100000000001</v>
      </c>
      <c r="J1484" t="s">
        <v>10</v>
      </c>
      <c r="K1484">
        <v>76.075999999999993</v>
      </c>
      <c r="L1484">
        <v>2.2961999999999998</v>
      </c>
      <c r="M1484">
        <v>78.162000000000006</v>
      </c>
      <c r="N1484">
        <v>2.2814000000000001</v>
      </c>
      <c r="O1484" t="s">
        <v>2153</v>
      </c>
    </row>
    <row r="1485" spans="1:15" x14ac:dyDescent="0.25">
      <c r="A1485" t="s">
        <v>55</v>
      </c>
      <c r="B1485" t="s">
        <v>64</v>
      </c>
      <c r="C1485">
        <v>150</v>
      </c>
      <c r="D1485">
        <v>550.01</v>
      </c>
      <c r="E1485">
        <v>1</v>
      </c>
      <c r="F1485" t="s">
        <v>13</v>
      </c>
      <c r="G1485" t="s">
        <v>12</v>
      </c>
      <c r="H1485">
        <v>5</v>
      </c>
      <c r="I1485">
        <v>5.01</v>
      </c>
      <c r="J1485" t="s">
        <v>10</v>
      </c>
      <c r="K1485">
        <v>120</v>
      </c>
      <c r="L1485">
        <v>35</v>
      </c>
      <c r="M1485">
        <v>155.32</v>
      </c>
      <c r="N1485">
        <v>34.642000000000003</v>
      </c>
      <c r="O1485" t="s">
        <v>2730</v>
      </c>
    </row>
    <row r="1486" spans="1:15" x14ac:dyDescent="0.25">
      <c r="A1486" t="s">
        <v>55</v>
      </c>
      <c r="B1486" t="s">
        <v>64</v>
      </c>
      <c r="C1486">
        <v>150</v>
      </c>
      <c r="D1486">
        <v>550.01</v>
      </c>
      <c r="E1486">
        <v>1</v>
      </c>
      <c r="F1486" t="s">
        <v>13</v>
      </c>
      <c r="G1486" t="s">
        <v>12</v>
      </c>
      <c r="H1486">
        <v>4.4999999999999998E-2</v>
      </c>
      <c r="I1486">
        <v>0.10001</v>
      </c>
      <c r="J1486" t="s">
        <v>10</v>
      </c>
      <c r="K1486">
        <v>445.36</v>
      </c>
      <c r="L1486">
        <v>1.6256999999999999</v>
      </c>
      <c r="M1486">
        <v>445.1</v>
      </c>
      <c r="N1486">
        <v>1.6253</v>
      </c>
      <c r="O1486" t="s">
        <v>2155</v>
      </c>
    </row>
    <row r="1487" spans="1:15" x14ac:dyDescent="0.25">
      <c r="A1487" t="s">
        <v>55</v>
      </c>
      <c r="B1487" t="s">
        <v>64</v>
      </c>
      <c r="C1487">
        <v>150</v>
      </c>
      <c r="D1487">
        <v>550.01</v>
      </c>
      <c r="E1487">
        <v>1</v>
      </c>
      <c r="F1487" t="s">
        <v>13</v>
      </c>
      <c r="G1487" t="s">
        <v>12</v>
      </c>
      <c r="H1487">
        <v>0.1</v>
      </c>
      <c r="I1487">
        <v>1.0000100000000001</v>
      </c>
      <c r="J1487" t="s">
        <v>10</v>
      </c>
      <c r="K1487">
        <v>437.31</v>
      </c>
      <c r="L1487">
        <v>1.8466</v>
      </c>
      <c r="M1487">
        <v>437.03</v>
      </c>
      <c r="N1487">
        <v>1.8463000000000001</v>
      </c>
      <c r="O1487" t="s">
        <v>2731</v>
      </c>
    </row>
    <row r="1488" spans="1:15" x14ac:dyDescent="0.25">
      <c r="A1488" t="s">
        <v>55</v>
      </c>
      <c r="B1488" t="s">
        <v>64</v>
      </c>
      <c r="C1488">
        <v>150</v>
      </c>
      <c r="D1488">
        <v>550.01</v>
      </c>
      <c r="E1488">
        <v>1</v>
      </c>
      <c r="F1488" t="s">
        <v>13</v>
      </c>
      <c r="G1488" t="s">
        <v>12</v>
      </c>
      <c r="H1488">
        <v>1</v>
      </c>
      <c r="I1488">
        <v>5</v>
      </c>
      <c r="J1488" t="s">
        <v>10</v>
      </c>
      <c r="K1488">
        <v>120</v>
      </c>
      <c r="L1488">
        <v>35</v>
      </c>
      <c r="M1488">
        <v>155.32</v>
      </c>
      <c r="N1488">
        <v>34.642000000000003</v>
      </c>
      <c r="O1488" t="s">
        <v>2154</v>
      </c>
    </row>
    <row r="1489" spans="1:15" x14ac:dyDescent="0.25">
      <c r="A1489" t="s">
        <v>55</v>
      </c>
      <c r="B1489" t="s">
        <v>64</v>
      </c>
      <c r="C1489">
        <v>150</v>
      </c>
      <c r="D1489">
        <v>550.01</v>
      </c>
      <c r="E1489">
        <v>10</v>
      </c>
      <c r="F1489" t="s">
        <v>13</v>
      </c>
      <c r="G1489" t="s">
        <v>12</v>
      </c>
      <c r="H1489">
        <v>4.4999999999999998E-2</v>
      </c>
      <c r="I1489">
        <v>0.10001</v>
      </c>
      <c r="J1489" t="s">
        <v>10</v>
      </c>
      <c r="K1489">
        <v>5769.8</v>
      </c>
      <c r="L1489">
        <v>0.28151999999999999</v>
      </c>
      <c r="M1489">
        <v>5769.8</v>
      </c>
      <c r="N1489">
        <v>0.28083999999999998</v>
      </c>
      <c r="O1489" t="s">
        <v>2732</v>
      </c>
    </row>
    <row r="1490" spans="1:15" x14ac:dyDescent="0.25">
      <c r="A1490" t="s">
        <v>55</v>
      </c>
      <c r="B1490" t="s">
        <v>64</v>
      </c>
      <c r="C1490">
        <v>150</v>
      </c>
      <c r="D1490">
        <v>550.01</v>
      </c>
      <c r="E1490">
        <v>10</v>
      </c>
      <c r="F1490" t="s">
        <v>13</v>
      </c>
      <c r="G1490" t="s">
        <v>12</v>
      </c>
      <c r="H1490">
        <v>5</v>
      </c>
      <c r="I1490">
        <v>5.01</v>
      </c>
      <c r="J1490" t="s">
        <v>10</v>
      </c>
      <c r="K1490">
        <v>3301.1</v>
      </c>
      <c r="L1490">
        <v>30.465</v>
      </c>
      <c r="M1490">
        <v>3300.8</v>
      </c>
      <c r="N1490">
        <v>30.465</v>
      </c>
      <c r="O1490" t="s">
        <v>2157</v>
      </c>
    </row>
    <row r="1491" spans="1:15" x14ac:dyDescent="0.25">
      <c r="A1491" t="s">
        <v>55</v>
      </c>
      <c r="B1491" t="s">
        <v>64</v>
      </c>
      <c r="C1491">
        <v>150</v>
      </c>
      <c r="D1491">
        <v>550.01</v>
      </c>
      <c r="E1491">
        <v>10</v>
      </c>
      <c r="F1491" t="s">
        <v>13</v>
      </c>
      <c r="G1491" t="s">
        <v>12</v>
      </c>
      <c r="H1491">
        <v>1</v>
      </c>
      <c r="I1491">
        <v>5</v>
      </c>
      <c r="J1491" t="s">
        <v>10</v>
      </c>
      <c r="K1491">
        <v>3301.1</v>
      </c>
      <c r="L1491">
        <v>30.465</v>
      </c>
      <c r="M1491">
        <v>3300.8</v>
      </c>
      <c r="N1491">
        <v>30.465</v>
      </c>
      <c r="O1491" t="s">
        <v>2158</v>
      </c>
    </row>
    <row r="1492" spans="1:15" x14ac:dyDescent="0.25">
      <c r="A1492" t="s">
        <v>55</v>
      </c>
      <c r="B1492" t="s">
        <v>64</v>
      </c>
      <c r="C1492">
        <v>150</v>
      </c>
      <c r="D1492">
        <v>550.01</v>
      </c>
      <c r="E1492">
        <v>10</v>
      </c>
      <c r="F1492" t="s">
        <v>13</v>
      </c>
      <c r="G1492" t="s">
        <v>12</v>
      </c>
      <c r="H1492">
        <v>0.1</v>
      </c>
      <c r="I1492">
        <v>1.0000100000000001</v>
      </c>
      <c r="J1492" t="s">
        <v>10</v>
      </c>
      <c r="K1492">
        <v>5764</v>
      </c>
      <c r="L1492">
        <v>0.34064</v>
      </c>
      <c r="M1492">
        <v>5763.9</v>
      </c>
      <c r="N1492">
        <v>0.33996999999999999</v>
      </c>
      <c r="O1492" t="s">
        <v>2156</v>
      </c>
    </row>
    <row r="1493" spans="1:15" x14ac:dyDescent="0.25">
      <c r="A1493" t="s">
        <v>55</v>
      </c>
      <c r="B1493" t="s">
        <v>64</v>
      </c>
      <c r="C1493">
        <v>150</v>
      </c>
      <c r="D1493">
        <v>550.01</v>
      </c>
      <c r="E1493">
        <v>100</v>
      </c>
      <c r="F1493" t="s">
        <v>13</v>
      </c>
      <c r="G1493" t="s">
        <v>12</v>
      </c>
      <c r="H1493">
        <v>5</v>
      </c>
      <c r="I1493">
        <v>5.01</v>
      </c>
      <c r="J1493" t="s">
        <v>10</v>
      </c>
      <c r="K1493">
        <v>57174</v>
      </c>
      <c r="L1493">
        <v>7.1298000000000004</v>
      </c>
      <c r="M1493">
        <v>57174</v>
      </c>
      <c r="N1493">
        <v>7.1292999999999997</v>
      </c>
      <c r="O1493" t="s">
        <v>2161</v>
      </c>
    </row>
    <row r="1494" spans="1:15" x14ac:dyDescent="0.25">
      <c r="A1494" t="s">
        <v>55</v>
      </c>
      <c r="B1494" t="s">
        <v>64</v>
      </c>
      <c r="C1494">
        <v>150</v>
      </c>
      <c r="D1494">
        <v>550.01</v>
      </c>
      <c r="E1494">
        <v>100</v>
      </c>
      <c r="F1494" t="s">
        <v>13</v>
      </c>
      <c r="G1494" t="s">
        <v>12</v>
      </c>
      <c r="H1494">
        <v>1</v>
      </c>
      <c r="I1494">
        <v>5</v>
      </c>
      <c r="J1494" t="s">
        <v>10</v>
      </c>
      <c r="K1494">
        <v>57174</v>
      </c>
      <c r="L1494">
        <v>7.1298000000000004</v>
      </c>
      <c r="M1494">
        <v>57174</v>
      </c>
      <c r="N1494">
        <v>7.1292999999999997</v>
      </c>
      <c r="O1494" t="s">
        <v>2159</v>
      </c>
    </row>
    <row r="1495" spans="1:15" x14ac:dyDescent="0.25">
      <c r="A1495" t="s">
        <v>55</v>
      </c>
      <c r="B1495" t="s">
        <v>64</v>
      </c>
      <c r="C1495">
        <v>150</v>
      </c>
      <c r="D1495">
        <v>550.01</v>
      </c>
      <c r="E1495">
        <v>100</v>
      </c>
      <c r="F1495" t="s">
        <v>13</v>
      </c>
      <c r="G1495" t="s">
        <v>12</v>
      </c>
      <c r="H1495">
        <v>4.4999999999999998E-2</v>
      </c>
      <c r="I1495">
        <v>0.10001</v>
      </c>
      <c r="J1495" t="s">
        <v>10</v>
      </c>
      <c r="K1495">
        <v>57997</v>
      </c>
      <c r="L1495">
        <v>2.869E-2</v>
      </c>
      <c r="M1495">
        <v>57997</v>
      </c>
      <c r="N1495">
        <v>2.8410999999999999E-2</v>
      </c>
      <c r="O1495" t="s">
        <v>2733</v>
      </c>
    </row>
    <row r="1496" spans="1:15" x14ac:dyDescent="0.25">
      <c r="A1496" t="s">
        <v>55</v>
      </c>
      <c r="B1496" t="s">
        <v>64</v>
      </c>
      <c r="C1496">
        <v>150</v>
      </c>
      <c r="D1496">
        <v>550.01</v>
      </c>
      <c r="E1496">
        <v>100</v>
      </c>
      <c r="F1496" t="s">
        <v>13</v>
      </c>
      <c r="G1496" t="s">
        <v>12</v>
      </c>
      <c r="H1496">
        <v>0.1</v>
      </c>
      <c r="I1496">
        <v>1.0000100000000001</v>
      </c>
      <c r="J1496" t="s">
        <v>10</v>
      </c>
      <c r="K1496">
        <v>57996</v>
      </c>
      <c r="L1496">
        <v>3.4757999999999997E-2</v>
      </c>
      <c r="M1496">
        <v>57996</v>
      </c>
      <c r="N1496">
        <v>3.4478000000000002E-2</v>
      </c>
      <c r="O1496" t="s">
        <v>2160</v>
      </c>
    </row>
    <row r="1497" spans="1:15" x14ac:dyDescent="0.25">
      <c r="A1497" t="s">
        <v>55</v>
      </c>
      <c r="B1497" t="s">
        <v>64</v>
      </c>
      <c r="C1497">
        <v>550</v>
      </c>
      <c r="D1497">
        <v>1025.01</v>
      </c>
      <c r="E1497">
        <v>0.01</v>
      </c>
      <c r="F1497" t="s">
        <v>13</v>
      </c>
      <c r="G1497" t="s">
        <v>12</v>
      </c>
      <c r="H1497">
        <v>4.4999999999999998E-2</v>
      </c>
      <c r="I1497">
        <v>0.10001</v>
      </c>
      <c r="J1497" t="s">
        <v>10</v>
      </c>
      <c r="K1497">
        <v>210</v>
      </c>
      <c r="L1497">
        <v>2.4</v>
      </c>
      <c r="M1497">
        <v>192.41</v>
      </c>
      <c r="N1497">
        <v>2.4161000000000001</v>
      </c>
      <c r="O1497" t="s">
        <v>2735</v>
      </c>
    </row>
    <row r="1498" spans="1:15" x14ac:dyDescent="0.25">
      <c r="A1498" t="s">
        <v>55</v>
      </c>
      <c r="B1498" t="s">
        <v>64</v>
      </c>
      <c r="C1498">
        <v>550</v>
      </c>
      <c r="D1498">
        <v>1030</v>
      </c>
      <c r="E1498">
        <v>0.01</v>
      </c>
      <c r="F1498" t="s">
        <v>13</v>
      </c>
      <c r="G1498" t="s">
        <v>12</v>
      </c>
      <c r="H1498">
        <v>1</v>
      </c>
      <c r="I1498">
        <v>1.0000100000000001</v>
      </c>
      <c r="J1498" t="s">
        <v>10</v>
      </c>
      <c r="K1498">
        <v>250</v>
      </c>
      <c r="L1498">
        <v>2.6</v>
      </c>
      <c r="M1498">
        <v>210.67</v>
      </c>
      <c r="N1498">
        <v>2.6326000000000001</v>
      </c>
      <c r="O1498" t="s">
        <v>2734</v>
      </c>
    </row>
    <row r="1499" spans="1:15" x14ac:dyDescent="0.25">
      <c r="A1499" t="s">
        <v>55</v>
      </c>
      <c r="B1499" t="s">
        <v>64</v>
      </c>
      <c r="C1499">
        <v>550</v>
      </c>
      <c r="D1499">
        <v>1025.01</v>
      </c>
      <c r="E1499">
        <v>0.01</v>
      </c>
      <c r="F1499" t="s">
        <v>13</v>
      </c>
      <c r="G1499" t="s">
        <v>12</v>
      </c>
      <c r="H1499">
        <v>0.1</v>
      </c>
      <c r="I1499">
        <v>1</v>
      </c>
      <c r="J1499" t="s">
        <v>10</v>
      </c>
      <c r="K1499">
        <v>250</v>
      </c>
      <c r="L1499">
        <v>2.6</v>
      </c>
      <c r="M1499">
        <v>210.67</v>
      </c>
      <c r="N1499">
        <v>2.6326000000000001</v>
      </c>
      <c r="O1499" t="s">
        <v>2162</v>
      </c>
    </row>
    <row r="1500" spans="1:15" x14ac:dyDescent="0.25">
      <c r="A1500" t="s">
        <v>55</v>
      </c>
      <c r="B1500" t="s">
        <v>64</v>
      </c>
      <c r="C1500">
        <v>550</v>
      </c>
      <c r="D1500">
        <v>1030</v>
      </c>
      <c r="E1500">
        <v>0.1</v>
      </c>
      <c r="F1500" t="s">
        <v>13</v>
      </c>
      <c r="G1500" t="s">
        <v>12</v>
      </c>
      <c r="H1500">
        <v>1</v>
      </c>
      <c r="I1500">
        <v>1.0000100000000001</v>
      </c>
      <c r="J1500" t="s">
        <v>10</v>
      </c>
      <c r="K1500">
        <v>250</v>
      </c>
      <c r="L1500">
        <v>2.6</v>
      </c>
      <c r="M1500">
        <v>212.17</v>
      </c>
      <c r="N1500">
        <v>2.6316999999999999</v>
      </c>
      <c r="O1500" t="s">
        <v>2165</v>
      </c>
    </row>
    <row r="1501" spans="1:15" x14ac:dyDescent="0.25">
      <c r="A1501" t="s">
        <v>55</v>
      </c>
      <c r="B1501" t="s">
        <v>64</v>
      </c>
      <c r="C1501">
        <v>550</v>
      </c>
      <c r="D1501">
        <v>1025.01</v>
      </c>
      <c r="E1501">
        <v>0.1</v>
      </c>
      <c r="F1501" t="s">
        <v>13</v>
      </c>
      <c r="G1501" t="s">
        <v>12</v>
      </c>
      <c r="H1501">
        <v>4.4999999999999998E-2</v>
      </c>
      <c r="I1501">
        <v>0.10001</v>
      </c>
      <c r="J1501" t="s">
        <v>10</v>
      </c>
      <c r="K1501">
        <v>210</v>
      </c>
      <c r="L1501">
        <v>2.4</v>
      </c>
      <c r="M1501">
        <v>193.98</v>
      </c>
      <c r="N1501">
        <v>2.4152</v>
      </c>
      <c r="O1501" t="s">
        <v>2163</v>
      </c>
    </row>
    <row r="1502" spans="1:15" x14ac:dyDescent="0.25">
      <c r="A1502" t="s">
        <v>55</v>
      </c>
      <c r="B1502" t="s">
        <v>64</v>
      </c>
      <c r="C1502">
        <v>550</v>
      </c>
      <c r="D1502">
        <v>1025.01</v>
      </c>
      <c r="E1502">
        <v>0.1</v>
      </c>
      <c r="F1502" t="s">
        <v>13</v>
      </c>
      <c r="G1502" t="s">
        <v>12</v>
      </c>
      <c r="H1502">
        <v>0.1</v>
      </c>
      <c r="I1502">
        <v>1</v>
      </c>
      <c r="J1502" t="s">
        <v>10</v>
      </c>
      <c r="K1502">
        <v>250</v>
      </c>
      <c r="L1502">
        <v>2.6</v>
      </c>
      <c r="M1502">
        <v>212.17</v>
      </c>
      <c r="N1502">
        <v>2.6316999999999999</v>
      </c>
      <c r="O1502" t="s">
        <v>2164</v>
      </c>
    </row>
    <row r="1503" spans="1:15" x14ac:dyDescent="0.25">
      <c r="A1503" t="s">
        <v>55</v>
      </c>
      <c r="B1503" t="s">
        <v>64</v>
      </c>
      <c r="C1503">
        <v>550</v>
      </c>
      <c r="D1503">
        <v>1030</v>
      </c>
      <c r="E1503">
        <v>1</v>
      </c>
      <c r="F1503" t="s">
        <v>13</v>
      </c>
      <c r="G1503" t="s">
        <v>12</v>
      </c>
      <c r="H1503">
        <v>1</v>
      </c>
      <c r="I1503">
        <v>1.0000100000000001</v>
      </c>
      <c r="J1503" t="s">
        <v>10</v>
      </c>
      <c r="K1503">
        <v>357.02</v>
      </c>
      <c r="L1503">
        <v>2.5468999999999999</v>
      </c>
      <c r="M1503">
        <v>356.89</v>
      </c>
      <c r="N1503">
        <v>2.5457999999999998</v>
      </c>
      <c r="O1503" t="s">
        <v>2167</v>
      </c>
    </row>
    <row r="1504" spans="1:15" x14ac:dyDescent="0.25">
      <c r="A1504" t="s">
        <v>55</v>
      </c>
      <c r="B1504" t="s">
        <v>64</v>
      </c>
      <c r="C1504">
        <v>550</v>
      </c>
      <c r="D1504">
        <v>1025.01</v>
      </c>
      <c r="E1504">
        <v>1</v>
      </c>
      <c r="F1504" t="s">
        <v>13</v>
      </c>
      <c r="G1504" t="s">
        <v>12</v>
      </c>
      <c r="H1504">
        <v>0.1</v>
      </c>
      <c r="I1504">
        <v>1</v>
      </c>
      <c r="J1504" t="s">
        <v>10</v>
      </c>
      <c r="K1504">
        <v>357.02</v>
      </c>
      <c r="L1504">
        <v>2.5468999999999999</v>
      </c>
      <c r="M1504">
        <v>356.89</v>
      </c>
      <c r="N1504">
        <v>2.5457999999999998</v>
      </c>
      <c r="O1504" t="s">
        <v>2166</v>
      </c>
    </row>
    <row r="1505" spans="1:15" x14ac:dyDescent="0.25">
      <c r="A1505" t="s">
        <v>55</v>
      </c>
      <c r="B1505" t="s">
        <v>64</v>
      </c>
      <c r="C1505">
        <v>550</v>
      </c>
      <c r="D1505">
        <v>1025.01</v>
      </c>
      <c r="E1505">
        <v>1</v>
      </c>
      <c r="F1505" t="s">
        <v>13</v>
      </c>
      <c r="G1505" t="s">
        <v>12</v>
      </c>
      <c r="H1505">
        <v>4.4999999999999998E-2</v>
      </c>
      <c r="I1505">
        <v>0.10001</v>
      </c>
      <c r="J1505" t="s">
        <v>10</v>
      </c>
      <c r="K1505">
        <v>350.89</v>
      </c>
      <c r="L1505">
        <v>2.3235999999999999</v>
      </c>
      <c r="M1505">
        <v>350.74</v>
      </c>
      <c r="N1505">
        <v>2.3224</v>
      </c>
      <c r="O1505" t="s">
        <v>2168</v>
      </c>
    </row>
    <row r="1506" spans="1:15" x14ac:dyDescent="0.25">
      <c r="A1506" t="s">
        <v>55</v>
      </c>
      <c r="B1506" t="s">
        <v>64</v>
      </c>
      <c r="C1506">
        <v>550</v>
      </c>
      <c r="D1506">
        <v>1025.01</v>
      </c>
      <c r="E1506">
        <v>10</v>
      </c>
      <c r="F1506" t="s">
        <v>13</v>
      </c>
      <c r="G1506" t="s">
        <v>12</v>
      </c>
      <c r="H1506">
        <v>4.4999999999999998E-2</v>
      </c>
      <c r="I1506">
        <v>0.10001</v>
      </c>
      <c r="J1506" t="s">
        <v>10</v>
      </c>
      <c r="K1506">
        <v>5545.6</v>
      </c>
      <c r="L1506">
        <v>0.82077999999999995</v>
      </c>
      <c r="M1506">
        <v>5546.4</v>
      </c>
      <c r="N1506">
        <v>0.81772</v>
      </c>
      <c r="O1506" t="s">
        <v>2171</v>
      </c>
    </row>
    <row r="1507" spans="1:15" x14ac:dyDescent="0.25">
      <c r="A1507" t="s">
        <v>55</v>
      </c>
      <c r="B1507" t="s">
        <v>64</v>
      </c>
      <c r="C1507">
        <v>550</v>
      </c>
      <c r="D1507">
        <v>1030</v>
      </c>
      <c r="E1507">
        <v>10</v>
      </c>
      <c r="F1507" t="s">
        <v>13</v>
      </c>
      <c r="G1507" t="s">
        <v>12</v>
      </c>
      <c r="H1507">
        <v>1</v>
      </c>
      <c r="I1507">
        <v>1.0000100000000001</v>
      </c>
      <c r="J1507" t="s">
        <v>10</v>
      </c>
      <c r="K1507">
        <v>5503.5</v>
      </c>
      <c r="L1507">
        <v>0.96336999999999995</v>
      </c>
      <c r="M1507">
        <v>5504.3</v>
      </c>
      <c r="N1507">
        <v>0.96038000000000001</v>
      </c>
      <c r="O1507" t="s">
        <v>2169</v>
      </c>
    </row>
    <row r="1508" spans="1:15" x14ac:dyDescent="0.25">
      <c r="A1508" t="s">
        <v>55</v>
      </c>
      <c r="B1508" t="s">
        <v>64</v>
      </c>
      <c r="C1508">
        <v>550</v>
      </c>
      <c r="D1508">
        <v>1030</v>
      </c>
      <c r="E1508">
        <v>10</v>
      </c>
      <c r="F1508" t="s">
        <v>13</v>
      </c>
      <c r="G1508" t="s">
        <v>12</v>
      </c>
      <c r="H1508">
        <v>0.1</v>
      </c>
      <c r="I1508">
        <v>1</v>
      </c>
      <c r="J1508" t="s">
        <v>10</v>
      </c>
      <c r="K1508">
        <v>5503.5</v>
      </c>
      <c r="L1508">
        <v>0.96336999999999995</v>
      </c>
      <c r="M1508">
        <v>5504.3</v>
      </c>
      <c r="N1508">
        <v>0.96038000000000001</v>
      </c>
      <c r="O1508" t="s">
        <v>2170</v>
      </c>
    </row>
    <row r="1509" spans="1:15" x14ac:dyDescent="0.25">
      <c r="A1509" t="s">
        <v>55</v>
      </c>
      <c r="B1509" t="s">
        <v>64</v>
      </c>
      <c r="C1509">
        <v>550</v>
      </c>
      <c r="D1509">
        <v>1025.01</v>
      </c>
      <c r="E1509">
        <v>100</v>
      </c>
      <c r="F1509" t="s">
        <v>13</v>
      </c>
      <c r="G1509" t="s">
        <v>12</v>
      </c>
      <c r="H1509">
        <v>4.4999999999999998E-2</v>
      </c>
      <c r="I1509">
        <v>0.10001</v>
      </c>
      <c r="J1509" t="s">
        <v>10</v>
      </c>
      <c r="K1509">
        <v>57972</v>
      </c>
      <c r="L1509">
        <v>8.8607000000000005E-2</v>
      </c>
      <c r="M1509">
        <v>57972</v>
      </c>
      <c r="N1509">
        <v>8.7215000000000001E-2</v>
      </c>
      <c r="O1509" t="s">
        <v>2172</v>
      </c>
    </row>
    <row r="1510" spans="1:15" x14ac:dyDescent="0.25">
      <c r="A1510" t="s">
        <v>55</v>
      </c>
      <c r="B1510" t="s">
        <v>8</v>
      </c>
      <c r="C1510">
        <v>0</v>
      </c>
      <c r="D1510">
        <v>3.3009999999999998E-2</v>
      </c>
      <c r="E1510">
        <v>9.9999999999999995E-7</v>
      </c>
      <c r="F1510" t="s">
        <v>6</v>
      </c>
      <c r="G1510" t="s">
        <v>5</v>
      </c>
      <c r="H1510">
        <v>100</v>
      </c>
      <c r="I1510">
        <v>500</v>
      </c>
      <c r="J1510" t="s">
        <v>10</v>
      </c>
      <c r="K1510">
        <v>89</v>
      </c>
      <c r="L1510">
        <v>11000</v>
      </c>
      <c r="M1510">
        <v>72.86</v>
      </c>
      <c r="N1510">
        <v>11473</v>
      </c>
      <c r="O1510" t="s">
        <v>1954</v>
      </c>
    </row>
    <row r="1511" spans="1:15" x14ac:dyDescent="0.25">
      <c r="A1511" t="s">
        <v>55</v>
      </c>
      <c r="B1511" t="s">
        <v>8</v>
      </c>
      <c r="C1511">
        <v>0</v>
      </c>
      <c r="D1511">
        <v>3.3009999999999998E-2</v>
      </c>
      <c r="E1511">
        <v>9.9999999999999995E-7</v>
      </c>
      <c r="F1511" t="s">
        <v>6</v>
      </c>
      <c r="G1511" t="s">
        <v>5</v>
      </c>
      <c r="H1511">
        <v>4.4999999999999998E-2</v>
      </c>
      <c r="I1511">
        <v>10.00001</v>
      </c>
      <c r="J1511" t="s">
        <v>10</v>
      </c>
      <c r="K1511">
        <v>24</v>
      </c>
      <c r="L1511">
        <v>1200</v>
      </c>
      <c r="M1511">
        <v>23.184999999999999</v>
      </c>
      <c r="N1511">
        <v>1155.4000000000001</v>
      </c>
      <c r="O1511" t="s">
        <v>1956</v>
      </c>
    </row>
    <row r="1512" spans="1:15" x14ac:dyDescent="0.25">
      <c r="A1512" t="s">
        <v>55</v>
      </c>
      <c r="B1512" t="s">
        <v>8</v>
      </c>
      <c r="C1512">
        <v>0</v>
      </c>
      <c r="D1512">
        <v>3.3009999999999998E-2</v>
      </c>
      <c r="E1512">
        <v>9.9999999999999995E-7</v>
      </c>
      <c r="F1512" t="s">
        <v>6</v>
      </c>
      <c r="G1512" t="s">
        <v>5</v>
      </c>
      <c r="H1512">
        <v>50</v>
      </c>
      <c r="I1512">
        <v>100</v>
      </c>
      <c r="J1512" t="s">
        <v>10</v>
      </c>
      <c r="K1512">
        <v>40</v>
      </c>
      <c r="L1512">
        <v>4000</v>
      </c>
      <c r="M1512">
        <v>38.936999999999998</v>
      </c>
      <c r="N1512">
        <v>4027</v>
      </c>
      <c r="O1512" t="s">
        <v>2679</v>
      </c>
    </row>
    <row r="1513" spans="1:15" x14ac:dyDescent="0.25">
      <c r="A1513" t="s">
        <v>55</v>
      </c>
      <c r="B1513" t="s">
        <v>8</v>
      </c>
      <c r="C1513">
        <v>0</v>
      </c>
      <c r="D1513">
        <v>3.3009999999999998E-2</v>
      </c>
      <c r="E1513">
        <v>9.9999999999999995E-7</v>
      </c>
      <c r="F1513" t="s">
        <v>6</v>
      </c>
      <c r="G1513" t="s">
        <v>5</v>
      </c>
      <c r="H1513">
        <v>0.01</v>
      </c>
      <c r="I1513">
        <v>4.5010000000000001E-2</v>
      </c>
      <c r="J1513" t="s">
        <v>10</v>
      </c>
      <c r="K1513">
        <v>25</v>
      </c>
      <c r="L1513">
        <v>1700</v>
      </c>
      <c r="M1513">
        <v>23.181000000000001</v>
      </c>
      <c r="N1513">
        <v>1732</v>
      </c>
      <c r="O1513" t="s">
        <v>1953</v>
      </c>
    </row>
    <row r="1514" spans="1:15" x14ac:dyDescent="0.25">
      <c r="A1514" t="s">
        <v>55</v>
      </c>
      <c r="B1514" t="s">
        <v>8</v>
      </c>
      <c r="C1514">
        <v>0</v>
      </c>
      <c r="D1514">
        <v>3.3009999999999998E-2</v>
      </c>
      <c r="E1514">
        <v>9.9999999999999995E-7</v>
      </c>
      <c r="F1514" t="s">
        <v>6</v>
      </c>
      <c r="G1514" t="s">
        <v>5</v>
      </c>
      <c r="H1514">
        <v>500</v>
      </c>
      <c r="I1514">
        <v>501</v>
      </c>
      <c r="J1514" t="s">
        <v>10</v>
      </c>
      <c r="K1514">
        <v>89</v>
      </c>
      <c r="L1514">
        <v>11000</v>
      </c>
      <c r="M1514">
        <v>72.86</v>
      </c>
      <c r="N1514">
        <v>11473</v>
      </c>
      <c r="O1514" t="s">
        <v>2677</v>
      </c>
    </row>
    <row r="1515" spans="1:15" x14ac:dyDescent="0.25">
      <c r="A1515" t="s">
        <v>55</v>
      </c>
      <c r="B1515" t="s">
        <v>8</v>
      </c>
      <c r="C1515">
        <v>0</v>
      </c>
      <c r="D1515">
        <v>3.3009999999999998E-2</v>
      </c>
      <c r="E1515">
        <v>9.9999999999999995E-7</v>
      </c>
      <c r="F1515" t="s">
        <v>6</v>
      </c>
      <c r="G1515" t="s">
        <v>5</v>
      </c>
      <c r="H1515">
        <v>20</v>
      </c>
      <c r="I1515">
        <v>50.01</v>
      </c>
      <c r="J1515" t="s">
        <v>10</v>
      </c>
      <c r="K1515">
        <v>24</v>
      </c>
      <c r="L1515">
        <v>2300</v>
      </c>
      <c r="M1515">
        <v>23.565000000000001</v>
      </c>
      <c r="N1515">
        <v>2300.9</v>
      </c>
      <c r="O1515" t="s">
        <v>1955</v>
      </c>
    </row>
    <row r="1516" spans="1:15" x14ac:dyDescent="0.25">
      <c r="A1516" t="s">
        <v>55</v>
      </c>
      <c r="B1516" t="s">
        <v>8</v>
      </c>
      <c r="C1516">
        <v>0</v>
      </c>
      <c r="D1516">
        <v>3.3009999999999998E-2</v>
      </c>
      <c r="E1516">
        <v>9.9999999999999995E-7</v>
      </c>
      <c r="F1516" t="s">
        <v>6</v>
      </c>
      <c r="G1516" t="s">
        <v>5</v>
      </c>
      <c r="H1516">
        <v>10</v>
      </c>
      <c r="I1516">
        <v>20.010000000000002</v>
      </c>
      <c r="J1516" t="s">
        <v>10</v>
      </c>
      <c r="K1516">
        <v>25</v>
      </c>
      <c r="L1516">
        <v>1700</v>
      </c>
      <c r="M1516">
        <v>23.181000000000001</v>
      </c>
      <c r="N1516">
        <v>1732</v>
      </c>
      <c r="O1516" t="s">
        <v>2678</v>
      </c>
    </row>
    <row r="1517" spans="1:15" x14ac:dyDescent="0.25">
      <c r="A1517" t="s">
        <v>55</v>
      </c>
      <c r="B1517" t="s">
        <v>8</v>
      </c>
      <c r="C1517">
        <v>0</v>
      </c>
      <c r="D1517">
        <v>3.3009999999999998E-2</v>
      </c>
      <c r="E1517">
        <v>1.0000000000000001E-5</v>
      </c>
      <c r="F1517" t="s">
        <v>6</v>
      </c>
      <c r="G1517" t="s">
        <v>5</v>
      </c>
      <c r="H1517">
        <v>50</v>
      </c>
      <c r="I1517">
        <v>100.01</v>
      </c>
      <c r="J1517" t="s">
        <v>10</v>
      </c>
      <c r="K1517">
        <v>40</v>
      </c>
      <c r="L1517">
        <v>4017.5</v>
      </c>
      <c r="M1517">
        <v>39.332000000000001</v>
      </c>
      <c r="N1517">
        <v>4018</v>
      </c>
      <c r="O1517" t="s">
        <v>1957</v>
      </c>
    </row>
    <row r="1518" spans="1:15" x14ac:dyDescent="0.25">
      <c r="A1518" t="s">
        <v>55</v>
      </c>
      <c r="B1518" t="s">
        <v>8</v>
      </c>
      <c r="C1518">
        <v>0</v>
      </c>
      <c r="D1518">
        <v>3.3009999999999998E-2</v>
      </c>
      <c r="E1518">
        <v>1.0000000000000001E-5</v>
      </c>
      <c r="F1518" t="s">
        <v>6</v>
      </c>
      <c r="G1518" t="s">
        <v>5</v>
      </c>
      <c r="H1518">
        <v>10</v>
      </c>
      <c r="I1518">
        <v>20.010000000000002</v>
      </c>
      <c r="J1518" t="s">
        <v>10</v>
      </c>
      <c r="K1518">
        <v>25</v>
      </c>
      <c r="L1518">
        <v>1718.2</v>
      </c>
      <c r="M1518">
        <v>23.853999999999999</v>
      </c>
      <c r="N1518">
        <v>1717.9</v>
      </c>
      <c r="O1518" t="s">
        <v>1958</v>
      </c>
    </row>
    <row r="1519" spans="1:15" x14ac:dyDescent="0.25">
      <c r="A1519" t="s">
        <v>55</v>
      </c>
      <c r="B1519" t="s">
        <v>8</v>
      </c>
      <c r="C1519">
        <v>0</v>
      </c>
      <c r="D1519">
        <v>3.3009999999999998E-2</v>
      </c>
      <c r="E1519">
        <v>1.0000000000000001E-5</v>
      </c>
      <c r="F1519" t="s">
        <v>6</v>
      </c>
      <c r="G1519" t="s">
        <v>5</v>
      </c>
      <c r="H1519">
        <v>500</v>
      </c>
      <c r="I1519">
        <v>501</v>
      </c>
      <c r="J1519" t="s">
        <v>10</v>
      </c>
      <c r="K1519">
        <v>89</v>
      </c>
      <c r="L1519">
        <v>11468</v>
      </c>
      <c r="M1519">
        <v>73.063000000000002</v>
      </c>
      <c r="N1519">
        <v>11468</v>
      </c>
      <c r="O1519" t="s">
        <v>1959</v>
      </c>
    </row>
    <row r="1520" spans="1:15" x14ac:dyDescent="0.25">
      <c r="A1520" t="s">
        <v>55</v>
      </c>
      <c r="B1520" t="s">
        <v>8</v>
      </c>
      <c r="C1520">
        <v>0</v>
      </c>
      <c r="D1520">
        <v>3.3009999999999998E-2</v>
      </c>
      <c r="E1520">
        <v>1.0000000000000001E-5</v>
      </c>
      <c r="F1520" t="s">
        <v>6</v>
      </c>
      <c r="G1520" t="s">
        <v>5</v>
      </c>
      <c r="H1520">
        <v>0.01</v>
      </c>
      <c r="I1520">
        <v>4.5010000000000001E-2</v>
      </c>
      <c r="J1520" t="s">
        <v>10</v>
      </c>
      <c r="K1520">
        <v>25</v>
      </c>
      <c r="L1520">
        <v>1718.2</v>
      </c>
      <c r="M1520">
        <v>23.853999999999999</v>
      </c>
      <c r="N1520">
        <v>1717.9</v>
      </c>
      <c r="O1520" t="s">
        <v>1961</v>
      </c>
    </row>
    <row r="1521" spans="1:15" x14ac:dyDescent="0.25">
      <c r="A1521" t="s">
        <v>55</v>
      </c>
      <c r="B1521" t="s">
        <v>8</v>
      </c>
      <c r="C1521">
        <v>0</v>
      </c>
      <c r="D1521">
        <v>3.3009999999999998E-2</v>
      </c>
      <c r="E1521">
        <v>1.0000000000000001E-5</v>
      </c>
      <c r="F1521" t="s">
        <v>6</v>
      </c>
      <c r="G1521" t="s">
        <v>5</v>
      </c>
      <c r="H1521">
        <v>100</v>
      </c>
      <c r="I1521">
        <v>500</v>
      </c>
      <c r="J1521" t="s">
        <v>10</v>
      </c>
      <c r="K1521">
        <v>89</v>
      </c>
      <c r="L1521">
        <v>11468</v>
      </c>
      <c r="M1521">
        <v>73.063000000000002</v>
      </c>
      <c r="N1521">
        <v>11468</v>
      </c>
      <c r="O1521" t="s">
        <v>1962</v>
      </c>
    </row>
    <row r="1522" spans="1:15" x14ac:dyDescent="0.25">
      <c r="A1522" t="s">
        <v>55</v>
      </c>
      <c r="B1522" t="s">
        <v>8</v>
      </c>
      <c r="C1522">
        <v>0</v>
      </c>
      <c r="D1522">
        <v>3.3009999999999998E-2</v>
      </c>
      <c r="E1522">
        <v>1.0000000000000001E-5</v>
      </c>
      <c r="F1522" t="s">
        <v>6</v>
      </c>
      <c r="G1522" t="s">
        <v>5</v>
      </c>
      <c r="H1522">
        <v>4.4999999999999998E-2</v>
      </c>
      <c r="I1522">
        <v>10.00001</v>
      </c>
      <c r="J1522" t="s">
        <v>10</v>
      </c>
      <c r="K1522">
        <v>24</v>
      </c>
      <c r="L1522">
        <v>1143.4000000000001</v>
      </c>
      <c r="M1522">
        <v>23.87</v>
      </c>
      <c r="N1522">
        <v>1142.8</v>
      </c>
      <c r="O1522" t="s">
        <v>2680</v>
      </c>
    </row>
    <row r="1523" spans="1:15" x14ac:dyDescent="0.25">
      <c r="A1523" t="s">
        <v>55</v>
      </c>
      <c r="B1523" t="s">
        <v>8</v>
      </c>
      <c r="C1523">
        <v>0</v>
      </c>
      <c r="D1523">
        <v>3.3009999999999998E-2</v>
      </c>
      <c r="E1523">
        <v>1.0000000000000001E-5</v>
      </c>
      <c r="F1523" t="s">
        <v>6</v>
      </c>
      <c r="G1523" t="s">
        <v>5</v>
      </c>
      <c r="H1523">
        <v>20</v>
      </c>
      <c r="I1523">
        <v>50.01</v>
      </c>
      <c r="J1523" t="s">
        <v>10</v>
      </c>
      <c r="K1523">
        <v>24.224</v>
      </c>
      <c r="L1523">
        <v>2286.5</v>
      </c>
      <c r="M1523">
        <v>24.216000000000001</v>
      </c>
      <c r="N1523">
        <v>2286.3000000000002</v>
      </c>
      <c r="O1523" t="s">
        <v>1960</v>
      </c>
    </row>
    <row r="1524" spans="1:15" x14ac:dyDescent="0.25">
      <c r="A1524" t="s">
        <v>55</v>
      </c>
      <c r="B1524" t="s">
        <v>8</v>
      </c>
      <c r="C1524">
        <v>0</v>
      </c>
      <c r="D1524">
        <v>3.3009999999999998E-2</v>
      </c>
      <c r="E1524">
        <v>1E-4</v>
      </c>
      <c r="F1524" t="s">
        <v>6</v>
      </c>
      <c r="G1524" t="s">
        <v>5</v>
      </c>
      <c r="H1524">
        <v>100</v>
      </c>
      <c r="I1524">
        <v>500</v>
      </c>
      <c r="J1524" t="s">
        <v>10</v>
      </c>
      <c r="K1524">
        <v>91.463999999999999</v>
      </c>
      <c r="L1524">
        <v>11024</v>
      </c>
      <c r="M1524">
        <v>91.322000000000003</v>
      </c>
      <c r="N1524">
        <v>11026</v>
      </c>
      <c r="O1524" t="s">
        <v>1966</v>
      </c>
    </row>
    <row r="1525" spans="1:15" x14ac:dyDescent="0.25">
      <c r="A1525" t="s">
        <v>55</v>
      </c>
      <c r="B1525" t="s">
        <v>8</v>
      </c>
      <c r="C1525">
        <v>0</v>
      </c>
      <c r="D1525">
        <v>3.3009999999999998E-2</v>
      </c>
      <c r="E1525">
        <v>1E-4</v>
      </c>
      <c r="F1525" t="s">
        <v>6</v>
      </c>
      <c r="G1525" t="s">
        <v>5</v>
      </c>
      <c r="H1525">
        <v>0.01</v>
      </c>
      <c r="I1525">
        <v>4.5010000000000001E-2</v>
      </c>
      <c r="J1525" t="s">
        <v>10</v>
      </c>
      <c r="K1525">
        <v>62.01</v>
      </c>
      <c r="L1525">
        <v>1125.5</v>
      </c>
      <c r="M1525">
        <v>61.999000000000002</v>
      </c>
      <c r="N1525">
        <v>1123.8</v>
      </c>
      <c r="O1525" t="s">
        <v>1965</v>
      </c>
    </row>
    <row r="1526" spans="1:15" x14ac:dyDescent="0.25">
      <c r="A1526" t="s">
        <v>55</v>
      </c>
      <c r="B1526" t="s">
        <v>8</v>
      </c>
      <c r="C1526">
        <v>0</v>
      </c>
      <c r="D1526">
        <v>3.3009999999999998E-2</v>
      </c>
      <c r="E1526">
        <v>1E-4</v>
      </c>
      <c r="F1526" t="s">
        <v>6</v>
      </c>
      <c r="G1526" t="s">
        <v>5</v>
      </c>
      <c r="H1526">
        <v>10</v>
      </c>
      <c r="I1526">
        <v>20.010000000000002</v>
      </c>
      <c r="J1526" t="s">
        <v>10</v>
      </c>
      <c r="K1526">
        <v>62.01</v>
      </c>
      <c r="L1526">
        <v>1125.5</v>
      </c>
      <c r="M1526">
        <v>61.999000000000002</v>
      </c>
      <c r="N1526">
        <v>1123.8</v>
      </c>
      <c r="O1526" t="s">
        <v>1967</v>
      </c>
    </row>
    <row r="1527" spans="1:15" x14ac:dyDescent="0.25">
      <c r="A1527" t="s">
        <v>55</v>
      </c>
      <c r="B1527" t="s">
        <v>8</v>
      </c>
      <c r="C1527">
        <v>0</v>
      </c>
      <c r="D1527">
        <v>3.3009999999999998E-2</v>
      </c>
      <c r="E1527">
        <v>1E-4</v>
      </c>
      <c r="F1527" t="s">
        <v>6</v>
      </c>
      <c r="G1527" t="s">
        <v>5</v>
      </c>
      <c r="H1527">
        <v>500</v>
      </c>
      <c r="I1527">
        <v>501</v>
      </c>
      <c r="J1527" t="s">
        <v>10</v>
      </c>
      <c r="K1527">
        <v>91.463999999999999</v>
      </c>
      <c r="L1527">
        <v>11024</v>
      </c>
      <c r="M1527">
        <v>91.322000000000003</v>
      </c>
      <c r="N1527">
        <v>11026</v>
      </c>
      <c r="O1527" t="s">
        <v>1969</v>
      </c>
    </row>
    <row r="1528" spans="1:15" x14ac:dyDescent="0.25">
      <c r="A1528" t="s">
        <v>55</v>
      </c>
      <c r="B1528" t="s">
        <v>8</v>
      </c>
      <c r="C1528">
        <v>0</v>
      </c>
      <c r="D1528">
        <v>3.3009999999999998E-2</v>
      </c>
      <c r="E1528">
        <v>1E-4</v>
      </c>
      <c r="F1528" t="s">
        <v>6</v>
      </c>
      <c r="G1528" t="s">
        <v>5</v>
      </c>
      <c r="H1528">
        <v>4.4999999999999998E-2</v>
      </c>
      <c r="I1528">
        <v>10.00001</v>
      </c>
      <c r="J1528" t="s">
        <v>10</v>
      </c>
      <c r="K1528">
        <v>62.237000000000002</v>
      </c>
      <c r="L1528">
        <v>673.84</v>
      </c>
      <c r="M1528">
        <v>62.225000000000001</v>
      </c>
      <c r="N1528">
        <v>671.86</v>
      </c>
      <c r="O1528" t="s">
        <v>1964</v>
      </c>
    </row>
    <row r="1529" spans="1:15" x14ac:dyDescent="0.25">
      <c r="A1529" t="s">
        <v>55</v>
      </c>
      <c r="B1529" t="s">
        <v>8</v>
      </c>
      <c r="C1529">
        <v>0</v>
      </c>
      <c r="D1529">
        <v>3.3009999999999998E-2</v>
      </c>
      <c r="E1529">
        <v>1E-4</v>
      </c>
      <c r="F1529" t="s">
        <v>6</v>
      </c>
      <c r="G1529" t="s">
        <v>5</v>
      </c>
      <c r="H1529">
        <v>20</v>
      </c>
      <c r="I1529">
        <v>50.01</v>
      </c>
      <c r="J1529" t="s">
        <v>10</v>
      </c>
      <c r="K1529">
        <v>61.904000000000003</v>
      </c>
      <c r="L1529">
        <v>1615.7</v>
      </c>
      <c r="M1529">
        <v>61.89</v>
      </c>
      <c r="N1529">
        <v>1614.4</v>
      </c>
      <c r="O1529" t="s">
        <v>1968</v>
      </c>
    </row>
    <row r="1530" spans="1:15" x14ac:dyDescent="0.25">
      <c r="A1530" t="s">
        <v>55</v>
      </c>
      <c r="B1530" t="s">
        <v>8</v>
      </c>
      <c r="C1530">
        <v>0</v>
      </c>
      <c r="D1530">
        <v>3.3009999999999998E-2</v>
      </c>
      <c r="E1530">
        <v>1E-4</v>
      </c>
      <c r="F1530" t="s">
        <v>6</v>
      </c>
      <c r="G1530" t="s">
        <v>5</v>
      </c>
      <c r="H1530">
        <v>50</v>
      </c>
      <c r="I1530">
        <v>100.01</v>
      </c>
      <c r="J1530" t="s">
        <v>10</v>
      </c>
      <c r="K1530">
        <v>68.858000000000004</v>
      </c>
      <c r="L1530">
        <v>3411.4</v>
      </c>
      <c r="M1530">
        <v>68.766000000000005</v>
      </c>
      <c r="N1530">
        <v>3411.7</v>
      </c>
      <c r="O1530" t="s">
        <v>1963</v>
      </c>
    </row>
    <row r="1531" spans="1:15" x14ac:dyDescent="0.25">
      <c r="A1531" t="s">
        <v>55</v>
      </c>
      <c r="B1531" t="s">
        <v>8</v>
      </c>
      <c r="C1531">
        <v>0</v>
      </c>
      <c r="D1531">
        <v>3.3009999999999998E-2</v>
      </c>
      <c r="E1531">
        <v>1E-3</v>
      </c>
      <c r="F1531" t="s">
        <v>6</v>
      </c>
      <c r="G1531" t="s">
        <v>5</v>
      </c>
      <c r="H1531">
        <v>50</v>
      </c>
      <c r="I1531">
        <v>100.01</v>
      </c>
      <c r="J1531" t="s">
        <v>10</v>
      </c>
      <c r="K1531">
        <v>580.9</v>
      </c>
      <c r="L1531">
        <v>730.69</v>
      </c>
      <c r="M1531">
        <v>580.86</v>
      </c>
      <c r="N1531">
        <v>729</v>
      </c>
      <c r="O1531" t="s">
        <v>1972</v>
      </c>
    </row>
    <row r="1532" spans="1:15" x14ac:dyDescent="0.25">
      <c r="A1532" t="s">
        <v>55</v>
      </c>
      <c r="B1532" t="s">
        <v>8</v>
      </c>
      <c r="C1532">
        <v>0</v>
      </c>
      <c r="D1532">
        <v>3.3009999999999998E-2</v>
      </c>
      <c r="E1532">
        <v>1E-3</v>
      </c>
      <c r="F1532" t="s">
        <v>6</v>
      </c>
      <c r="G1532" t="s">
        <v>5</v>
      </c>
      <c r="H1532">
        <v>4.4999999999999998E-2</v>
      </c>
      <c r="I1532">
        <v>10.00001</v>
      </c>
      <c r="J1532" t="s">
        <v>10</v>
      </c>
      <c r="K1532">
        <v>580.42999999999995</v>
      </c>
      <c r="L1532">
        <v>86.247</v>
      </c>
      <c r="M1532">
        <v>580.42999999999995</v>
      </c>
      <c r="N1532">
        <v>85.036000000000001</v>
      </c>
      <c r="O1532" t="s">
        <v>1970</v>
      </c>
    </row>
    <row r="1533" spans="1:15" x14ac:dyDescent="0.25">
      <c r="A1533" t="s">
        <v>55</v>
      </c>
      <c r="B1533" t="s">
        <v>8</v>
      </c>
      <c r="C1533">
        <v>0</v>
      </c>
      <c r="D1533">
        <v>3.3009999999999998E-2</v>
      </c>
      <c r="E1533">
        <v>1E-3</v>
      </c>
      <c r="F1533" t="s">
        <v>6</v>
      </c>
      <c r="G1533" t="s">
        <v>5</v>
      </c>
      <c r="H1533">
        <v>500</v>
      </c>
      <c r="I1533">
        <v>501</v>
      </c>
      <c r="J1533" t="s">
        <v>10</v>
      </c>
      <c r="K1533">
        <v>581.54</v>
      </c>
      <c r="L1533">
        <v>4655.8999999999996</v>
      </c>
      <c r="M1533">
        <v>581.45000000000005</v>
      </c>
      <c r="N1533">
        <v>4653.2</v>
      </c>
      <c r="O1533" t="s">
        <v>1974</v>
      </c>
    </row>
    <row r="1534" spans="1:15" x14ac:dyDescent="0.25">
      <c r="A1534" t="s">
        <v>55</v>
      </c>
      <c r="B1534" t="s">
        <v>8</v>
      </c>
      <c r="C1534">
        <v>0</v>
      </c>
      <c r="D1534">
        <v>3.3009999999999998E-2</v>
      </c>
      <c r="E1534">
        <v>1E-3</v>
      </c>
      <c r="F1534" t="s">
        <v>6</v>
      </c>
      <c r="G1534" t="s">
        <v>5</v>
      </c>
      <c r="H1534">
        <v>100</v>
      </c>
      <c r="I1534">
        <v>500</v>
      </c>
      <c r="J1534" t="s">
        <v>10</v>
      </c>
      <c r="K1534">
        <v>581.54</v>
      </c>
      <c r="L1534">
        <v>4655.8999999999996</v>
      </c>
      <c r="M1534">
        <v>581.45000000000005</v>
      </c>
      <c r="N1534">
        <v>4653.2</v>
      </c>
      <c r="O1534" t="s">
        <v>1973</v>
      </c>
    </row>
    <row r="1535" spans="1:15" x14ac:dyDescent="0.25">
      <c r="A1535" t="s">
        <v>55</v>
      </c>
      <c r="B1535" t="s">
        <v>8</v>
      </c>
      <c r="C1535">
        <v>0</v>
      </c>
      <c r="D1535">
        <v>3.3009999999999998E-2</v>
      </c>
      <c r="E1535">
        <v>1E-3</v>
      </c>
      <c r="F1535" t="s">
        <v>6</v>
      </c>
      <c r="G1535" t="s">
        <v>5</v>
      </c>
      <c r="H1535">
        <v>0.01</v>
      </c>
      <c r="I1535">
        <v>4.5010000000000001E-2</v>
      </c>
      <c r="J1535" t="s">
        <v>10</v>
      </c>
      <c r="K1535">
        <v>580.38</v>
      </c>
      <c r="L1535">
        <v>157.54</v>
      </c>
      <c r="M1535">
        <v>580.38</v>
      </c>
      <c r="N1535">
        <v>156.33000000000001</v>
      </c>
      <c r="O1535" t="s">
        <v>1976</v>
      </c>
    </row>
    <row r="1536" spans="1:15" x14ac:dyDescent="0.25">
      <c r="A1536" t="s">
        <v>55</v>
      </c>
      <c r="B1536" t="s">
        <v>8</v>
      </c>
      <c r="C1536">
        <v>0</v>
      </c>
      <c r="D1536">
        <v>3.3009999999999998E-2</v>
      </c>
      <c r="E1536">
        <v>1E-3</v>
      </c>
      <c r="F1536" t="s">
        <v>6</v>
      </c>
      <c r="G1536" t="s">
        <v>5</v>
      </c>
      <c r="H1536">
        <v>10</v>
      </c>
      <c r="I1536">
        <v>20.010000000000002</v>
      </c>
      <c r="J1536" t="s">
        <v>10</v>
      </c>
      <c r="K1536">
        <v>580.38</v>
      </c>
      <c r="L1536">
        <v>157.54</v>
      </c>
      <c r="M1536">
        <v>580.38</v>
      </c>
      <c r="N1536">
        <v>156.33000000000001</v>
      </c>
      <c r="O1536" t="s">
        <v>1975</v>
      </c>
    </row>
    <row r="1537" spans="1:15" x14ac:dyDescent="0.25">
      <c r="A1537" t="s">
        <v>55</v>
      </c>
      <c r="B1537" t="s">
        <v>8</v>
      </c>
      <c r="C1537">
        <v>0</v>
      </c>
      <c r="D1537">
        <v>3.3009999999999998E-2</v>
      </c>
      <c r="E1537">
        <v>1E-3</v>
      </c>
      <c r="F1537" t="s">
        <v>6</v>
      </c>
      <c r="G1537" t="s">
        <v>5</v>
      </c>
      <c r="H1537">
        <v>20</v>
      </c>
      <c r="I1537">
        <v>50.01</v>
      </c>
      <c r="J1537" t="s">
        <v>10</v>
      </c>
      <c r="K1537">
        <v>580.34</v>
      </c>
      <c r="L1537">
        <v>247.93</v>
      </c>
      <c r="M1537">
        <v>580.33000000000004</v>
      </c>
      <c r="N1537">
        <v>246.73</v>
      </c>
      <c r="O1537" t="s">
        <v>1971</v>
      </c>
    </row>
    <row r="1538" spans="1:15" x14ac:dyDescent="0.25">
      <c r="A1538" t="s">
        <v>55</v>
      </c>
      <c r="B1538" t="s">
        <v>8</v>
      </c>
      <c r="C1538">
        <v>0</v>
      </c>
      <c r="D1538">
        <v>3.3009999999999998E-2</v>
      </c>
      <c r="E1538">
        <v>0.01</v>
      </c>
      <c r="F1538" t="s">
        <v>6</v>
      </c>
      <c r="G1538" t="s">
        <v>5</v>
      </c>
      <c r="H1538">
        <v>500</v>
      </c>
      <c r="I1538">
        <v>501</v>
      </c>
      <c r="J1538" t="s">
        <v>10</v>
      </c>
      <c r="K1538">
        <v>5800.1</v>
      </c>
      <c r="L1538">
        <v>530.77</v>
      </c>
      <c r="M1538">
        <v>5800.1</v>
      </c>
      <c r="N1538">
        <v>529.12</v>
      </c>
      <c r="O1538" t="s">
        <v>1977</v>
      </c>
    </row>
    <row r="1539" spans="1:15" x14ac:dyDescent="0.25">
      <c r="A1539" t="s">
        <v>55</v>
      </c>
      <c r="B1539" t="s">
        <v>8</v>
      </c>
      <c r="C1539">
        <v>0</v>
      </c>
      <c r="D1539">
        <v>3.3009999999999998E-2</v>
      </c>
      <c r="E1539">
        <v>0.01</v>
      </c>
      <c r="F1539" t="s">
        <v>6</v>
      </c>
      <c r="G1539" t="s">
        <v>5</v>
      </c>
      <c r="H1539">
        <v>10</v>
      </c>
      <c r="I1539">
        <v>20.010000000000002</v>
      </c>
      <c r="J1539" t="s">
        <v>10</v>
      </c>
      <c r="K1539">
        <v>5800</v>
      </c>
      <c r="L1539">
        <v>16.202000000000002</v>
      </c>
      <c r="M1539">
        <v>5800</v>
      </c>
      <c r="N1539">
        <v>15.714</v>
      </c>
      <c r="O1539" t="s">
        <v>1978</v>
      </c>
    </row>
    <row r="1540" spans="1:15" x14ac:dyDescent="0.25">
      <c r="A1540" t="s">
        <v>55</v>
      </c>
      <c r="B1540" t="s">
        <v>8</v>
      </c>
      <c r="C1540">
        <v>0</v>
      </c>
      <c r="D1540">
        <v>3.3009999999999998E-2</v>
      </c>
      <c r="E1540">
        <v>0.01</v>
      </c>
      <c r="F1540" t="s">
        <v>6</v>
      </c>
      <c r="G1540" t="s">
        <v>5</v>
      </c>
      <c r="H1540">
        <v>0.01</v>
      </c>
      <c r="I1540">
        <v>4.5010000000000001E-2</v>
      </c>
      <c r="J1540" t="s">
        <v>10</v>
      </c>
      <c r="K1540">
        <v>5800</v>
      </c>
      <c r="L1540">
        <v>16.202000000000002</v>
      </c>
      <c r="M1540">
        <v>5800</v>
      </c>
      <c r="N1540">
        <v>15.714</v>
      </c>
      <c r="O1540" t="s">
        <v>1981</v>
      </c>
    </row>
    <row r="1541" spans="1:15" x14ac:dyDescent="0.25">
      <c r="A1541" t="s">
        <v>55</v>
      </c>
      <c r="B1541" t="s">
        <v>8</v>
      </c>
      <c r="C1541">
        <v>0</v>
      </c>
      <c r="D1541">
        <v>3.3009999999999998E-2</v>
      </c>
      <c r="E1541">
        <v>0.01</v>
      </c>
      <c r="F1541" t="s">
        <v>6</v>
      </c>
      <c r="G1541" t="s">
        <v>5</v>
      </c>
      <c r="H1541">
        <v>100</v>
      </c>
      <c r="I1541">
        <v>500</v>
      </c>
      <c r="J1541" t="s">
        <v>10</v>
      </c>
      <c r="K1541">
        <v>5800.1</v>
      </c>
      <c r="L1541">
        <v>530.77</v>
      </c>
      <c r="M1541">
        <v>5800.1</v>
      </c>
      <c r="N1541">
        <v>529.12</v>
      </c>
      <c r="O1541" t="s">
        <v>2682</v>
      </c>
    </row>
    <row r="1542" spans="1:15" x14ac:dyDescent="0.25">
      <c r="A1542" t="s">
        <v>55</v>
      </c>
      <c r="B1542" t="s">
        <v>8</v>
      </c>
      <c r="C1542">
        <v>0</v>
      </c>
      <c r="D1542">
        <v>3.3009999999999998E-2</v>
      </c>
      <c r="E1542">
        <v>0.01</v>
      </c>
      <c r="F1542" t="s">
        <v>6</v>
      </c>
      <c r="G1542" t="s">
        <v>5</v>
      </c>
      <c r="H1542">
        <v>50</v>
      </c>
      <c r="I1542">
        <v>100.01</v>
      </c>
      <c r="J1542" t="s">
        <v>10</v>
      </c>
      <c r="K1542">
        <v>5800.1</v>
      </c>
      <c r="L1542">
        <v>75.275000000000006</v>
      </c>
      <c r="M1542">
        <v>5800.1</v>
      </c>
      <c r="N1542">
        <v>74.549000000000007</v>
      </c>
      <c r="O1542" t="s">
        <v>1980</v>
      </c>
    </row>
    <row r="1543" spans="1:15" x14ac:dyDescent="0.25">
      <c r="A1543" t="s">
        <v>55</v>
      </c>
      <c r="B1543" t="s">
        <v>8</v>
      </c>
      <c r="C1543">
        <v>0</v>
      </c>
      <c r="D1543">
        <v>3.3009999999999998E-2</v>
      </c>
      <c r="E1543">
        <v>0.01</v>
      </c>
      <c r="F1543" t="s">
        <v>6</v>
      </c>
      <c r="G1543" t="s">
        <v>5</v>
      </c>
      <c r="H1543">
        <v>4.4999999999999998E-2</v>
      </c>
      <c r="I1543">
        <v>10.00001</v>
      </c>
      <c r="J1543" t="s">
        <v>10</v>
      </c>
      <c r="K1543">
        <v>5800.1</v>
      </c>
      <c r="L1543">
        <v>9.0181000000000004</v>
      </c>
      <c r="M1543">
        <v>5800.1</v>
      </c>
      <c r="N1543">
        <v>8.5306999999999995</v>
      </c>
      <c r="O1543" t="s">
        <v>2681</v>
      </c>
    </row>
    <row r="1544" spans="1:15" x14ac:dyDescent="0.25">
      <c r="A1544" t="s">
        <v>55</v>
      </c>
      <c r="B1544" t="s">
        <v>8</v>
      </c>
      <c r="C1544">
        <v>0</v>
      </c>
      <c r="D1544">
        <v>3.3009999999999998E-2</v>
      </c>
      <c r="E1544">
        <v>0.01</v>
      </c>
      <c r="F1544" t="s">
        <v>6</v>
      </c>
      <c r="G1544" t="s">
        <v>5</v>
      </c>
      <c r="H1544">
        <v>20</v>
      </c>
      <c r="I1544">
        <v>50.01</v>
      </c>
      <c r="J1544" t="s">
        <v>10</v>
      </c>
      <c r="K1544">
        <v>5800</v>
      </c>
      <c r="L1544">
        <v>25.350999999999999</v>
      </c>
      <c r="M1544">
        <v>5800</v>
      </c>
      <c r="N1544">
        <v>24.864000000000001</v>
      </c>
      <c r="O1544" t="s">
        <v>1979</v>
      </c>
    </row>
    <row r="1545" spans="1:15" x14ac:dyDescent="0.25">
      <c r="A1545" t="s">
        <v>55</v>
      </c>
      <c r="B1545" t="s">
        <v>8</v>
      </c>
      <c r="C1545">
        <v>0</v>
      </c>
      <c r="D1545">
        <v>3.3009999999999998E-2</v>
      </c>
      <c r="E1545">
        <v>0.1</v>
      </c>
      <c r="F1545" t="s">
        <v>6</v>
      </c>
      <c r="G1545" t="s">
        <v>5</v>
      </c>
      <c r="H1545">
        <v>500</v>
      </c>
      <c r="I1545">
        <v>501</v>
      </c>
      <c r="J1545" t="s">
        <v>10</v>
      </c>
      <c r="K1545">
        <v>58000</v>
      </c>
      <c r="L1545">
        <v>53.658999999999999</v>
      </c>
      <c r="M1545">
        <v>58000</v>
      </c>
      <c r="N1545">
        <v>52.994</v>
      </c>
      <c r="O1545" t="s">
        <v>1987</v>
      </c>
    </row>
    <row r="1546" spans="1:15" x14ac:dyDescent="0.25">
      <c r="A1546" t="s">
        <v>55</v>
      </c>
      <c r="B1546" t="s">
        <v>8</v>
      </c>
      <c r="C1546">
        <v>0</v>
      </c>
      <c r="D1546">
        <v>3.3009999999999998E-2</v>
      </c>
      <c r="E1546">
        <v>0.1</v>
      </c>
      <c r="F1546" t="s">
        <v>6</v>
      </c>
      <c r="G1546" t="s">
        <v>5</v>
      </c>
      <c r="H1546">
        <v>50</v>
      </c>
      <c r="I1546">
        <v>100.01</v>
      </c>
      <c r="J1546" t="s">
        <v>10</v>
      </c>
      <c r="K1546">
        <v>58000</v>
      </c>
      <c r="L1546">
        <v>7.7473999999999998</v>
      </c>
      <c r="M1546">
        <v>58000</v>
      </c>
      <c r="N1546">
        <v>7.4565999999999999</v>
      </c>
      <c r="O1546" t="s">
        <v>1985</v>
      </c>
    </row>
    <row r="1547" spans="1:15" x14ac:dyDescent="0.25">
      <c r="A1547" t="s">
        <v>55</v>
      </c>
      <c r="B1547" t="s">
        <v>8</v>
      </c>
      <c r="C1547">
        <v>0</v>
      </c>
      <c r="D1547">
        <v>3.3009999999999998E-2</v>
      </c>
      <c r="E1547">
        <v>0.1</v>
      </c>
      <c r="F1547" t="s">
        <v>6</v>
      </c>
      <c r="G1547" t="s">
        <v>5</v>
      </c>
      <c r="H1547">
        <v>20</v>
      </c>
      <c r="I1547">
        <v>50.01</v>
      </c>
      <c r="J1547" t="s">
        <v>10</v>
      </c>
      <c r="K1547">
        <v>58000</v>
      </c>
      <c r="L1547">
        <v>2.6816</v>
      </c>
      <c r="M1547">
        <v>58000</v>
      </c>
      <c r="N1547">
        <v>2.4866000000000001</v>
      </c>
      <c r="O1547" t="s">
        <v>1988</v>
      </c>
    </row>
    <row r="1548" spans="1:15" x14ac:dyDescent="0.25">
      <c r="A1548" t="s">
        <v>55</v>
      </c>
      <c r="B1548" t="s">
        <v>8</v>
      </c>
      <c r="C1548">
        <v>0</v>
      </c>
      <c r="D1548">
        <v>3.3009999999999998E-2</v>
      </c>
      <c r="E1548">
        <v>0.1</v>
      </c>
      <c r="F1548" t="s">
        <v>6</v>
      </c>
      <c r="G1548" t="s">
        <v>5</v>
      </c>
      <c r="H1548">
        <v>0.01</v>
      </c>
      <c r="I1548">
        <v>4.5010000000000001E-2</v>
      </c>
      <c r="J1548" t="s">
        <v>10</v>
      </c>
      <c r="K1548">
        <v>58000</v>
      </c>
      <c r="L1548">
        <v>1.7665</v>
      </c>
      <c r="M1548">
        <v>58000</v>
      </c>
      <c r="N1548">
        <v>1.5714999999999999</v>
      </c>
      <c r="O1548" t="s">
        <v>1982</v>
      </c>
    </row>
    <row r="1549" spans="1:15" x14ac:dyDescent="0.25">
      <c r="A1549" t="s">
        <v>55</v>
      </c>
      <c r="B1549" t="s">
        <v>8</v>
      </c>
      <c r="C1549">
        <v>0</v>
      </c>
      <c r="D1549">
        <v>3.3009999999999998E-2</v>
      </c>
      <c r="E1549">
        <v>0.1</v>
      </c>
      <c r="F1549" t="s">
        <v>6</v>
      </c>
      <c r="G1549" t="s">
        <v>5</v>
      </c>
      <c r="H1549">
        <v>100</v>
      </c>
      <c r="I1549">
        <v>500</v>
      </c>
      <c r="J1549" t="s">
        <v>10</v>
      </c>
      <c r="K1549">
        <v>58000</v>
      </c>
      <c r="L1549">
        <v>53.658999999999999</v>
      </c>
      <c r="M1549">
        <v>58000</v>
      </c>
      <c r="N1549">
        <v>52.994</v>
      </c>
      <c r="O1549" t="s">
        <v>1986</v>
      </c>
    </row>
    <row r="1550" spans="1:15" x14ac:dyDescent="0.25">
      <c r="A1550" t="s">
        <v>55</v>
      </c>
      <c r="B1550" t="s">
        <v>8</v>
      </c>
      <c r="C1550">
        <v>0</v>
      </c>
      <c r="D1550">
        <v>3.3009999999999998E-2</v>
      </c>
      <c r="E1550">
        <v>0.1</v>
      </c>
      <c r="F1550" t="s">
        <v>6</v>
      </c>
      <c r="G1550" t="s">
        <v>5</v>
      </c>
      <c r="H1550">
        <v>10</v>
      </c>
      <c r="I1550">
        <v>20.010000000000002</v>
      </c>
      <c r="J1550" t="s">
        <v>10</v>
      </c>
      <c r="K1550">
        <v>58000</v>
      </c>
      <c r="L1550">
        <v>1.7665</v>
      </c>
      <c r="M1550">
        <v>58000</v>
      </c>
      <c r="N1550">
        <v>1.5714999999999999</v>
      </c>
      <c r="O1550" t="s">
        <v>1984</v>
      </c>
    </row>
    <row r="1551" spans="1:15" x14ac:dyDescent="0.25">
      <c r="A1551" t="s">
        <v>55</v>
      </c>
      <c r="B1551" t="s">
        <v>8</v>
      </c>
      <c r="C1551">
        <v>0</v>
      </c>
      <c r="D1551">
        <v>3.3009999999999998E-2</v>
      </c>
      <c r="E1551">
        <v>0.1</v>
      </c>
      <c r="F1551" t="s">
        <v>6</v>
      </c>
      <c r="G1551" t="s">
        <v>5</v>
      </c>
      <c r="H1551">
        <v>4.4999999999999998E-2</v>
      </c>
      <c r="I1551">
        <v>10.00001</v>
      </c>
      <c r="J1551" t="s">
        <v>10</v>
      </c>
      <c r="K1551">
        <v>58000</v>
      </c>
      <c r="L1551">
        <v>1.0481</v>
      </c>
      <c r="M1551">
        <v>58000</v>
      </c>
      <c r="N1551">
        <v>0.85309999999999997</v>
      </c>
      <c r="O1551" t="s">
        <v>1983</v>
      </c>
    </row>
    <row r="1552" spans="1:15" x14ac:dyDescent="0.25">
      <c r="A1552" t="s">
        <v>55</v>
      </c>
      <c r="B1552" t="s">
        <v>8</v>
      </c>
      <c r="C1552">
        <v>0</v>
      </c>
      <c r="D1552">
        <v>3.3009999999999998E-2</v>
      </c>
      <c r="E1552">
        <v>1</v>
      </c>
      <c r="F1552" t="s">
        <v>6</v>
      </c>
      <c r="G1552" t="s">
        <v>5</v>
      </c>
      <c r="H1552">
        <v>10</v>
      </c>
      <c r="I1552">
        <v>20.010000000000002</v>
      </c>
      <c r="J1552" t="s">
        <v>10</v>
      </c>
      <c r="K1552">
        <v>580000</v>
      </c>
      <c r="L1552">
        <v>0.23513999999999999</v>
      </c>
      <c r="M1552">
        <v>580000</v>
      </c>
      <c r="N1552">
        <v>0.15715000000000001</v>
      </c>
      <c r="O1552" t="s">
        <v>1992</v>
      </c>
    </row>
    <row r="1553" spans="1:15" x14ac:dyDescent="0.25">
      <c r="A1553" t="s">
        <v>55</v>
      </c>
      <c r="B1553" t="s">
        <v>8</v>
      </c>
      <c r="C1553">
        <v>0</v>
      </c>
      <c r="D1553">
        <v>3.3009999999999998E-2</v>
      </c>
      <c r="E1553">
        <v>1</v>
      </c>
      <c r="F1553" t="s">
        <v>6</v>
      </c>
      <c r="G1553" t="s">
        <v>5</v>
      </c>
      <c r="H1553">
        <v>500</v>
      </c>
      <c r="I1553">
        <v>501</v>
      </c>
      <c r="J1553" t="s">
        <v>10</v>
      </c>
      <c r="K1553">
        <v>580000</v>
      </c>
      <c r="L1553">
        <v>5.5656999999999996</v>
      </c>
      <c r="M1553">
        <v>580000</v>
      </c>
      <c r="N1553">
        <v>5.2995000000000001</v>
      </c>
      <c r="O1553" t="s">
        <v>2683</v>
      </c>
    </row>
    <row r="1554" spans="1:15" x14ac:dyDescent="0.25">
      <c r="A1554" t="s">
        <v>55</v>
      </c>
      <c r="B1554" t="s">
        <v>8</v>
      </c>
      <c r="C1554">
        <v>0</v>
      </c>
      <c r="D1554">
        <v>3.3009999999999998E-2</v>
      </c>
      <c r="E1554">
        <v>1</v>
      </c>
      <c r="F1554" t="s">
        <v>6</v>
      </c>
      <c r="G1554" t="s">
        <v>5</v>
      </c>
      <c r="H1554">
        <v>20</v>
      </c>
      <c r="I1554">
        <v>50.01</v>
      </c>
      <c r="J1554" t="s">
        <v>10</v>
      </c>
      <c r="K1554">
        <v>580000</v>
      </c>
      <c r="L1554">
        <v>0.32665</v>
      </c>
      <c r="M1554">
        <v>580000</v>
      </c>
      <c r="N1554">
        <v>0.24865999999999999</v>
      </c>
      <c r="O1554" t="s">
        <v>1991</v>
      </c>
    </row>
    <row r="1555" spans="1:15" x14ac:dyDescent="0.25">
      <c r="A1555" t="s">
        <v>55</v>
      </c>
      <c r="B1555" t="s">
        <v>8</v>
      </c>
      <c r="C1555">
        <v>0</v>
      </c>
      <c r="D1555">
        <v>3.3009999999999998E-2</v>
      </c>
      <c r="E1555">
        <v>1</v>
      </c>
      <c r="F1555" t="s">
        <v>6</v>
      </c>
      <c r="G1555" t="s">
        <v>5</v>
      </c>
      <c r="H1555">
        <v>50</v>
      </c>
      <c r="I1555">
        <v>100.01</v>
      </c>
      <c r="J1555" t="s">
        <v>10</v>
      </c>
      <c r="K1555">
        <v>580000</v>
      </c>
      <c r="L1555">
        <v>0.86197000000000001</v>
      </c>
      <c r="M1555">
        <v>580000</v>
      </c>
      <c r="N1555">
        <v>0.74565999999999999</v>
      </c>
      <c r="O1555" t="s">
        <v>2684</v>
      </c>
    </row>
    <row r="1556" spans="1:15" x14ac:dyDescent="0.25">
      <c r="A1556" t="s">
        <v>55</v>
      </c>
      <c r="B1556" t="s">
        <v>8</v>
      </c>
      <c r="C1556">
        <v>0</v>
      </c>
      <c r="D1556">
        <v>3.3009999999999998E-2</v>
      </c>
      <c r="E1556">
        <v>1</v>
      </c>
      <c r="F1556" t="s">
        <v>6</v>
      </c>
      <c r="G1556" t="s">
        <v>5</v>
      </c>
      <c r="H1556">
        <v>0.01</v>
      </c>
      <c r="I1556">
        <v>4.5010000000000001E-2</v>
      </c>
      <c r="J1556" t="s">
        <v>10</v>
      </c>
      <c r="K1556">
        <v>580000</v>
      </c>
      <c r="L1556">
        <v>0.23513999999999999</v>
      </c>
      <c r="M1556">
        <v>580000</v>
      </c>
      <c r="N1556">
        <v>0.15715000000000001</v>
      </c>
      <c r="O1556" t="s">
        <v>1993</v>
      </c>
    </row>
    <row r="1557" spans="1:15" x14ac:dyDescent="0.25">
      <c r="A1557" t="s">
        <v>55</v>
      </c>
      <c r="B1557" t="s">
        <v>8</v>
      </c>
      <c r="C1557">
        <v>0</v>
      </c>
      <c r="D1557">
        <v>3.3009999999999998E-2</v>
      </c>
      <c r="E1557">
        <v>1</v>
      </c>
      <c r="F1557" t="s">
        <v>6</v>
      </c>
      <c r="G1557" t="s">
        <v>5</v>
      </c>
      <c r="H1557">
        <v>4.4999999999999998E-2</v>
      </c>
      <c r="I1557">
        <v>10.00001</v>
      </c>
      <c r="J1557" t="s">
        <v>10</v>
      </c>
      <c r="K1557">
        <v>580000</v>
      </c>
      <c r="L1557">
        <v>0.1633</v>
      </c>
      <c r="M1557">
        <v>580000</v>
      </c>
      <c r="N1557">
        <v>8.5309999999999997E-2</v>
      </c>
      <c r="O1557" t="s">
        <v>1989</v>
      </c>
    </row>
    <row r="1558" spans="1:15" x14ac:dyDescent="0.25">
      <c r="A1558" t="s">
        <v>55</v>
      </c>
      <c r="B1558" t="s">
        <v>8</v>
      </c>
      <c r="C1558">
        <v>0</v>
      </c>
      <c r="D1558">
        <v>3.3009999999999998E-2</v>
      </c>
      <c r="E1558">
        <v>1</v>
      </c>
      <c r="F1558" t="s">
        <v>6</v>
      </c>
      <c r="G1558" t="s">
        <v>5</v>
      </c>
      <c r="H1558">
        <v>100</v>
      </c>
      <c r="I1558">
        <v>500</v>
      </c>
      <c r="J1558" t="s">
        <v>10</v>
      </c>
      <c r="K1558">
        <v>580000</v>
      </c>
      <c r="L1558">
        <v>5.5656999999999996</v>
      </c>
      <c r="M1558">
        <v>580000</v>
      </c>
      <c r="N1558">
        <v>5.2995000000000001</v>
      </c>
      <c r="O1558" t="s">
        <v>1990</v>
      </c>
    </row>
    <row r="1559" spans="1:15" x14ac:dyDescent="0.25">
      <c r="A1559" t="s">
        <v>55</v>
      </c>
      <c r="B1559" t="s">
        <v>8</v>
      </c>
      <c r="C1559">
        <v>0</v>
      </c>
      <c r="D1559">
        <v>3.3009999999999998E-2</v>
      </c>
      <c r="E1559">
        <v>10</v>
      </c>
      <c r="F1559" t="s">
        <v>6</v>
      </c>
      <c r="G1559" t="s">
        <v>5</v>
      </c>
      <c r="H1559">
        <v>20</v>
      </c>
      <c r="I1559">
        <v>50.01</v>
      </c>
      <c r="J1559" t="s">
        <v>10</v>
      </c>
      <c r="K1559">
        <v>5800000</v>
      </c>
      <c r="L1559">
        <v>5.6063000000000002E-2</v>
      </c>
      <c r="M1559">
        <v>5800000</v>
      </c>
      <c r="N1559">
        <v>2.4865999999999999E-2</v>
      </c>
      <c r="O1559" t="s">
        <v>1997</v>
      </c>
    </row>
    <row r="1560" spans="1:15" x14ac:dyDescent="0.25">
      <c r="A1560" t="s">
        <v>55</v>
      </c>
      <c r="B1560" t="s">
        <v>8</v>
      </c>
      <c r="C1560">
        <v>0</v>
      </c>
      <c r="D1560">
        <v>3.3009999999999998E-2</v>
      </c>
      <c r="E1560">
        <v>10</v>
      </c>
      <c r="F1560" t="s">
        <v>6</v>
      </c>
      <c r="G1560" t="s">
        <v>5</v>
      </c>
      <c r="H1560">
        <v>100</v>
      </c>
      <c r="I1560">
        <v>500.01</v>
      </c>
      <c r="J1560" t="s">
        <v>10</v>
      </c>
      <c r="K1560">
        <v>5800000</v>
      </c>
      <c r="L1560">
        <v>0.63641999999999999</v>
      </c>
      <c r="M1560">
        <v>5800000</v>
      </c>
      <c r="N1560">
        <v>0.52995000000000003</v>
      </c>
      <c r="O1560" t="s">
        <v>1999</v>
      </c>
    </row>
    <row r="1561" spans="1:15" x14ac:dyDescent="0.25">
      <c r="A1561" t="s">
        <v>55</v>
      </c>
      <c r="B1561" t="s">
        <v>8</v>
      </c>
      <c r="C1561">
        <v>0</v>
      </c>
      <c r="D1561">
        <v>3.3009999999999998E-2</v>
      </c>
      <c r="E1561">
        <v>10</v>
      </c>
      <c r="F1561" t="s">
        <v>6</v>
      </c>
      <c r="G1561" t="s">
        <v>5</v>
      </c>
      <c r="H1561">
        <v>0.01</v>
      </c>
      <c r="I1561">
        <v>4.5010000000000001E-2</v>
      </c>
      <c r="J1561" t="s">
        <v>10</v>
      </c>
      <c r="K1561">
        <v>5800000</v>
      </c>
      <c r="L1561">
        <v>4.6912000000000002E-2</v>
      </c>
      <c r="M1561">
        <v>5800000</v>
      </c>
      <c r="N1561">
        <v>1.5715E-2</v>
      </c>
      <c r="O1561" t="s">
        <v>1998</v>
      </c>
    </row>
    <row r="1562" spans="1:15" x14ac:dyDescent="0.25">
      <c r="A1562" t="s">
        <v>55</v>
      </c>
      <c r="B1562" t="s">
        <v>8</v>
      </c>
      <c r="C1562">
        <v>0</v>
      </c>
      <c r="D1562">
        <v>3.3009999999999998E-2</v>
      </c>
      <c r="E1562">
        <v>10</v>
      </c>
      <c r="F1562" t="s">
        <v>6</v>
      </c>
      <c r="G1562" t="s">
        <v>5</v>
      </c>
      <c r="H1562">
        <v>50</v>
      </c>
      <c r="I1562">
        <v>100.01</v>
      </c>
      <c r="J1562" t="s">
        <v>10</v>
      </c>
      <c r="K1562">
        <v>5800000</v>
      </c>
      <c r="L1562">
        <v>0.12109</v>
      </c>
      <c r="M1562">
        <v>5800000</v>
      </c>
      <c r="N1562">
        <v>7.4565999999999993E-2</v>
      </c>
      <c r="O1562" t="s">
        <v>1996</v>
      </c>
    </row>
    <row r="1563" spans="1:15" x14ac:dyDescent="0.25">
      <c r="A1563" t="s">
        <v>55</v>
      </c>
      <c r="B1563" t="s">
        <v>8</v>
      </c>
      <c r="C1563">
        <v>0</v>
      </c>
      <c r="D1563">
        <v>3.3009999999999998E-2</v>
      </c>
      <c r="E1563">
        <v>10</v>
      </c>
      <c r="F1563" t="s">
        <v>6</v>
      </c>
      <c r="G1563" t="s">
        <v>5</v>
      </c>
      <c r="H1563">
        <v>4.4999999999999998E-2</v>
      </c>
      <c r="I1563">
        <v>10.00001</v>
      </c>
      <c r="J1563" t="s">
        <v>10</v>
      </c>
      <c r="K1563">
        <v>5800000</v>
      </c>
      <c r="L1563">
        <v>3.9727999999999999E-2</v>
      </c>
      <c r="M1563">
        <v>5800000</v>
      </c>
      <c r="N1563">
        <v>8.5310000000000004E-3</v>
      </c>
      <c r="O1563" t="s">
        <v>1995</v>
      </c>
    </row>
    <row r="1564" spans="1:15" x14ac:dyDescent="0.25">
      <c r="A1564" t="s">
        <v>55</v>
      </c>
      <c r="B1564" t="s">
        <v>8</v>
      </c>
      <c r="C1564">
        <v>0</v>
      </c>
      <c r="D1564">
        <v>3.3009999999999998E-2</v>
      </c>
      <c r="E1564">
        <v>10</v>
      </c>
      <c r="F1564" t="s">
        <v>6</v>
      </c>
      <c r="G1564" t="s">
        <v>5</v>
      </c>
      <c r="H1564">
        <v>10</v>
      </c>
      <c r="I1564">
        <v>20.010000000000002</v>
      </c>
      <c r="J1564" t="s">
        <v>10</v>
      </c>
      <c r="K1564">
        <v>5800000</v>
      </c>
      <c r="L1564">
        <v>4.6912000000000002E-2</v>
      </c>
      <c r="M1564">
        <v>5800000</v>
      </c>
      <c r="N1564">
        <v>1.5715E-2</v>
      </c>
      <c r="O1564" t="s">
        <v>1994</v>
      </c>
    </row>
    <row r="1565" spans="1:15" x14ac:dyDescent="0.25">
      <c r="A1565" t="s">
        <v>55</v>
      </c>
      <c r="B1565" t="s">
        <v>8</v>
      </c>
      <c r="C1565">
        <v>3.3000000000000002E-2</v>
      </c>
      <c r="D1565">
        <v>0.33001000000000003</v>
      </c>
      <c r="E1565">
        <v>9.9999999999999995E-7</v>
      </c>
      <c r="F1565" t="s">
        <v>6</v>
      </c>
      <c r="G1565" t="s">
        <v>5</v>
      </c>
      <c r="H1565">
        <v>50</v>
      </c>
      <c r="I1565">
        <v>100.01</v>
      </c>
      <c r="J1565" t="s">
        <v>10</v>
      </c>
      <c r="K1565">
        <v>200</v>
      </c>
      <c r="L1565">
        <v>2700</v>
      </c>
      <c r="M1565">
        <v>196.5</v>
      </c>
      <c r="N1565">
        <v>2656.4</v>
      </c>
      <c r="O1565" t="s">
        <v>2003</v>
      </c>
    </row>
    <row r="1566" spans="1:15" x14ac:dyDescent="0.25">
      <c r="A1566" t="s">
        <v>55</v>
      </c>
      <c r="B1566" t="s">
        <v>8</v>
      </c>
      <c r="C1566">
        <v>3.3000000000000002E-2</v>
      </c>
      <c r="D1566">
        <v>0.33001000000000003</v>
      </c>
      <c r="E1566">
        <v>9.9999999999999995E-7</v>
      </c>
      <c r="F1566" t="s">
        <v>6</v>
      </c>
      <c r="G1566" t="s">
        <v>5</v>
      </c>
      <c r="H1566">
        <v>500</v>
      </c>
      <c r="I1566">
        <v>501</v>
      </c>
      <c r="J1566" t="s">
        <v>10</v>
      </c>
      <c r="K1566">
        <v>390</v>
      </c>
      <c r="L1566">
        <v>5800</v>
      </c>
      <c r="M1566">
        <v>381.75</v>
      </c>
      <c r="N1566">
        <v>5779.4</v>
      </c>
      <c r="O1566" t="s">
        <v>2006</v>
      </c>
    </row>
    <row r="1567" spans="1:15" x14ac:dyDescent="0.25">
      <c r="A1567" t="s">
        <v>55</v>
      </c>
      <c r="B1567" t="s">
        <v>8</v>
      </c>
      <c r="C1567">
        <v>3.3000000000000002E-2</v>
      </c>
      <c r="D1567">
        <v>0.33001000000000003</v>
      </c>
      <c r="E1567">
        <v>9.9999999999999995E-7</v>
      </c>
      <c r="F1567" t="s">
        <v>6</v>
      </c>
      <c r="G1567" t="s">
        <v>5</v>
      </c>
      <c r="H1567">
        <v>100</v>
      </c>
      <c r="I1567">
        <v>500</v>
      </c>
      <c r="J1567" t="s">
        <v>10</v>
      </c>
      <c r="K1567">
        <v>390</v>
      </c>
      <c r="L1567">
        <v>5800</v>
      </c>
      <c r="M1567">
        <v>381.75</v>
      </c>
      <c r="N1567">
        <v>5779.4</v>
      </c>
      <c r="O1567" t="s">
        <v>2005</v>
      </c>
    </row>
    <row r="1568" spans="1:15" x14ac:dyDescent="0.25">
      <c r="A1568" t="s">
        <v>55</v>
      </c>
      <c r="B1568" t="s">
        <v>8</v>
      </c>
      <c r="C1568">
        <v>3.3000000000000002E-2</v>
      </c>
      <c r="D1568">
        <v>0.33001000000000003</v>
      </c>
      <c r="E1568">
        <v>9.9999999999999995E-7</v>
      </c>
      <c r="F1568" t="s">
        <v>6</v>
      </c>
      <c r="G1568" t="s">
        <v>5</v>
      </c>
      <c r="H1568">
        <v>4.4999999999999998E-2</v>
      </c>
      <c r="I1568">
        <v>10.00001</v>
      </c>
      <c r="J1568" t="s">
        <v>10</v>
      </c>
      <c r="K1568">
        <v>24</v>
      </c>
      <c r="L1568">
        <v>350</v>
      </c>
      <c r="M1568">
        <v>23.254000000000001</v>
      </c>
      <c r="N1568">
        <v>347.52</v>
      </c>
      <c r="O1568" t="s">
        <v>2001</v>
      </c>
    </row>
    <row r="1569" spans="1:15" x14ac:dyDescent="0.25">
      <c r="A1569" t="s">
        <v>55</v>
      </c>
      <c r="B1569" t="s">
        <v>8</v>
      </c>
      <c r="C1569">
        <v>3.3000000000000002E-2</v>
      </c>
      <c r="D1569">
        <v>0.33001000000000003</v>
      </c>
      <c r="E1569">
        <v>9.9999999999999995E-7</v>
      </c>
      <c r="F1569" t="s">
        <v>6</v>
      </c>
      <c r="G1569" t="s">
        <v>5</v>
      </c>
      <c r="H1569">
        <v>20</v>
      </c>
      <c r="I1569">
        <v>50.01</v>
      </c>
      <c r="J1569" t="s">
        <v>10</v>
      </c>
      <c r="K1569">
        <v>47</v>
      </c>
      <c r="L1569">
        <v>1200</v>
      </c>
      <c r="M1569">
        <v>46.389000000000003</v>
      </c>
      <c r="N1569">
        <v>1155.4000000000001</v>
      </c>
      <c r="O1569" t="s">
        <v>2004</v>
      </c>
    </row>
    <row r="1570" spans="1:15" x14ac:dyDescent="0.25">
      <c r="A1570" t="s">
        <v>55</v>
      </c>
      <c r="B1570" t="s">
        <v>8</v>
      </c>
      <c r="C1570">
        <v>3.3000000000000002E-2</v>
      </c>
      <c r="D1570">
        <v>0.33001000000000003</v>
      </c>
      <c r="E1570">
        <v>9.9999999999999995E-7</v>
      </c>
      <c r="F1570" t="s">
        <v>6</v>
      </c>
      <c r="G1570" t="s">
        <v>5</v>
      </c>
      <c r="H1570">
        <v>10</v>
      </c>
      <c r="I1570">
        <v>20.010000000000002</v>
      </c>
      <c r="J1570" t="s">
        <v>10</v>
      </c>
      <c r="K1570">
        <v>24</v>
      </c>
      <c r="L1570">
        <v>810</v>
      </c>
      <c r="M1570">
        <v>23.218</v>
      </c>
      <c r="N1570">
        <v>808.67</v>
      </c>
      <c r="O1570" t="s">
        <v>2002</v>
      </c>
    </row>
    <row r="1571" spans="1:15" x14ac:dyDescent="0.25">
      <c r="A1571" t="s">
        <v>55</v>
      </c>
      <c r="B1571" t="s">
        <v>8</v>
      </c>
      <c r="C1571">
        <v>3.3000000000000002E-2</v>
      </c>
      <c r="D1571">
        <v>0.33001000000000003</v>
      </c>
      <c r="E1571">
        <v>9.9999999999999995E-7</v>
      </c>
      <c r="F1571" t="s">
        <v>6</v>
      </c>
      <c r="G1571" t="s">
        <v>5</v>
      </c>
      <c r="H1571">
        <v>0.01</v>
      </c>
      <c r="I1571">
        <v>4.5010000000000001E-2</v>
      </c>
      <c r="J1571" t="s">
        <v>10</v>
      </c>
      <c r="K1571">
        <v>33</v>
      </c>
      <c r="L1571">
        <v>550</v>
      </c>
      <c r="M1571">
        <v>23.236000000000001</v>
      </c>
      <c r="N1571">
        <v>577.95000000000005</v>
      </c>
      <c r="O1571" t="s">
        <v>2000</v>
      </c>
    </row>
    <row r="1572" spans="1:15" x14ac:dyDescent="0.25">
      <c r="A1572" t="s">
        <v>55</v>
      </c>
      <c r="B1572" t="s">
        <v>8</v>
      </c>
      <c r="C1572">
        <v>3.3000000000000002E-2</v>
      </c>
      <c r="D1572">
        <v>0.33001000000000003</v>
      </c>
      <c r="E1572">
        <v>1.0000000000000001E-5</v>
      </c>
      <c r="F1572" t="s">
        <v>6</v>
      </c>
      <c r="G1572" t="s">
        <v>5</v>
      </c>
      <c r="H1572">
        <v>20</v>
      </c>
      <c r="I1572">
        <v>50.01</v>
      </c>
      <c r="J1572" t="s">
        <v>10</v>
      </c>
      <c r="K1572">
        <v>47</v>
      </c>
      <c r="L1572">
        <v>1154.8</v>
      </c>
      <c r="M1572">
        <v>46.618000000000002</v>
      </c>
      <c r="N1572">
        <v>1154.8</v>
      </c>
      <c r="O1572" t="s">
        <v>2011</v>
      </c>
    </row>
    <row r="1573" spans="1:15" x14ac:dyDescent="0.25">
      <c r="A1573" t="s">
        <v>55</v>
      </c>
      <c r="B1573" t="s">
        <v>8</v>
      </c>
      <c r="C1573">
        <v>3.3000000000000002E-2</v>
      </c>
      <c r="D1573">
        <v>0.33001000000000003</v>
      </c>
      <c r="E1573">
        <v>1.0000000000000001E-5</v>
      </c>
      <c r="F1573" t="s">
        <v>6</v>
      </c>
      <c r="G1573" t="s">
        <v>5</v>
      </c>
      <c r="H1573">
        <v>0.01</v>
      </c>
      <c r="I1573">
        <v>4.5010000000000001E-2</v>
      </c>
      <c r="J1573" t="s">
        <v>10</v>
      </c>
      <c r="K1573">
        <v>33</v>
      </c>
      <c r="L1573">
        <v>550.17999999999995</v>
      </c>
      <c r="M1573">
        <v>23.663</v>
      </c>
      <c r="N1573">
        <v>576.89</v>
      </c>
      <c r="O1573" t="s">
        <v>2009</v>
      </c>
    </row>
    <row r="1574" spans="1:15" x14ac:dyDescent="0.25">
      <c r="A1574" t="s">
        <v>55</v>
      </c>
      <c r="B1574" t="s">
        <v>8</v>
      </c>
      <c r="C1574">
        <v>3.3000000000000002E-2</v>
      </c>
      <c r="D1574">
        <v>0.33001000000000003</v>
      </c>
      <c r="E1574">
        <v>1.0000000000000001E-5</v>
      </c>
      <c r="F1574" t="s">
        <v>6</v>
      </c>
      <c r="G1574" t="s">
        <v>5</v>
      </c>
      <c r="H1574">
        <v>4.4999999999999998E-2</v>
      </c>
      <c r="I1574">
        <v>10.00001</v>
      </c>
      <c r="J1574" t="s">
        <v>10</v>
      </c>
      <c r="K1574">
        <v>24</v>
      </c>
      <c r="L1574">
        <v>346.2</v>
      </c>
      <c r="M1574">
        <v>23.771000000000001</v>
      </c>
      <c r="N1574">
        <v>346.32</v>
      </c>
      <c r="O1574" t="s">
        <v>2685</v>
      </c>
    </row>
    <row r="1575" spans="1:15" x14ac:dyDescent="0.25">
      <c r="A1575" t="s">
        <v>55</v>
      </c>
      <c r="B1575" t="s">
        <v>8</v>
      </c>
      <c r="C1575">
        <v>3.3000000000000002E-2</v>
      </c>
      <c r="D1575">
        <v>0.33001000000000003</v>
      </c>
      <c r="E1575">
        <v>1.0000000000000001E-5</v>
      </c>
      <c r="F1575" t="s">
        <v>6</v>
      </c>
      <c r="G1575" t="s">
        <v>5</v>
      </c>
      <c r="H1575">
        <v>10</v>
      </c>
      <c r="I1575">
        <v>20.010000000000002</v>
      </c>
      <c r="J1575" t="s">
        <v>10</v>
      </c>
      <c r="K1575">
        <v>24</v>
      </c>
      <c r="L1575">
        <v>807.65</v>
      </c>
      <c r="M1575">
        <v>23.582999999999998</v>
      </c>
      <c r="N1575">
        <v>807.74</v>
      </c>
      <c r="O1575" t="s">
        <v>2012</v>
      </c>
    </row>
    <row r="1576" spans="1:15" x14ac:dyDescent="0.25">
      <c r="A1576" t="s">
        <v>55</v>
      </c>
      <c r="B1576" t="s">
        <v>8</v>
      </c>
      <c r="C1576">
        <v>3.3000000000000002E-2</v>
      </c>
      <c r="D1576">
        <v>0.33001000000000003</v>
      </c>
      <c r="E1576">
        <v>1.0000000000000001E-5</v>
      </c>
      <c r="F1576" t="s">
        <v>6</v>
      </c>
      <c r="G1576" t="s">
        <v>5</v>
      </c>
      <c r="H1576">
        <v>500</v>
      </c>
      <c r="I1576">
        <v>501</v>
      </c>
      <c r="J1576" t="s">
        <v>10</v>
      </c>
      <c r="K1576">
        <v>390</v>
      </c>
      <c r="L1576">
        <v>5779.3</v>
      </c>
      <c r="M1576">
        <v>381.8</v>
      </c>
      <c r="N1576">
        <v>5779.3</v>
      </c>
      <c r="O1576" t="s">
        <v>2007</v>
      </c>
    </row>
    <row r="1577" spans="1:15" x14ac:dyDescent="0.25">
      <c r="A1577" t="s">
        <v>55</v>
      </c>
      <c r="B1577" t="s">
        <v>8</v>
      </c>
      <c r="C1577">
        <v>3.3000000000000002E-2</v>
      </c>
      <c r="D1577">
        <v>0.33001000000000003</v>
      </c>
      <c r="E1577">
        <v>1.0000000000000001E-5</v>
      </c>
      <c r="F1577" t="s">
        <v>6</v>
      </c>
      <c r="G1577" t="s">
        <v>5</v>
      </c>
      <c r="H1577">
        <v>50</v>
      </c>
      <c r="I1577">
        <v>100.01</v>
      </c>
      <c r="J1577" t="s">
        <v>10</v>
      </c>
      <c r="K1577">
        <v>200</v>
      </c>
      <c r="L1577">
        <v>2656.2</v>
      </c>
      <c r="M1577">
        <v>196.56</v>
      </c>
      <c r="N1577">
        <v>2656.3</v>
      </c>
      <c r="O1577" t="s">
        <v>2010</v>
      </c>
    </row>
    <row r="1578" spans="1:15" x14ac:dyDescent="0.25">
      <c r="A1578" t="s">
        <v>55</v>
      </c>
      <c r="B1578" t="s">
        <v>8</v>
      </c>
      <c r="C1578">
        <v>3.3000000000000002E-2</v>
      </c>
      <c r="D1578">
        <v>0.33001000000000003</v>
      </c>
      <c r="E1578">
        <v>1.0000000000000001E-5</v>
      </c>
      <c r="F1578" t="s">
        <v>6</v>
      </c>
      <c r="G1578" t="s">
        <v>5</v>
      </c>
      <c r="H1578">
        <v>100</v>
      </c>
      <c r="I1578">
        <v>500</v>
      </c>
      <c r="J1578" t="s">
        <v>10</v>
      </c>
      <c r="K1578">
        <v>390</v>
      </c>
      <c r="L1578">
        <v>5779.3</v>
      </c>
      <c r="M1578">
        <v>381.8</v>
      </c>
      <c r="N1578">
        <v>5779.3</v>
      </c>
      <c r="O1578" t="s">
        <v>2008</v>
      </c>
    </row>
    <row r="1579" spans="1:15" x14ac:dyDescent="0.25">
      <c r="A1579" t="s">
        <v>55</v>
      </c>
      <c r="B1579" t="s">
        <v>8</v>
      </c>
      <c r="C1579">
        <v>3.3000000000000002E-2</v>
      </c>
      <c r="D1579">
        <v>0.33001000000000003</v>
      </c>
      <c r="E1579">
        <v>1E-4</v>
      </c>
      <c r="F1579" t="s">
        <v>6</v>
      </c>
      <c r="G1579" t="s">
        <v>5</v>
      </c>
      <c r="H1579">
        <v>10</v>
      </c>
      <c r="I1579">
        <v>20.010000000000002</v>
      </c>
      <c r="J1579" t="s">
        <v>10</v>
      </c>
      <c r="K1579">
        <v>52.238</v>
      </c>
      <c r="L1579">
        <v>738.2</v>
      </c>
      <c r="M1579">
        <v>52.145000000000003</v>
      </c>
      <c r="N1579">
        <v>738.41</v>
      </c>
      <c r="O1579" t="s">
        <v>2687</v>
      </c>
    </row>
    <row r="1580" spans="1:15" x14ac:dyDescent="0.25">
      <c r="A1580" t="s">
        <v>55</v>
      </c>
      <c r="B1580" t="s">
        <v>8</v>
      </c>
      <c r="C1580">
        <v>3.3000000000000002E-2</v>
      </c>
      <c r="D1580">
        <v>0.33001000000000003</v>
      </c>
      <c r="E1580">
        <v>1E-4</v>
      </c>
      <c r="F1580" t="s">
        <v>6</v>
      </c>
      <c r="G1580" t="s">
        <v>5</v>
      </c>
      <c r="H1580">
        <v>100</v>
      </c>
      <c r="I1580">
        <v>500</v>
      </c>
      <c r="J1580" t="s">
        <v>10</v>
      </c>
      <c r="K1580">
        <v>390</v>
      </c>
      <c r="L1580">
        <v>5771.9</v>
      </c>
      <c r="M1580">
        <v>384.93</v>
      </c>
      <c r="N1580">
        <v>5772</v>
      </c>
      <c r="O1580" t="s">
        <v>2016</v>
      </c>
    </row>
    <row r="1581" spans="1:15" x14ac:dyDescent="0.25">
      <c r="A1581" t="s">
        <v>55</v>
      </c>
      <c r="B1581" t="s">
        <v>8</v>
      </c>
      <c r="C1581">
        <v>3.3000000000000002E-2</v>
      </c>
      <c r="D1581">
        <v>0.33001000000000003</v>
      </c>
      <c r="E1581">
        <v>1E-4</v>
      </c>
      <c r="F1581" t="s">
        <v>6</v>
      </c>
      <c r="G1581" t="s">
        <v>5</v>
      </c>
      <c r="H1581">
        <v>0.01</v>
      </c>
      <c r="I1581">
        <v>4.5010000000000001E-2</v>
      </c>
      <c r="J1581" t="s">
        <v>10</v>
      </c>
      <c r="K1581">
        <v>55.234000000000002</v>
      </c>
      <c r="L1581">
        <v>504.47</v>
      </c>
      <c r="M1581">
        <v>55.134999999999998</v>
      </c>
      <c r="N1581">
        <v>504.68</v>
      </c>
      <c r="O1581" t="s">
        <v>2013</v>
      </c>
    </row>
    <row r="1582" spans="1:15" x14ac:dyDescent="0.25">
      <c r="A1582" t="s">
        <v>55</v>
      </c>
      <c r="B1582" t="s">
        <v>8</v>
      </c>
      <c r="C1582">
        <v>3.3000000000000002E-2</v>
      </c>
      <c r="D1582">
        <v>0.33001000000000003</v>
      </c>
      <c r="E1582">
        <v>1E-4</v>
      </c>
      <c r="F1582" t="s">
        <v>6</v>
      </c>
      <c r="G1582" t="s">
        <v>5</v>
      </c>
      <c r="H1582">
        <v>4.4999999999999998E-2</v>
      </c>
      <c r="I1582">
        <v>10.00001</v>
      </c>
      <c r="J1582" t="s">
        <v>10</v>
      </c>
      <c r="K1582">
        <v>58.585999999999999</v>
      </c>
      <c r="L1582">
        <v>276.02999999999997</v>
      </c>
      <c r="M1582">
        <v>58.482999999999997</v>
      </c>
      <c r="N1582">
        <v>276.20999999999998</v>
      </c>
      <c r="O1582" t="s">
        <v>2015</v>
      </c>
    </row>
    <row r="1583" spans="1:15" x14ac:dyDescent="0.25">
      <c r="A1583" t="s">
        <v>55</v>
      </c>
      <c r="B1583" t="s">
        <v>8</v>
      </c>
      <c r="C1583">
        <v>3.3000000000000002E-2</v>
      </c>
      <c r="D1583">
        <v>0.33001000000000003</v>
      </c>
      <c r="E1583">
        <v>1E-4</v>
      </c>
      <c r="F1583" t="s">
        <v>6</v>
      </c>
      <c r="G1583" t="s">
        <v>5</v>
      </c>
      <c r="H1583">
        <v>500</v>
      </c>
      <c r="I1583">
        <v>501</v>
      </c>
      <c r="J1583" t="s">
        <v>10</v>
      </c>
      <c r="K1583">
        <v>390</v>
      </c>
      <c r="L1583">
        <v>5771.9</v>
      </c>
      <c r="M1583">
        <v>384.93</v>
      </c>
      <c r="N1583">
        <v>5772</v>
      </c>
      <c r="O1583" t="s">
        <v>2014</v>
      </c>
    </row>
    <row r="1584" spans="1:15" x14ac:dyDescent="0.25">
      <c r="A1584" t="s">
        <v>55</v>
      </c>
      <c r="B1584" t="s">
        <v>8</v>
      </c>
      <c r="C1584">
        <v>3.3000000000000002E-2</v>
      </c>
      <c r="D1584">
        <v>0.33001000000000003</v>
      </c>
      <c r="E1584">
        <v>1E-4</v>
      </c>
      <c r="F1584" t="s">
        <v>6</v>
      </c>
      <c r="G1584" t="s">
        <v>5</v>
      </c>
      <c r="H1584">
        <v>20</v>
      </c>
      <c r="I1584">
        <v>50.01</v>
      </c>
      <c r="J1584" t="s">
        <v>10</v>
      </c>
      <c r="K1584">
        <v>66.007000000000005</v>
      </c>
      <c r="L1584">
        <v>1107.9000000000001</v>
      </c>
      <c r="M1584">
        <v>65.938999999999993</v>
      </c>
      <c r="N1584">
        <v>1108</v>
      </c>
      <c r="O1584" t="s">
        <v>2017</v>
      </c>
    </row>
    <row r="1585" spans="1:15" x14ac:dyDescent="0.25">
      <c r="A1585" t="s">
        <v>55</v>
      </c>
      <c r="B1585" t="s">
        <v>8</v>
      </c>
      <c r="C1585">
        <v>3.3000000000000002E-2</v>
      </c>
      <c r="D1585">
        <v>0.33001000000000003</v>
      </c>
      <c r="E1585">
        <v>1E-4</v>
      </c>
      <c r="F1585" t="s">
        <v>6</v>
      </c>
      <c r="G1585" t="s">
        <v>5</v>
      </c>
      <c r="H1585">
        <v>50</v>
      </c>
      <c r="I1585">
        <v>100.01</v>
      </c>
      <c r="J1585" t="s">
        <v>10</v>
      </c>
      <c r="K1585">
        <v>202.89</v>
      </c>
      <c r="L1585">
        <v>2641.9</v>
      </c>
      <c r="M1585">
        <v>202.83</v>
      </c>
      <c r="N1585">
        <v>2642</v>
      </c>
      <c r="O1585" t="s">
        <v>2686</v>
      </c>
    </row>
    <row r="1586" spans="1:15" x14ac:dyDescent="0.25">
      <c r="A1586" t="s">
        <v>55</v>
      </c>
      <c r="B1586" t="s">
        <v>8</v>
      </c>
      <c r="C1586">
        <v>3.3000000000000002E-2</v>
      </c>
      <c r="D1586">
        <v>0.33001000000000003</v>
      </c>
      <c r="E1586">
        <v>1E-3</v>
      </c>
      <c r="F1586" t="s">
        <v>6</v>
      </c>
      <c r="G1586" t="s">
        <v>5</v>
      </c>
      <c r="H1586">
        <v>0.01</v>
      </c>
      <c r="I1586">
        <v>4.5010000000000001E-2</v>
      </c>
      <c r="J1586" t="s">
        <v>10</v>
      </c>
      <c r="K1586">
        <v>577.51</v>
      </c>
      <c r="L1586">
        <v>123.44</v>
      </c>
      <c r="M1586">
        <v>577.47</v>
      </c>
      <c r="N1586">
        <v>123.45</v>
      </c>
      <c r="O1586" t="s">
        <v>2018</v>
      </c>
    </row>
    <row r="1587" spans="1:15" x14ac:dyDescent="0.25">
      <c r="A1587" t="s">
        <v>55</v>
      </c>
      <c r="B1587" t="s">
        <v>8</v>
      </c>
      <c r="C1587">
        <v>3.3000000000000002E-2</v>
      </c>
      <c r="D1587">
        <v>0.33001000000000003</v>
      </c>
      <c r="E1587">
        <v>1E-3</v>
      </c>
      <c r="F1587" t="s">
        <v>6</v>
      </c>
      <c r="G1587" t="s">
        <v>5</v>
      </c>
      <c r="H1587">
        <v>4.4999999999999998E-2</v>
      </c>
      <c r="I1587">
        <v>10.00001</v>
      </c>
      <c r="J1587" t="s">
        <v>10</v>
      </c>
      <c r="K1587">
        <v>579.4</v>
      </c>
      <c r="L1587">
        <v>50.965000000000003</v>
      </c>
      <c r="M1587">
        <v>579.36</v>
      </c>
      <c r="N1587">
        <v>50.969000000000001</v>
      </c>
      <c r="O1587" t="s">
        <v>2020</v>
      </c>
    </row>
    <row r="1588" spans="1:15" x14ac:dyDescent="0.25">
      <c r="A1588" t="s">
        <v>55</v>
      </c>
      <c r="B1588" t="s">
        <v>8</v>
      </c>
      <c r="C1588">
        <v>3.3000000000000002E-2</v>
      </c>
      <c r="D1588">
        <v>0.33001000000000003</v>
      </c>
      <c r="E1588">
        <v>1E-3</v>
      </c>
      <c r="F1588" t="s">
        <v>6</v>
      </c>
      <c r="G1588" t="s">
        <v>5</v>
      </c>
      <c r="H1588">
        <v>100</v>
      </c>
      <c r="I1588">
        <v>500</v>
      </c>
      <c r="J1588" t="s">
        <v>10</v>
      </c>
      <c r="K1588">
        <v>643.30999999999995</v>
      </c>
      <c r="L1588">
        <v>5206.3999999999996</v>
      </c>
      <c r="M1588">
        <v>643.12</v>
      </c>
      <c r="N1588">
        <v>5206.6000000000004</v>
      </c>
      <c r="O1588" t="s">
        <v>2022</v>
      </c>
    </row>
    <row r="1589" spans="1:15" x14ac:dyDescent="0.25">
      <c r="A1589" t="s">
        <v>55</v>
      </c>
      <c r="B1589" t="s">
        <v>8</v>
      </c>
      <c r="C1589">
        <v>3.3000000000000002E-2</v>
      </c>
      <c r="D1589">
        <v>0.33001000000000003</v>
      </c>
      <c r="E1589">
        <v>1E-3</v>
      </c>
      <c r="F1589" t="s">
        <v>6</v>
      </c>
      <c r="G1589" t="s">
        <v>5</v>
      </c>
      <c r="H1589">
        <v>20</v>
      </c>
      <c r="I1589">
        <v>50.01</v>
      </c>
      <c r="J1589" t="s">
        <v>10</v>
      </c>
      <c r="K1589">
        <v>571.22</v>
      </c>
      <c r="L1589">
        <v>452.98</v>
      </c>
      <c r="M1589">
        <v>571.17999999999995</v>
      </c>
      <c r="N1589">
        <v>452.85</v>
      </c>
      <c r="O1589" t="s">
        <v>2023</v>
      </c>
    </row>
    <row r="1590" spans="1:15" x14ac:dyDescent="0.25">
      <c r="A1590" t="s">
        <v>55</v>
      </c>
      <c r="B1590" t="s">
        <v>8</v>
      </c>
      <c r="C1590">
        <v>3.3000000000000002E-2</v>
      </c>
      <c r="D1590">
        <v>0.33001000000000003</v>
      </c>
      <c r="E1590">
        <v>1E-3</v>
      </c>
      <c r="F1590" t="s">
        <v>6</v>
      </c>
      <c r="G1590" t="s">
        <v>5</v>
      </c>
      <c r="H1590">
        <v>50</v>
      </c>
      <c r="I1590">
        <v>100.01</v>
      </c>
      <c r="J1590" t="s">
        <v>10</v>
      </c>
      <c r="K1590">
        <v>582.19000000000005</v>
      </c>
      <c r="L1590">
        <v>1932.6</v>
      </c>
      <c r="M1590">
        <v>582.1</v>
      </c>
      <c r="N1590">
        <v>1932.5</v>
      </c>
      <c r="O1590" t="s">
        <v>2021</v>
      </c>
    </row>
    <row r="1591" spans="1:15" x14ac:dyDescent="0.25">
      <c r="A1591" t="s">
        <v>55</v>
      </c>
      <c r="B1591" t="s">
        <v>8</v>
      </c>
      <c r="C1591">
        <v>3.3000000000000002E-2</v>
      </c>
      <c r="D1591">
        <v>0.33001000000000003</v>
      </c>
      <c r="E1591">
        <v>1E-3</v>
      </c>
      <c r="F1591" t="s">
        <v>6</v>
      </c>
      <c r="G1591" t="s">
        <v>5</v>
      </c>
      <c r="H1591">
        <v>10</v>
      </c>
      <c r="I1591">
        <v>20.010000000000002</v>
      </c>
      <c r="J1591" t="s">
        <v>10</v>
      </c>
      <c r="K1591">
        <v>574.82000000000005</v>
      </c>
      <c r="L1591">
        <v>223.39</v>
      </c>
      <c r="M1591">
        <v>574.77</v>
      </c>
      <c r="N1591">
        <v>223.41</v>
      </c>
      <c r="O1591" t="s">
        <v>2688</v>
      </c>
    </row>
    <row r="1592" spans="1:15" x14ac:dyDescent="0.25">
      <c r="A1592" t="s">
        <v>55</v>
      </c>
      <c r="B1592" t="s">
        <v>8</v>
      </c>
      <c r="C1592">
        <v>3.3000000000000002E-2</v>
      </c>
      <c r="D1592">
        <v>0.33001000000000003</v>
      </c>
      <c r="E1592">
        <v>1E-3</v>
      </c>
      <c r="F1592" t="s">
        <v>6</v>
      </c>
      <c r="G1592" t="s">
        <v>5</v>
      </c>
      <c r="H1592">
        <v>500</v>
      </c>
      <c r="I1592">
        <v>501</v>
      </c>
      <c r="J1592" t="s">
        <v>10</v>
      </c>
      <c r="K1592">
        <v>643.30999999999995</v>
      </c>
      <c r="L1592">
        <v>5206.3999999999996</v>
      </c>
      <c r="M1592">
        <v>643.12</v>
      </c>
      <c r="N1592">
        <v>5206.6000000000004</v>
      </c>
      <c r="O1592" t="s">
        <v>2019</v>
      </c>
    </row>
    <row r="1593" spans="1:15" x14ac:dyDescent="0.25">
      <c r="A1593" t="s">
        <v>55</v>
      </c>
      <c r="B1593" t="s">
        <v>8</v>
      </c>
      <c r="C1593">
        <v>3.3000000000000002E-2</v>
      </c>
      <c r="D1593">
        <v>0.33001000000000003</v>
      </c>
      <c r="E1593">
        <v>0.01</v>
      </c>
      <c r="F1593" t="s">
        <v>6</v>
      </c>
      <c r="G1593" t="s">
        <v>5</v>
      </c>
      <c r="H1593">
        <v>50</v>
      </c>
      <c r="I1593">
        <v>100.01</v>
      </c>
      <c r="J1593" t="s">
        <v>10</v>
      </c>
      <c r="K1593">
        <v>5796.8</v>
      </c>
      <c r="L1593">
        <v>308.19</v>
      </c>
      <c r="M1593">
        <v>5796.8</v>
      </c>
      <c r="N1593">
        <v>308.02</v>
      </c>
      <c r="O1593" t="s">
        <v>2027</v>
      </c>
    </row>
    <row r="1594" spans="1:15" x14ac:dyDescent="0.25">
      <c r="A1594" t="s">
        <v>55</v>
      </c>
      <c r="B1594" t="s">
        <v>8</v>
      </c>
      <c r="C1594">
        <v>3.3000000000000002E-2</v>
      </c>
      <c r="D1594">
        <v>0.33001000000000003</v>
      </c>
      <c r="E1594">
        <v>0.01</v>
      </c>
      <c r="F1594" t="s">
        <v>6</v>
      </c>
      <c r="G1594" t="s">
        <v>5</v>
      </c>
      <c r="H1594">
        <v>100</v>
      </c>
      <c r="I1594">
        <v>500</v>
      </c>
      <c r="J1594" t="s">
        <v>10</v>
      </c>
      <c r="K1594">
        <v>5783</v>
      </c>
      <c r="L1594">
        <v>1371.2</v>
      </c>
      <c r="M1594">
        <v>5783</v>
      </c>
      <c r="N1594">
        <v>1370.9</v>
      </c>
      <c r="O1594" t="s">
        <v>2025</v>
      </c>
    </row>
    <row r="1595" spans="1:15" x14ac:dyDescent="0.25">
      <c r="A1595" t="s">
        <v>55</v>
      </c>
      <c r="B1595" t="s">
        <v>8</v>
      </c>
      <c r="C1595">
        <v>3.3000000000000002E-2</v>
      </c>
      <c r="D1595">
        <v>0.33001000000000003</v>
      </c>
      <c r="E1595">
        <v>0.01</v>
      </c>
      <c r="F1595" t="s">
        <v>6</v>
      </c>
      <c r="G1595" t="s">
        <v>5</v>
      </c>
      <c r="H1595">
        <v>20</v>
      </c>
      <c r="I1595">
        <v>50.01</v>
      </c>
      <c r="J1595" t="s">
        <v>10</v>
      </c>
      <c r="K1595">
        <v>5799</v>
      </c>
      <c r="L1595">
        <v>51.02</v>
      </c>
      <c r="M1595">
        <v>5798.9</v>
      </c>
      <c r="N1595">
        <v>50.942</v>
      </c>
      <c r="O1595" t="s">
        <v>2026</v>
      </c>
    </row>
    <row r="1596" spans="1:15" x14ac:dyDescent="0.25">
      <c r="A1596" t="s">
        <v>55</v>
      </c>
      <c r="B1596" t="s">
        <v>8</v>
      </c>
      <c r="C1596">
        <v>3.3000000000000002E-2</v>
      </c>
      <c r="D1596">
        <v>0.33001000000000003</v>
      </c>
      <c r="E1596">
        <v>0.01</v>
      </c>
      <c r="F1596" t="s">
        <v>6</v>
      </c>
      <c r="G1596" t="s">
        <v>5</v>
      </c>
      <c r="H1596">
        <v>500</v>
      </c>
      <c r="I1596">
        <v>501</v>
      </c>
      <c r="J1596" t="s">
        <v>10</v>
      </c>
      <c r="K1596">
        <v>5783</v>
      </c>
      <c r="L1596">
        <v>1371.2</v>
      </c>
      <c r="M1596">
        <v>5783</v>
      </c>
      <c r="N1596">
        <v>1370.9</v>
      </c>
      <c r="O1596" t="s">
        <v>2690</v>
      </c>
    </row>
    <row r="1597" spans="1:15" x14ac:dyDescent="0.25">
      <c r="A1597" t="s">
        <v>55</v>
      </c>
      <c r="B1597" t="s">
        <v>8</v>
      </c>
      <c r="C1597">
        <v>3.3000000000000002E-2</v>
      </c>
      <c r="D1597">
        <v>0.33001000000000003</v>
      </c>
      <c r="E1597">
        <v>0.01</v>
      </c>
      <c r="F1597" t="s">
        <v>6</v>
      </c>
      <c r="G1597" t="s">
        <v>5</v>
      </c>
      <c r="H1597">
        <v>0.01</v>
      </c>
      <c r="I1597">
        <v>4.5010000000000001E-2</v>
      </c>
      <c r="J1597" t="s">
        <v>10</v>
      </c>
      <c r="K1597">
        <v>5799.8</v>
      </c>
      <c r="L1597">
        <v>12.763</v>
      </c>
      <c r="M1597">
        <v>577.47</v>
      </c>
      <c r="N1597">
        <v>12.763</v>
      </c>
      <c r="O1597" t="s">
        <v>2024</v>
      </c>
    </row>
    <row r="1598" spans="1:15" x14ac:dyDescent="0.25">
      <c r="A1598" t="s">
        <v>55</v>
      </c>
      <c r="B1598" t="s">
        <v>8</v>
      </c>
      <c r="C1598">
        <v>3.3000000000000002E-2</v>
      </c>
      <c r="D1598">
        <v>0.33001000000000003</v>
      </c>
      <c r="E1598">
        <v>0.01</v>
      </c>
      <c r="F1598" t="s">
        <v>6</v>
      </c>
      <c r="G1598" t="s">
        <v>5</v>
      </c>
      <c r="H1598">
        <v>10</v>
      </c>
      <c r="I1598">
        <v>20.010000000000002</v>
      </c>
      <c r="J1598" t="s">
        <v>10</v>
      </c>
      <c r="K1598">
        <v>5799.5</v>
      </c>
      <c r="L1598">
        <v>23.686</v>
      </c>
      <c r="M1598">
        <v>5799.4</v>
      </c>
      <c r="N1598">
        <v>23.686</v>
      </c>
      <c r="O1598" t="s">
        <v>2689</v>
      </c>
    </row>
    <row r="1599" spans="1:15" x14ac:dyDescent="0.25">
      <c r="A1599" t="s">
        <v>55</v>
      </c>
      <c r="B1599" t="s">
        <v>8</v>
      </c>
      <c r="C1599">
        <v>3.3000000000000002E-2</v>
      </c>
      <c r="D1599">
        <v>0.33001000000000003</v>
      </c>
      <c r="E1599">
        <v>0.01</v>
      </c>
      <c r="F1599" t="s">
        <v>6</v>
      </c>
      <c r="G1599" t="s">
        <v>5</v>
      </c>
      <c r="H1599">
        <v>4.4999999999999998E-2</v>
      </c>
      <c r="I1599">
        <v>10.00001</v>
      </c>
      <c r="J1599" t="s">
        <v>10</v>
      </c>
      <c r="K1599">
        <v>5800</v>
      </c>
      <c r="L1599">
        <v>5.1718000000000002</v>
      </c>
      <c r="M1599">
        <v>5799.9</v>
      </c>
      <c r="N1599">
        <v>5.1718000000000002</v>
      </c>
      <c r="O1599" t="s">
        <v>2028</v>
      </c>
    </row>
    <row r="1600" spans="1:15" x14ac:dyDescent="0.25">
      <c r="A1600" t="s">
        <v>55</v>
      </c>
      <c r="B1600" t="s">
        <v>8</v>
      </c>
      <c r="C1600">
        <v>0.33</v>
      </c>
      <c r="D1600">
        <v>3.3001</v>
      </c>
      <c r="E1600">
        <v>1.0000000000000001E-5</v>
      </c>
      <c r="F1600" t="s">
        <v>6</v>
      </c>
      <c r="G1600" t="s">
        <v>4</v>
      </c>
      <c r="H1600">
        <v>0.01</v>
      </c>
      <c r="I1600">
        <v>4.5010000000000001E-2</v>
      </c>
      <c r="J1600" t="s">
        <v>10</v>
      </c>
      <c r="K1600">
        <v>0.11</v>
      </c>
      <c r="L1600">
        <v>0.56000000000000005</v>
      </c>
      <c r="M1600">
        <v>0.10391</v>
      </c>
      <c r="N1600">
        <v>0.56220999999999999</v>
      </c>
      <c r="O1600" t="s">
        <v>2031</v>
      </c>
    </row>
    <row r="1601" spans="1:15" x14ac:dyDescent="0.25">
      <c r="A1601" t="s">
        <v>55</v>
      </c>
      <c r="B1601" t="s">
        <v>8</v>
      </c>
      <c r="C1601">
        <v>0.33</v>
      </c>
      <c r="D1601">
        <v>3.3001</v>
      </c>
      <c r="E1601">
        <v>1.0000000000000001E-5</v>
      </c>
      <c r="F1601" t="s">
        <v>6</v>
      </c>
      <c r="G1601" t="s">
        <v>4</v>
      </c>
      <c r="H1601">
        <v>10</v>
      </c>
      <c r="I1601">
        <v>20.010000000000002</v>
      </c>
      <c r="J1601" t="s">
        <v>10</v>
      </c>
      <c r="K1601">
        <v>7.0000000000000007E-2</v>
      </c>
      <c r="L1601">
        <v>0.81</v>
      </c>
      <c r="M1601">
        <v>6.9434999999999997E-2</v>
      </c>
      <c r="N1601">
        <v>0.80878000000000005</v>
      </c>
      <c r="O1601" t="s">
        <v>2030</v>
      </c>
    </row>
    <row r="1602" spans="1:15" x14ac:dyDescent="0.25">
      <c r="A1602" t="s">
        <v>55</v>
      </c>
      <c r="B1602" t="s">
        <v>8</v>
      </c>
      <c r="C1602">
        <v>0.33</v>
      </c>
      <c r="D1602">
        <v>3.3001</v>
      </c>
      <c r="E1602">
        <v>1.0000000000000001E-5</v>
      </c>
      <c r="F1602" t="s">
        <v>6</v>
      </c>
      <c r="G1602" t="s">
        <v>4</v>
      </c>
      <c r="H1602">
        <v>500</v>
      </c>
      <c r="I1602">
        <v>501</v>
      </c>
      <c r="J1602" t="s">
        <v>10</v>
      </c>
      <c r="K1602">
        <v>1.1000000000000001</v>
      </c>
      <c r="L1602">
        <v>5.8</v>
      </c>
      <c r="M1602">
        <v>1.0377000000000001</v>
      </c>
      <c r="N1602">
        <v>5.7942</v>
      </c>
      <c r="O1602" t="s">
        <v>2032</v>
      </c>
    </row>
    <row r="1603" spans="1:15" x14ac:dyDescent="0.25">
      <c r="A1603" t="s">
        <v>55</v>
      </c>
      <c r="B1603" t="s">
        <v>8</v>
      </c>
      <c r="C1603">
        <v>0.33</v>
      </c>
      <c r="D1603">
        <v>3.3001</v>
      </c>
      <c r="E1603">
        <v>1.0000000000000001E-5</v>
      </c>
      <c r="F1603" t="s">
        <v>6</v>
      </c>
      <c r="G1603" t="s">
        <v>4</v>
      </c>
      <c r="H1603">
        <v>100</v>
      </c>
      <c r="I1603">
        <v>500</v>
      </c>
      <c r="J1603" t="s">
        <v>10</v>
      </c>
      <c r="K1603">
        <v>1.1000000000000001</v>
      </c>
      <c r="L1603">
        <v>5.8</v>
      </c>
      <c r="M1603">
        <v>1.0377000000000001</v>
      </c>
      <c r="N1603">
        <v>5.7942</v>
      </c>
      <c r="O1603" t="s">
        <v>2033</v>
      </c>
    </row>
    <row r="1604" spans="1:15" x14ac:dyDescent="0.25">
      <c r="A1604" t="s">
        <v>55</v>
      </c>
      <c r="B1604" t="s">
        <v>8</v>
      </c>
      <c r="C1604">
        <v>0.33</v>
      </c>
      <c r="D1604">
        <v>3.3001</v>
      </c>
      <c r="E1604">
        <v>1.0000000000000001E-5</v>
      </c>
      <c r="F1604" t="s">
        <v>6</v>
      </c>
      <c r="G1604" t="s">
        <v>4</v>
      </c>
      <c r="H1604">
        <v>50</v>
      </c>
      <c r="I1604">
        <v>100.01</v>
      </c>
      <c r="J1604" t="s">
        <v>10</v>
      </c>
      <c r="K1604">
        <v>0.24</v>
      </c>
      <c r="L1604">
        <v>2.7</v>
      </c>
      <c r="M1604">
        <v>0.23108000000000001</v>
      </c>
      <c r="N1604">
        <v>2.6570999999999998</v>
      </c>
      <c r="O1604" t="s">
        <v>2691</v>
      </c>
    </row>
    <row r="1605" spans="1:15" x14ac:dyDescent="0.25">
      <c r="A1605" t="s">
        <v>55</v>
      </c>
      <c r="B1605" t="s">
        <v>8</v>
      </c>
      <c r="C1605">
        <v>0.33</v>
      </c>
      <c r="D1605">
        <v>3.3001</v>
      </c>
      <c r="E1605">
        <v>1.0000000000000001E-5</v>
      </c>
      <c r="F1605" t="s">
        <v>6</v>
      </c>
      <c r="G1605" t="s">
        <v>4</v>
      </c>
      <c r="H1605">
        <v>20</v>
      </c>
      <c r="I1605">
        <v>50.01</v>
      </c>
      <c r="J1605" t="s">
        <v>10</v>
      </c>
      <c r="K1605">
        <v>7.0000000000000007E-2</v>
      </c>
      <c r="L1605">
        <v>1.2</v>
      </c>
      <c r="M1605">
        <v>6.9505999999999998E-2</v>
      </c>
      <c r="N1605">
        <v>1.1558999999999999</v>
      </c>
      <c r="O1605" t="s">
        <v>2692</v>
      </c>
    </row>
    <row r="1606" spans="1:15" x14ac:dyDescent="0.25">
      <c r="A1606" t="s">
        <v>55</v>
      </c>
      <c r="B1606" t="s">
        <v>8</v>
      </c>
      <c r="C1606">
        <v>0.33</v>
      </c>
      <c r="D1606">
        <v>3.3001</v>
      </c>
      <c r="E1606">
        <v>1.0000000000000001E-5</v>
      </c>
      <c r="F1606" t="s">
        <v>6</v>
      </c>
      <c r="G1606" t="s">
        <v>4</v>
      </c>
      <c r="H1606">
        <v>4.4999999999999998E-2</v>
      </c>
      <c r="I1606">
        <v>10.00001</v>
      </c>
      <c r="J1606" t="s">
        <v>10</v>
      </c>
      <c r="K1606">
        <v>7.0000000000000007E-2</v>
      </c>
      <c r="L1606">
        <v>0.35</v>
      </c>
      <c r="M1606">
        <v>6.9476999999999997E-2</v>
      </c>
      <c r="N1606">
        <v>0.34755999999999998</v>
      </c>
      <c r="O1606" t="s">
        <v>2029</v>
      </c>
    </row>
    <row r="1607" spans="1:15" x14ac:dyDescent="0.25">
      <c r="A1607" t="s">
        <v>55</v>
      </c>
      <c r="B1607" t="s">
        <v>8</v>
      </c>
      <c r="C1607">
        <v>0.33</v>
      </c>
      <c r="D1607">
        <v>3.3001</v>
      </c>
      <c r="E1607">
        <v>1E-4</v>
      </c>
      <c r="F1607" t="s">
        <v>6</v>
      </c>
      <c r="G1607" t="s">
        <v>4</v>
      </c>
      <c r="H1607">
        <v>500</v>
      </c>
      <c r="I1607">
        <v>501</v>
      </c>
      <c r="J1607" t="s">
        <v>10</v>
      </c>
      <c r="K1607">
        <v>1.1000000000000001</v>
      </c>
      <c r="L1607">
        <v>5.7939999999999996</v>
      </c>
      <c r="M1607">
        <v>1.038</v>
      </c>
      <c r="N1607">
        <v>5.7941000000000003</v>
      </c>
      <c r="O1607" t="s">
        <v>2693</v>
      </c>
    </row>
    <row r="1608" spans="1:15" x14ac:dyDescent="0.25">
      <c r="A1608" t="s">
        <v>55</v>
      </c>
      <c r="B1608" t="s">
        <v>8</v>
      </c>
      <c r="C1608">
        <v>0.33</v>
      </c>
      <c r="D1608">
        <v>3.3001</v>
      </c>
      <c r="E1608">
        <v>1E-4</v>
      </c>
      <c r="F1608" t="s">
        <v>6</v>
      </c>
      <c r="G1608" t="s">
        <v>4</v>
      </c>
      <c r="H1608">
        <v>50</v>
      </c>
      <c r="I1608">
        <v>100.01</v>
      </c>
      <c r="J1608" t="s">
        <v>10</v>
      </c>
      <c r="K1608">
        <v>0.24</v>
      </c>
      <c r="L1608">
        <v>2.6566000000000001</v>
      </c>
      <c r="M1608">
        <v>0.23255999999999999</v>
      </c>
      <c r="N1608">
        <v>2.6566999999999998</v>
      </c>
      <c r="O1608" t="s">
        <v>2037</v>
      </c>
    </row>
    <row r="1609" spans="1:15" x14ac:dyDescent="0.25">
      <c r="A1609" t="s">
        <v>55</v>
      </c>
      <c r="B1609" t="s">
        <v>8</v>
      </c>
      <c r="C1609">
        <v>0.33</v>
      </c>
      <c r="D1609">
        <v>3.3001</v>
      </c>
      <c r="E1609">
        <v>1E-4</v>
      </c>
      <c r="F1609" t="s">
        <v>6</v>
      </c>
      <c r="G1609" t="s">
        <v>4</v>
      </c>
      <c r="H1609">
        <v>4.4999999999999998E-2</v>
      </c>
      <c r="I1609">
        <v>10.00001</v>
      </c>
      <c r="J1609" t="s">
        <v>10</v>
      </c>
      <c r="K1609">
        <v>7.9443E-2</v>
      </c>
      <c r="L1609">
        <v>0.34499000000000002</v>
      </c>
      <c r="M1609">
        <v>7.9135999999999998E-2</v>
      </c>
      <c r="N1609">
        <v>0.34505000000000002</v>
      </c>
      <c r="O1609" t="s">
        <v>2695</v>
      </c>
    </row>
    <row r="1610" spans="1:15" x14ac:dyDescent="0.25">
      <c r="A1610" t="s">
        <v>55</v>
      </c>
      <c r="B1610" t="s">
        <v>8</v>
      </c>
      <c r="C1610">
        <v>0.33</v>
      </c>
      <c r="D1610">
        <v>3.3001</v>
      </c>
      <c r="E1610">
        <v>1E-4</v>
      </c>
      <c r="F1610" t="s">
        <v>6</v>
      </c>
      <c r="G1610" t="s">
        <v>4</v>
      </c>
      <c r="H1610">
        <v>20</v>
      </c>
      <c r="I1610">
        <v>50.01</v>
      </c>
      <c r="J1610" t="s">
        <v>10</v>
      </c>
      <c r="K1610">
        <v>7.3710999999999999E-2</v>
      </c>
      <c r="L1610">
        <v>1.1548</v>
      </c>
      <c r="M1610">
        <v>7.3371000000000006E-2</v>
      </c>
      <c r="N1610">
        <v>1.1549</v>
      </c>
      <c r="O1610" t="s">
        <v>2034</v>
      </c>
    </row>
    <row r="1611" spans="1:15" x14ac:dyDescent="0.25">
      <c r="A1611" t="s">
        <v>55</v>
      </c>
      <c r="B1611" t="s">
        <v>8</v>
      </c>
      <c r="C1611">
        <v>0.33</v>
      </c>
      <c r="D1611">
        <v>3.3001</v>
      </c>
      <c r="E1611">
        <v>1E-4</v>
      </c>
      <c r="F1611" t="s">
        <v>6</v>
      </c>
      <c r="G1611" t="s">
        <v>4</v>
      </c>
      <c r="H1611">
        <v>10</v>
      </c>
      <c r="I1611">
        <v>20.010000000000002</v>
      </c>
      <c r="J1611" t="s">
        <v>10</v>
      </c>
      <c r="K1611">
        <v>7.5008000000000005E-2</v>
      </c>
      <c r="L1611">
        <v>0.80728999999999995</v>
      </c>
      <c r="M1611">
        <v>7.4829000000000007E-2</v>
      </c>
      <c r="N1611">
        <v>0.80732999999999999</v>
      </c>
      <c r="O1611" t="s">
        <v>2035</v>
      </c>
    </row>
    <row r="1612" spans="1:15" x14ac:dyDescent="0.25">
      <c r="A1612" t="s">
        <v>55</v>
      </c>
      <c r="B1612" t="s">
        <v>8</v>
      </c>
      <c r="C1612">
        <v>0.33</v>
      </c>
      <c r="D1612">
        <v>3.3001</v>
      </c>
      <c r="E1612">
        <v>1E-4</v>
      </c>
      <c r="F1612" t="s">
        <v>6</v>
      </c>
      <c r="G1612" t="s">
        <v>4</v>
      </c>
      <c r="H1612">
        <v>100</v>
      </c>
      <c r="I1612">
        <v>500</v>
      </c>
      <c r="J1612" t="s">
        <v>10</v>
      </c>
      <c r="K1612">
        <v>1.1000000000000001</v>
      </c>
      <c r="L1612">
        <v>5.7939999999999996</v>
      </c>
      <c r="M1612">
        <v>1.038</v>
      </c>
      <c r="N1612">
        <v>5.7941000000000003</v>
      </c>
      <c r="O1612" t="s">
        <v>2694</v>
      </c>
    </row>
    <row r="1613" spans="1:15" x14ac:dyDescent="0.25">
      <c r="A1613" t="s">
        <v>55</v>
      </c>
      <c r="B1613" t="s">
        <v>8</v>
      </c>
      <c r="C1613">
        <v>0.33</v>
      </c>
      <c r="D1613">
        <v>3.3001</v>
      </c>
      <c r="E1613">
        <v>1E-4</v>
      </c>
      <c r="F1613" t="s">
        <v>6</v>
      </c>
      <c r="G1613" t="s">
        <v>4</v>
      </c>
      <c r="H1613">
        <v>0.01</v>
      </c>
      <c r="I1613">
        <v>4.5010000000000001E-2</v>
      </c>
      <c r="J1613" t="s">
        <v>10</v>
      </c>
      <c r="K1613">
        <v>0.11</v>
      </c>
      <c r="L1613">
        <v>0.56032999999999999</v>
      </c>
      <c r="M1613">
        <v>0.10921</v>
      </c>
      <c r="N1613">
        <v>0.56037000000000003</v>
      </c>
      <c r="O1613" t="s">
        <v>2036</v>
      </c>
    </row>
    <row r="1614" spans="1:15" x14ac:dyDescent="0.25">
      <c r="A1614" t="s">
        <v>55</v>
      </c>
      <c r="B1614" t="s">
        <v>8</v>
      </c>
      <c r="C1614">
        <v>0.33</v>
      </c>
      <c r="D1614">
        <v>3.3001</v>
      </c>
      <c r="E1614">
        <v>1E-3</v>
      </c>
      <c r="F1614" t="s">
        <v>6</v>
      </c>
      <c r="G1614" t="s">
        <v>4</v>
      </c>
      <c r="H1614">
        <v>50</v>
      </c>
      <c r="I1614">
        <v>100.01</v>
      </c>
      <c r="J1614" t="s">
        <v>10</v>
      </c>
      <c r="K1614">
        <v>0.38846000000000003</v>
      </c>
      <c r="L1614">
        <v>2.6152000000000002</v>
      </c>
      <c r="M1614">
        <v>0.38733000000000001</v>
      </c>
      <c r="N1614">
        <v>2.6154000000000002</v>
      </c>
      <c r="O1614" t="s">
        <v>2041</v>
      </c>
    </row>
    <row r="1615" spans="1:15" x14ac:dyDescent="0.25">
      <c r="A1615" t="s">
        <v>55</v>
      </c>
      <c r="B1615" t="s">
        <v>8</v>
      </c>
      <c r="C1615">
        <v>0.33</v>
      </c>
      <c r="D1615">
        <v>3.3001</v>
      </c>
      <c r="E1615">
        <v>1E-3</v>
      </c>
      <c r="F1615" t="s">
        <v>6</v>
      </c>
      <c r="G1615" t="s">
        <v>4</v>
      </c>
      <c r="H1615">
        <v>0.01</v>
      </c>
      <c r="I1615">
        <v>4.5010000000000001E-2</v>
      </c>
      <c r="J1615" t="s">
        <v>10</v>
      </c>
      <c r="K1615">
        <v>0.48274</v>
      </c>
      <c r="L1615">
        <v>0.46448</v>
      </c>
      <c r="M1615">
        <v>0.4824</v>
      </c>
      <c r="N1615">
        <v>0.46450000000000002</v>
      </c>
      <c r="O1615" t="s">
        <v>2040</v>
      </c>
    </row>
    <row r="1616" spans="1:15" x14ac:dyDescent="0.25">
      <c r="A1616" t="s">
        <v>55</v>
      </c>
      <c r="B1616" t="s">
        <v>8</v>
      </c>
      <c r="C1616">
        <v>0.33</v>
      </c>
      <c r="D1616">
        <v>3.3001</v>
      </c>
      <c r="E1616">
        <v>1E-3</v>
      </c>
      <c r="F1616" t="s">
        <v>6</v>
      </c>
      <c r="G1616" t="s">
        <v>4</v>
      </c>
      <c r="H1616">
        <v>10</v>
      </c>
      <c r="I1616">
        <v>20.010000000000002</v>
      </c>
      <c r="J1616" t="s">
        <v>10</v>
      </c>
      <c r="K1616">
        <v>0.43426999999999999</v>
      </c>
      <c r="L1616">
        <v>0.71669000000000005</v>
      </c>
      <c r="M1616">
        <v>0.43391000000000002</v>
      </c>
      <c r="N1616">
        <v>0.71674000000000004</v>
      </c>
      <c r="O1616" t="s">
        <v>2043</v>
      </c>
    </row>
    <row r="1617" spans="1:15" x14ac:dyDescent="0.25">
      <c r="A1617" t="s">
        <v>55</v>
      </c>
      <c r="B1617" t="s">
        <v>8</v>
      </c>
      <c r="C1617">
        <v>0.33</v>
      </c>
      <c r="D1617">
        <v>3.3001</v>
      </c>
      <c r="E1617">
        <v>1E-3</v>
      </c>
      <c r="F1617" t="s">
        <v>6</v>
      </c>
      <c r="G1617" t="s">
        <v>4</v>
      </c>
      <c r="H1617">
        <v>20</v>
      </c>
      <c r="I1617">
        <v>50.01</v>
      </c>
      <c r="J1617" t="s">
        <v>10</v>
      </c>
      <c r="K1617">
        <v>0.38064999999999999</v>
      </c>
      <c r="L1617">
        <v>1.0748</v>
      </c>
      <c r="M1617">
        <v>0.37986999999999999</v>
      </c>
      <c r="N1617">
        <v>1.0749</v>
      </c>
      <c r="O1617" t="s">
        <v>2038</v>
      </c>
    </row>
    <row r="1618" spans="1:15" x14ac:dyDescent="0.25">
      <c r="A1618" t="s">
        <v>55</v>
      </c>
      <c r="B1618" t="s">
        <v>8</v>
      </c>
      <c r="C1618">
        <v>0.33</v>
      </c>
      <c r="D1618">
        <v>3.3001</v>
      </c>
      <c r="E1618">
        <v>1E-3</v>
      </c>
      <c r="F1618" t="s">
        <v>6</v>
      </c>
      <c r="G1618" t="s">
        <v>4</v>
      </c>
      <c r="H1618">
        <v>500</v>
      </c>
      <c r="I1618">
        <v>501</v>
      </c>
      <c r="J1618" t="s">
        <v>10</v>
      </c>
      <c r="K1618">
        <v>1.1000000000000001</v>
      </c>
      <c r="L1618">
        <v>5.7778</v>
      </c>
      <c r="M1618">
        <v>1.0964</v>
      </c>
      <c r="N1618">
        <v>5.7779999999999996</v>
      </c>
      <c r="O1618" t="s">
        <v>2696</v>
      </c>
    </row>
    <row r="1619" spans="1:15" x14ac:dyDescent="0.25">
      <c r="A1619" t="s">
        <v>55</v>
      </c>
      <c r="B1619" t="s">
        <v>8</v>
      </c>
      <c r="C1619">
        <v>0.33</v>
      </c>
      <c r="D1619">
        <v>3.3001</v>
      </c>
      <c r="E1619">
        <v>1E-3</v>
      </c>
      <c r="F1619" t="s">
        <v>6</v>
      </c>
      <c r="G1619" t="s">
        <v>4</v>
      </c>
      <c r="H1619">
        <v>4.4999999999999998E-2</v>
      </c>
      <c r="I1619">
        <v>10.00001</v>
      </c>
      <c r="J1619" t="s">
        <v>10</v>
      </c>
      <c r="K1619">
        <v>0.52675000000000005</v>
      </c>
      <c r="L1619">
        <v>0.24887000000000001</v>
      </c>
      <c r="M1619">
        <v>0.52639999999999998</v>
      </c>
      <c r="N1619">
        <v>0.24884999999999999</v>
      </c>
      <c r="O1619" t="s">
        <v>2039</v>
      </c>
    </row>
    <row r="1620" spans="1:15" x14ac:dyDescent="0.25">
      <c r="A1620" t="s">
        <v>55</v>
      </c>
      <c r="B1620" t="s">
        <v>8</v>
      </c>
      <c r="C1620">
        <v>0.33</v>
      </c>
      <c r="D1620">
        <v>3.3001</v>
      </c>
      <c r="E1620">
        <v>1E-3</v>
      </c>
      <c r="F1620" t="s">
        <v>6</v>
      </c>
      <c r="G1620" t="s">
        <v>4</v>
      </c>
      <c r="H1620">
        <v>100</v>
      </c>
      <c r="I1620">
        <v>500</v>
      </c>
      <c r="J1620" t="s">
        <v>10</v>
      </c>
      <c r="K1620">
        <v>1.1000000000000001</v>
      </c>
      <c r="L1620">
        <v>5.7778</v>
      </c>
      <c r="M1620">
        <v>1.0964</v>
      </c>
      <c r="N1620">
        <v>5.7779999999999996</v>
      </c>
      <c r="O1620" t="s">
        <v>2042</v>
      </c>
    </row>
    <row r="1621" spans="1:15" x14ac:dyDescent="0.25">
      <c r="A1621" t="s">
        <v>55</v>
      </c>
      <c r="B1621" t="s">
        <v>8</v>
      </c>
      <c r="C1621">
        <v>0.33</v>
      </c>
      <c r="D1621">
        <v>3.3001</v>
      </c>
      <c r="E1621">
        <v>0.01</v>
      </c>
      <c r="F1621" t="s">
        <v>6</v>
      </c>
      <c r="G1621" t="s">
        <v>4</v>
      </c>
      <c r="H1621">
        <v>0.01</v>
      </c>
      <c r="I1621">
        <v>4.5010000000000001E-2</v>
      </c>
      <c r="J1621" t="s">
        <v>10</v>
      </c>
      <c r="K1621">
        <v>5.7718999999999996</v>
      </c>
      <c r="L1621">
        <v>0.10338</v>
      </c>
      <c r="M1621">
        <v>5.7717000000000001</v>
      </c>
      <c r="N1621">
        <v>0.10332</v>
      </c>
      <c r="O1621" t="s">
        <v>2046</v>
      </c>
    </row>
    <row r="1622" spans="1:15" x14ac:dyDescent="0.25">
      <c r="A1622" t="s">
        <v>55</v>
      </c>
      <c r="B1622" t="s">
        <v>8</v>
      </c>
      <c r="C1622">
        <v>0.33</v>
      </c>
      <c r="D1622">
        <v>3.3001</v>
      </c>
      <c r="E1622">
        <v>0.01</v>
      </c>
      <c r="F1622" t="s">
        <v>6</v>
      </c>
      <c r="G1622" t="s">
        <v>4</v>
      </c>
      <c r="H1622">
        <v>4.4999999999999998E-2</v>
      </c>
      <c r="I1622">
        <v>10.00001</v>
      </c>
      <c r="J1622" t="s">
        <v>10</v>
      </c>
      <c r="K1622">
        <v>5.7893999999999997</v>
      </c>
      <c r="L1622">
        <v>4.1576000000000002E-2</v>
      </c>
      <c r="M1622">
        <v>5.7892000000000001</v>
      </c>
      <c r="N1622">
        <v>4.1502999999999998E-2</v>
      </c>
      <c r="O1622" t="s">
        <v>2047</v>
      </c>
    </row>
    <row r="1623" spans="1:15" x14ac:dyDescent="0.25">
      <c r="A1623" t="s">
        <v>55</v>
      </c>
      <c r="B1623" t="s">
        <v>8</v>
      </c>
      <c r="C1623">
        <v>0.33</v>
      </c>
      <c r="D1623">
        <v>3.3001</v>
      </c>
      <c r="E1623">
        <v>0.01</v>
      </c>
      <c r="F1623" t="s">
        <v>6</v>
      </c>
      <c r="G1623" t="s">
        <v>4</v>
      </c>
      <c r="H1623">
        <v>20</v>
      </c>
      <c r="I1623">
        <v>50.01</v>
      </c>
      <c r="J1623" t="s">
        <v>10</v>
      </c>
      <c r="K1623">
        <v>5.6886000000000001</v>
      </c>
      <c r="L1623">
        <v>0.39166000000000001</v>
      </c>
      <c r="M1623">
        <v>5.6882999999999999</v>
      </c>
      <c r="N1623">
        <v>0.39154</v>
      </c>
      <c r="O1623" t="s">
        <v>2044</v>
      </c>
    </row>
    <row r="1624" spans="1:15" x14ac:dyDescent="0.25">
      <c r="A1624" t="s">
        <v>55</v>
      </c>
      <c r="B1624" t="s">
        <v>8</v>
      </c>
      <c r="C1624">
        <v>0.33</v>
      </c>
      <c r="D1624">
        <v>3.3001</v>
      </c>
      <c r="E1624">
        <v>0.01</v>
      </c>
      <c r="F1624" t="s">
        <v>6</v>
      </c>
      <c r="G1624" t="s">
        <v>4</v>
      </c>
      <c r="H1624">
        <v>100</v>
      </c>
      <c r="I1624">
        <v>500</v>
      </c>
      <c r="J1624" t="s">
        <v>10</v>
      </c>
      <c r="K1624">
        <v>4.9001000000000001</v>
      </c>
      <c r="L1624">
        <v>4.8711000000000002</v>
      </c>
      <c r="M1624">
        <v>4.8981000000000003</v>
      </c>
      <c r="N1624">
        <v>4.8712999999999997</v>
      </c>
      <c r="O1624" t="s">
        <v>2045</v>
      </c>
    </row>
    <row r="1625" spans="1:15" x14ac:dyDescent="0.25">
      <c r="A1625" t="s">
        <v>55</v>
      </c>
      <c r="B1625" t="s">
        <v>8</v>
      </c>
      <c r="C1625">
        <v>0.33</v>
      </c>
      <c r="D1625">
        <v>3.3001</v>
      </c>
      <c r="E1625">
        <v>0.01</v>
      </c>
      <c r="F1625" t="s">
        <v>6</v>
      </c>
      <c r="G1625" t="s">
        <v>4</v>
      </c>
      <c r="H1625">
        <v>500</v>
      </c>
      <c r="I1625">
        <v>501</v>
      </c>
      <c r="J1625" t="s">
        <v>10</v>
      </c>
      <c r="K1625">
        <v>4.9001000000000001</v>
      </c>
      <c r="L1625">
        <v>4.8711000000000002</v>
      </c>
      <c r="M1625">
        <v>4.8981000000000003</v>
      </c>
      <c r="N1625">
        <v>4.8712999999999997</v>
      </c>
      <c r="O1625" t="s">
        <v>2698</v>
      </c>
    </row>
    <row r="1626" spans="1:15" x14ac:dyDescent="0.25">
      <c r="A1626" t="s">
        <v>55</v>
      </c>
      <c r="B1626" t="s">
        <v>8</v>
      </c>
      <c r="C1626">
        <v>0.33</v>
      </c>
      <c r="D1626">
        <v>3.3001</v>
      </c>
      <c r="E1626">
        <v>0.01</v>
      </c>
      <c r="F1626" t="s">
        <v>6</v>
      </c>
      <c r="G1626" t="s">
        <v>4</v>
      </c>
      <c r="H1626">
        <v>10</v>
      </c>
      <c r="I1626">
        <v>20.010000000000002</v>
      </c>
      <c r="J1626" t="s">
        <v>10</v>
      </c>
      <c r="K1626">
        <v>5.7427999999999999</v>
      </c>
      <c r="L1626">
        <v>0.20349999999999999</v>
      </c>
      <c r="M1626">
        <v>5.7426000000000004</v>
      </c>
      <c r="N1626">
        <v>0.20344000000000001</v>
      </c>
      <c r="O1626" t="s">
        <v>2048</v>
      </c>
    </row>
    <row r="1627" spans="1:15" x14ac:dyDescent="0.25">
      <c r="A1627" t="s">
        <v>55</v>
      </c>
      <c r="B1627" t="s">
        <v>8</v>
      </c>
      <c r="C1627">
        <v>0.33</v>
      </c>
      <c r="D1627">
        <v>3.3001</v>
      </c>
      <c r="E1627">
        <v>0.01</v>
      </c>
      <c r="F1627" t="s">
        <v>6</v>
      </c>
      <c r="G1627" t="s">
        <v>4</v>
      </c>
      <c r="H1627">
        <v>50</v>
      </c>
      <c r="I1627">
        <v>100.01</v>
      </c>
      <c r="J1627" t="s">
        <v>10</v>
      </c>
      <c r="K1627">
        <v>5.3723000000000001</v>
      </c>
      <c r="L1627">
        <v>1.6168</v>
      </c>
      <c r="M1627">
        <v>5.3715000000000002</v>
      </c>
      <c r="N1627">
        <v>1.6167</v>
      </c>
      <c r="O1627" t="s">
        <v>2697</v>
      </c>
    </row>
    <row r="1628" spans="1:15" x14ac:dyDescent="0.25">
      <c r="A1628" t="s">
        <v>55</v>
      </c>
      <c r="B1628" t="s">
        <v>8</v>
      </c>
      <c r="C1628">
        <v>0.33</v>
      </c>
      <c r="D1628">
        <v>3.3001</v>
      </c>
      <c r="E1628">
        <v>0.1</v>
      </c>
      <c r="F1628" t="s">
        <v>6</v>
      </c>
      <c r="G1628" t="s">
        <v>4</v>
      </c>
      <c r="H1628">
        <v>0.01</v>
      </c>
      <c r="I1628">
        <v>4.5010000000000001E-2</v>
      </c>
      <c r="J1628" t="s">
        <v>10</v>
      </c>
      <c r="K1628">
        <v>57.997</v>
      </c>
      <c r="L1628">
        <v>1.0643E-2</v>
      </c>
      <c r="M1628">
        <v>57.997</v>
      </c>
      <c r="N1628">
        <v>1.0612E-2</v>
      </c>
      <c r="O1628" t="s">
        <v>2050</v>
      </c>
    </row>
    <row r="1629" spans="1:15" x14ac:dyDescent="0.25">
      <c r="A1629" t="s">
        <v>55</v>
      </c>
      <c r="B1629" t="s">
        <v>8</v>
      </c>
      <c r="C1629">
        <v>0.33</v>
      </c>
      <c r="D1629">
        <v>3.3001</v>
      </c>
      <c r="E1629">
        <v>0.1</v>
      </c>
      <c r="F1629" t="s">
        <v>6</v>
      </c>
      <c r="G1629" t="s">
        <v>4</v>
      </c>
      <c r="H1629">
        <v>100</v>
      </c>
      <c r="I1629">
        <v>500</v>
      </c>
      <c r="J1629" t="s">
        <v>10</v>
      </c>
      <c r="K1629">
        <v>57.706000000000003</v>
      </c>
      <c r="L1629">
        <v>1.1207</v>
      </c>
      <c r="M1629">
        <v>57.704999999999998</v>
      </c>
      <c r="N1629">
        <v>1.1204000000000001</v>
      </c>
      <c r="O1629" t="s">
        <v>2052</v>
      </c>
    </row>
    <row r="1630" spans="1:15" x14ac:dyDescent="0.25">
      <c r="A1630" t="s">
        <v>55</v>
      </c>
      <c r="B1630" t="s">
        <v>8</v>
      </c>
      <c r="C1630">
        <v>0.33</v>
      </c>
      <c r="D1630">
        <v>3.3001</v>
      </c>
      <c r="E1630">
        <v>0.1</v>
      </c>
      <c r="F1630" t="s">
        <v>6</v>
      </c>
      <c r="G1630" t="s">
        <v>4</v>
      </c>
      <c r="H1630">
        <v>20</v>
      </c>
      <c r="I1630">
        <v>50.01</v>
      </c>
      <c r="J1630" t="s">
        <v>10</v>
      </c>
      <c r="K1630">
        <v>57.988</v>
      </c>
      <c r="L1630">
        <v>4.3219E-2</v>
      </c>
      <c r="M1630">
        <v>57.988</v>
      </c>
      <c r="N1630">
        <v>4.3147999999999999E-2</v>
      </c>
      <c r="O1630" t="s">
        <v>2700</v>
      </c>
    </row>
    <row r="1631" spans="1:15" x14ac:dyDescent="0.25">
      <c r="A1631" t="s">
        <v>55</v>
      </c>
      <c r="B1631" t="s">
        <v>8</v>
      </c>
      <c r="C1631">
        <v>0.33</v>
      </c>
      <c r="D1631">
        <v>3.3001</v>
      </c>
      <c r="E1631">
        <v>0.1</v>
      </c>
      <c r="F1631" t="s">
        <v>6</v>
      </c>
      <c r="G1631" t="s">
        <v>4</v>
      </c>
      <c r="H1631">
        <v>10</v>
      </c>
      <c r="I1631">
        <v>20.010000000000002</v>
      </c>
      <c r="J1631" t="s">
        <v>10</v>
      </c>
      <c r="K1631">
        <v>57.994</v>
      </c>
      <c r="L1631">
        <v>2.1455999999999999E-2</v>
      </c>
      <c r="M1631">
        <v>57.994</v>
      </c>
      <c r="N1631">
        <v>2.1426000000000001E-2</v>
      </c>
      <c r="O1631" t="s">
        <v>2053</v>
      </c>
    </row>
    <row r="1632" spans="1:15" x14ac:dyDescent="0.25">
      <c r="A1632" t="s">
        <v>55</v>
      </c>
      <c r="B1632" t="s">
        <v>8</v>
      </c>
      <c r="C1632">
        <v>0.33</v>
      </c>
      <c r="D1632">
        <v>3.3001</v>
      </c>
      <c r="E1632">
        <v>0.1</v>
      </c>
      <c r="F1632" t="s">
        <v>6</v>
      </c>
      <c r="G1632" t="s">
        <v>4</v>
      </c>
      <c r="H1632">
        <v>500</v>
      </c>
      <c r="I1632">
        <v>501</v>
      </c>
      <c r="J1632" t="s">
        <v>10</v>
      </c>
      <c r="K1632">
        <v>57.706000000000003</v>
      </c>
      <c r="L1632">
        <v>1.1207</v>
      </c>
      <c r="M1632">
        <v>57.704999999999998</v>
      </c>
      <c r="N1632">
        <v>1.1204000000000001</v>
      </c>
      <c r="O1632" t="s">
        <v>2049</v>
      </c>
    </row>
    <row r="1633" spans="1:15" x14ac:dyDescent="0.25">
      <c r="A1633" t="s">
        <v>55</v>
      </c>
      <c r="B1633" t="s">
        <v>8</v>
      </c>
      <c r="C1633">
        <v>0.33</v>
      </c>
      <c r="D1633">
        <v>3.3001</v>
      </c>
      <c r="E1633">
        <v>0.1</v>
      </c>
      <c r="F1633" t="s">
        <v>6</v>
      </c>
      <c r="G1633" t="s">
        <v>4</v>
      </c>
      <c r="H1633">
        <v>4.4999999999999998E-2</v>
      </c>
      <c r="I1633">
        <v>10.00001</v>
      </c>
      <c r="J1633" t="s">
        <v>10</v>
      </c>
      <c r="K1633">
        <v>57.999000000000002</v>
      </c>
      <c r="L1633">
        <v>4.2262999999999997E-3</v>
      </c>
      <c r="M1633">
        <v>57.999000000000002</v>
      </c>
      <c r="N1633">
        <v>4.1960000000000001E-3</v>
      </c>
      <c r="O1633" t="s">
        <v>2699</v>
      </c>
    </row>
    <row r="1634" spans="1:15" x14ac:dyDescent="0.25">
      <c r="A1634" t="s">
        <v>55</v>
      </c>
      <c r="B1634" t="s">
        <v>8</v>
      </c>
      <c r="C1634">
        <v>0.33</v>
      </c>
      <c r="D1634">
        <v>3.3001</v>
      </c>
      <c r="E1634">
        <v>0.1</v>
      </c>
      <c r="F1634" t="s">
        <v>6</v>
      </c>
      <c r="G1634" t="s">
        <v>4</v>
      </c>
      <c r="H1634">
        <v>50</v>
      </c>
      <c r="I1634">
        <v>100.01</v>
      </c>
      <c r="J1634" t="s">
        <v>10</v>
      </c>
      <c r="K1634">
        <v>57.935000000000002</v>
      </c>
      <c r="L1634">
        <v>0.23028999999999999</v>
      </c>
      <c r="M1634">
        <v>57.935000000000002</v>
      </c>
      <c r="N1634">
        <v>0.23011999999999999</v>
      </c>
      <c r="O1634" t="s">
        <v>2051</v>
      </c>
    </row>
    <row r="1635" spans="1:15" x14ac:dyDescent="0.25">
      <c r="A1635" t="s">
        <v>55</v>
      </c>
      <c r="B1635" t="s">
        <v>8</v>
      </c>
      <c r="C1635">
        <v>3.3</v>
      </c>
      <c r="D1635">
        <v>33.000999999999998</v>
      </c>
      <c r="E1635">
        <v>1E-4</v>
      </c>
      <c r="F1635" t="s">
        <v>6</v>
      </c>
      <c r="G1635" t="s">
        <v>4</v>
      </c>
      <c r="H1635">
        <v>4.4999999999999998E-2</v>
      </c>
      <c r="I1635">
        <v>10.00001</v>
      </c>
      <c r="J1635" t="s">
        <v>10</v>
      </c>
      <c r="K1635">
        <v>0.7</v>
      </c>
      <c r="L1635">
        <v>0.35</v>
      </c>
      <c r="M1635">
        <v>0.69218000000000002</v>
      </c>
      <c r="N1635">
        <v>0.34794999999999998</v>
      </c>
      <c r="O1635" t="s">
        <v>2057</v>
      </c>
    </row>
    <row r="1636" spans="1:15" x14ac:dyDescent="0.25">
      <c r="A1636" t="s">
        <v>55</v>
      </c>
      <c r="B1636" t="s">
        <v>8</v>
      </c>
      <c r="C1636">
        <v>3.3</v>
      </c>
      <c r="D1636">
        <v>33.000999999999998</v>
      </c>
      <c r="E1636">
        <v>1E-4</v>
      </c>
      <c r="F1636" t="s">
        <v>6</v>
      </c>
      <c r="G1636" t="s">
        <v>4</v>
      </c>
      <c r="H1636">
        <v>100</v>
      </c>
      <c r="I1636">
        <v>500</v>
      </c>
      <c r="J1636" t="s">
        <v>10</v>
      </c>
      <c r="K1636">
        <v>13</v>
      </c>
      <c r="L1636">
        <v>4.5999999999999996</v>
      </c>
      <c r="M1636">
        <v>2.3363999999999998</v>
      </c>
      <c r="N1636">
        <v>2.6995</v>
      </c>
      <c r="O1636" t="s">
        <v>2056</v>
      </c>
    </row>
    <row r="1637" spans="1:15" x14ac:dyDescent="0.25">
      <c r="A1637" t="s">
        <v>55</v>
      </c>
      <c r="B1637" t="s">
        <v>8</v>
      </c>
      <c r="C1637">
        <v>3.3</v>
      </c>
      <c r="D1637">
        <v>33.000999999999998</v>
      </c>
      <c r="E1637">
        <v>1E-4</v>
      </c>
      <c r="F1637" t="s">
        <v>6</v>
      </c>
      <c r="G1637" t="s">
        <v>4</v>
      </c>
      <c r="H1637">
        <v>500</v>
      </c>
      <c r="I1637">
        <v>501</v>
      </c>
      <c r="J1637" t="s">
        <v>10</v>
      </c>
      <c r="K1637">
        <v>13</v>
      </c>
      <c r="L1637">
        <v>4.5999999999999996</v>
      </c>
      <c r="M1637">
        <v>2.3363999999999998</v>
      </c>
      <c r="N1637">
        <v>2.6995</v>
      </c>
      <c r="O1637" t="s">
        <v>2702</v>
      </c>
    </row>
    <row r="1638" spans="1:15" x14ac:dyDescent="0.25">
      <c r="A1638" t="s">
        <v>55</v>
      </c>
      <c r="B1638" t="s">
        <v>8</v>
      </c>
      <c r="C1638">
        <v>3.3</v>
      </c>
      <c r="D1638">
        <v>33.000999999999998</v>
      </c>
      <c r="E1638">
        <v>1E-4</v>
      </c>
      <c r="F1638" t="s">
        <v>6</v>
      </c>
      <c r="G1638" t="s">
        <v>4</v>
      </c>
      <c r="H1638">
        <v>20</v>
      </c>
      <c r="I1638">
        <v>50.01</v>
      </c>
      <c r="J1638" t="s">
        <v>10</v>
      </c>
      <c r="K1638">
        <v>0.7</v>
      </c>
      <c r="L1638">
        <v>1.2</v>
      </c>
      <c r="M1638">
        <v>0.69121999999999995</v>
      </c>
      <c r="N1638">
        <v>1.1565000000000001</v>
      </c>
      <c r="O1638" t="s">
        <v>2055</v>
      </c>
    </row>
    <row r="1639" spans="1:15" x14ac:dyDescent="0.25">
      <c r="A1639" t="s">
        <v>55</v>
      </c>
      <c r="B1639" t="s">
        <v>8</v>
      </c>
      <c r="C1639">
        <v>3.3</v>
      </c>
      <c r="D1639">
        <v>33.000999999999998</v>
      </c>
      <c r="E1639">
        <v>1E-4</v>
      </c>
      <c r="F1639" t="s">
        <v>6</v>
      </c>
      <c r="G1639" t="s">
        <v>4</v>
      </c>
      <c r="H1639">
        <v>0.01</v>
      </c>
      <c r="I1639">
        <v>4.5010000000000001E-2</v>
      </c>
      <c r="J1639" t="s">
        <v>10</v>
      </c>
      <c r="K1639">
        <v>0.93</v>
      </c>
      <c r="L1639">
        <v>0.57999999999999996</v>
      </c>
      <c r="M1639">
        <v>0.92291999999999996</v>
      </c>
      <c r="N1639">
        <v>0.57830000000000004</v>
      </c>
      <c r="O1639" t="s">
        <v>2703</v>
      </c>
    </row>
    <row r="1640" spans="1:15" x14ac:dyDescent="0.25">
      <c r="A1640" t="s">
        <v>55</v>
      </c>
      <c r="B1640" t="s">
        <v>8</v>
      </c>
      <c r="C1640">
        <v>3.3</v>
      </c>
      <c r="D1640">
        <v>33.000999999999998</v>
      </c>
      <c r="E1640">
        <v>1E-4</v>
      </c>
      <c r="F1640" t="s">
        <v>6</v>
      </c>
      <c r="G1640" t="s">
        <v>4</v>
      </c>
      <c r="H1640">
        <v>50</v>
      </c>
      <c r="I1640">
        <v>100.01</v>
      </c>
      <c r="J1640" t="s">
        <v>10</v>
      </c>
      <c r="K1640">
        <v>2.2999999999999998</v>
      </c>
      <c r="L1640">
        <v>2.7</v>
      </c>
      <c r="M1640">
        <v>2.3079000000000001</v>
      </c>
      <c r="N1640">
        <v>2.6577000000000002</v>
      </c>
      <c r="O1640" t="s">
        <v>2054</v>
      </c>
    </row>
    <row r="1641" spans="1:15" x14ac:dyDescent="0.25">
      <c r="A1641" t="s">
        <v>55</v>
      </c>
      <c r="B1641" t="s">
        <v>8</v>
      </c>
      <c r="C1641">
        <v>3.3</v>
      </c>
      <c r="D1641">
        <v>33.000999999999998</v>
      </c>
      <c r="E1641">
        <v>1E-4</v>
      </c>
      <c r="F1641" t="s">
        <v>6</v>
      </c>
      <c r="G1641" t="s">
        <v>4</v>
      </c>
      <c r="H1641">
        <v>10</v>
      </c>
      <c r="I1641">
        <v>20.010000000000002</v>
      </c>
      <c r="J1641" t="s">
        <v>10</v>
      </c>
      <c r="K1641">
        <v>0.7</v>
      </c>
      <c r="L1641">
        <v>0.81</v>
      </c>
      <c r="M1641">
        <v>0.69303999999999999</v>
      </c>
      <c r="N1641">
        <v>0.80896000000000001</v>
      </c>
      <c r="O1641" t="s">
        <v>2701</v>
      </c>
    </row>
    <row r="1642" spans="1:15" x14ac:dyDescent="0.25">
      <c r="A1642" t="s">
        <v>55</v>
      </c>
      <c r="B1642" t="s">
        <v>8</v>
      </c>
      <c r="C1642">
        <v>3.3</v>
      </c>
      <c r="D1642">
        <v>33.000999999999998</v>
      </c>
      <c r="E1642">
        <v>1E-3</v>
      </c>
      <c r="F1642" t="s">
        <v>6</v>
      </c>
      <c r="G1642" t="s">
        <v>4</v>
      </c>
      <c r="H1642">
        <v>50</v>
      </c>
      <c r="I1642">
        <v>100.01</v>
      </c>
      <c r="J1642" t="s">
        <v>10</v>
      </c>
      <c r="K1642">
        <v>2.3264999999999998</v>
      </c>
      <c r="L1642">
        <v>2.6572</v>
      </c>
      <c r="M1642">
        <v>2.3233999999999999</v>
      </c>
      <c r="N1642">
        <v>2.6573000000000002</v>
      </c>
      <c r="O1642" t="s">
        <v>2062</v>
      </c>
    </row>
    <row r="1643" spans="1:15" x14ac:dyDescent="0.25">
      <c r="A1643" t="s">
        <v>55</v>
      </c>
      <c r="B1643" t="s">
        <v>8</v>
      </c>
      <c r="C1643">
        <v>3.3</v>
      </c>
      <c r="D1643">
        <v>33.000999999999998</v>
      </c>
      <c r="E1643">
        <v>1E-3</v>
      </c>
      <c r="F1643" t="s">
        <v>6</v>
      </c>
      <c r="G1643" t="s">
        <v>4</v>
      </c>
      <c r="H1643">
        <v>500</v>
      </c>
      <c r="I1643">
        <v>501</v>
      </c>
      <c r="J1643" t="s">
        <v>10</v>
      </c>
      <c r="K1643">
        <v>13</v>
      </c>
      <c r="L1643">
        <v>4.5999999999999996</v>
      </c>
      <c r="M1643">
        <v>2.3500999999999999</v>
      </c>
      <c r="N1643">
        <v>2.6989999999999998</v>
      </c>
      <c r="O1643" t="s">
        <v>2059</v>
      </c>
    </row>
    <row r="1644" spans="1:15" x14ac:dyDescent="0.25">
      <c r="A1644" t="s">
        <v>55</v>
      </c>
      <c r="B1644" t="s">
        <v>8</v>
      </c>
      <c r="C1644">
        <v>3.3</v>
      </c>
      <c r="D1644">
        <v>33.000999999999998</v>
      </c>
      <c r="E1644">
        <v>1E-3</v>
      </c>
      <c r="F1644" t="s">
        <v>6</v>
      </c>
      <c r="G1644" t="s">
        <v>4</v>
      </c>
      <c r="H1644">
        <v>0.01</v>
      </c>
      <c r="I1644">
        <v>4.5010000000000001E-2</v>
      </c>
      <c r="J1644" t="s">
        <v>10</v>
      </c>
      <c r="K1644">
        <v>0.98726000000000003</v>
      </c>
      <c r="L1644">
        <v>0.57660999999999996</v>
      </c>
      <c r="M1644">
        <v>0.98668</v>
      </c>
      <c r="N1644">
        <v>0.57662000000000002</v>
      </c>
      <c r="O1644" t="s">
        <v>2063</v>
      </c>
    </row>
    <row r="1645" spans="1:15" x14ac:dyDescent="0.25">
      <c r="A1645" t="s">
        <v>55</v>
      </c>
      <c r="B1645" t="s">
        <v>8</v>
      </c>
      <c r="C1645">
        <v>3.3</v>
      </c>
      <c r="D1645">
        <v>33.000999999999998</v>
      </c>
      <c r="E1645">
        <v>1E-3</v>
      </c>
      <c r="F1645" t="s">
        <v>6</v>
      </c>
      <c r="G1645" t="s">
        <v>4</v>
      </c>
      <c r="H1645">
        <v>20</v>
      </c>
      <c r="I1645">
        <v>50.01</v>
      </c>
      <c r="J1645" t="s">
        <v>10</v>
      </c>
      <c r="K1645">
        <v>0.73465999999999998</v>
      </c>
      <c r="L1645">
        <v>1.1553</v>
      </c>
      <c r="M1645">
        <v>0.73165000000000002</v>
      </c>
      <c r="N1645">
        <v>1.1554</v>
      </c>
      <c r="O1645" t="s">
        <v>2060</v>
      </c>
    </row>
    <row r="1646" spans="1:15" x14ac:dyDescent="0.25">
      <c r="A1646" t="s">
        <v>55</v>
      </c>
      <c r="B1646" t="s">
        <v>8</v>
      </c>
      <c r="C1646">
        <v>3.3</v>
      </c>
      <c r="D1646">
        <v>33.000999999999998</v>
      </c>
      <c r="E1646">
        <v>1E-3</v>
      </c>
      <c r="F1646" t="s">
        <v>6</v>
      </c>
      <c r="G1646" t="s">
        <v>4</v>
      </c>
      <c r="H1646">
        <v>4.4999999999999998E-2</v>
      </c>
      <c r="I1646">
        <v>10.00001</v>
      </c>
      <c r="J1646" t="s">
        <v>10</v>
      </c>
      <c r="K1646">
        <v>0.78956999999999999</v>
      </c>
      <c r="L1646">
        <v>0.34543000000000001</v>
      </c>
      <c r="M1646">
        <v>0.78891</v>
      </c>
      <c r="N1646">
        <v>0.34543000000000001</v>
      </c>
      <c r="O1646" t="s">
        <v>2061</v>
      </c>
    </row>
    <row r="1647" spans="1:15" x14ac:dyDescent="0.25">
      <c r="A1647" t="s">
        <v>55</v>
      </c>
      <c r="B1647" t="s">
        <v>8</v>
      </c>
      <c r="C1647">
        <v>3.3</v>
      </c>
      <c r="D1647">
        <v>33.000999999999998</v>
      </c>
      <c r="E1647">
        <v>1E-3</v>
      </c>
      <c r="F1647" t="s">
        <v>6</v>
      </c>
      <c r="G1647" t="s">
        <v>4</v>
      </c>
      <c r="H1647">
        <v>100</v>
      </c>
      <c r="I1647">
        <v>500</v>
      </c>
      <c r="J1647" t="s">
        <v>10</v>
      </c>
      <c r="K1647">
        <v>13</v>
      </c>
      <c r="L1647">
        <v>4.5999999999999996</v>
      </c>
      <c r="M1647">
        <v>2.3500999999999999</v>
      </c>
      <c r="N1647">
        <v>2.6989999999999998</v>
      </c>
      <c r="O1647" t="s">
        <v>2058</v>
      </c>
    </row>
    <row r="1648" spans="1:15" x14ac:dyDescent="0.25">
      <c r="A1648" t="s">
        <v>55</v>
      </c>
      <c r="B1648" t="s">
        <v>8</v>
      </c>
      <c r="C1648">
        <v>3.3</v>
      </c>
      <c r="D1648">
        <v>33.000999999999998</v>
      </c>
      <c r="E1648">
        <v>1E-3</v>
      </c>
      <c r="F1648" t="s">
        <v>6</v>
      </c>
      <c r="G1648" t="s">
        <v>4</v>
      </c>
      <c r="H1648">
        <v>10</v>
      </c>
      <c r="I1648">
        <v>20.010000000000002</v>
      </c>
      <c r="J1648" t="s">
        <v>10</v>
      </c>
      <c r="K1648">
        <v>0.74743999999999999</v>
      </c>
      <c r="L1648">
        <v>0.8075</v>
      </c>
      <c r="M1648">
        <v>0.74699000000000004</v>
      </c>
      <c r="N1648">
        <v>0.80750999999999995</v>
      </c>
      <c r="O1648" t="s">
        <v>2704</v>
      </c>
    </row>
    <row r="1649" spans="1:15" x14ac:dyDescent="0.25">
      <c r="A1649" t="s">
        <v>55</v>
      </c>
      <c r="B1649" t="s">
        <v>8</v>
      </c>
      <c r="C1649">
        <v>3.3</v>
      </c>
      <c r="D1649">
        <v>33.000999999999998</v>
      </c>
      <c r="E1649">
        <v>0.01</v>
      </c>
      <c r="F1649" t="s">
        <v>6</v>
      </c>
      <c r="G1649" t="s">
        <v>4</v>
      </c>
      <c r="H1649">
        <v>50</v>
      </c>
      <c r="I1649">
        <v>100.01</v>
      </c>
      <c r="J1649" t="s">
        <v>10</v>
      </c>
      <c r="K1649">
        <v>3.8797000000000001</v>
      </c>
      <c r="L1649">
        <v>2.6158000000000001</v>
      </c>
      <c r="M1649">
        <v>3.8711000000000002</v>
      </c>
      <c r="N1649">
        <v>2.6160000000000001</v>
      </c>
      <c r="O1649" t="s">
        <v>2066</v>
      </c>
    </row>
    <row r="1650" spans="1:15" x14ac:dyDescent="0.25">
      <c r="A1650" t="s">
        <v>55</v>
      </c>
      <c r="B1650" t="s">
        <v>8</v>
      </c>
      <c r="C1650">
        <v>3.3</v>
      </c>
      <c r="D1650">
        <v>33.000999999999998</v>
      </c>
      <c r="E1650">
        <v>0.01</v>
      </c>
      <c r="F1650" t="s">
        <v>6</v>
      </c>
      <c r="G1650" t="s">
        <v>4</v>
      </c>
      <c r="H1650">
        <v>500</v>
      </c>
      <c r="I1650">
        <v>501</v>
      </c>
      <c r="J1650" t="s">
        <v>10</v>
      </c>
      <c r="K1650">
        <v>13</v>
      </c>
      <c r="L1650">
        <v>4.5999999999999996</v>
      </c>
      <c r="M1650">
        <v>3.831</v>
      </c>
      <c r="N1650">
        <v>2.6581000000000001</v>
      </c>
      <c r="O1650" t="s">
        <v>2064</v>
      </c>
    </row>
    <row r="1651" spans="1:15" x14ac:dyDescent="0.25">
      <c r="A1651" t="s">
        <v>55</v>
      </c>
      <c r="B1651" t="s">
        <v>8</v>
      </c>
      <c r="C1651">
        <v>3.3</v>
      </c>
      <c r="D1651">
        <v>33.000999999999998</v>
      </c>
      <c r="E1651">
        <v>0.01</v>
      </c>
      <c r="F1651" t="s">
        <v>6</v>
      </c>
      <c r="G1651" t="s">
        <v>4</v>
      </c>
      <c r="H1651">
        <v>4.4999999999999998E-2</v>
      </c>
      <c r="I1651">
        <v>10.00001</v>
      </c>
      <c r="J1651" t="s">
        <v>10</v>
      </c>
      <c r="K1651">
        <v>5.2633000000000001</v>
      </c>
      <c r="L1651">
        <v>0.24920999999999999</v>
      </c>
      <c r="M1651">
        <v>5.2624000000000004</v>
      </c>
      <c r="N1651">
        <v>0.24918000000000001</v>
      </c>
      <c r="O1651" t="s">
        <v>2065</v>
      </c>
    </row>
    <row r="1652" spans="1:15" x14ac:dyDescent="0.25">
      <c r="A1652" t="s">
        <v>55</v>
      </c>
      <c r="B1652" t="s">
        <v>8</v>
      </c>
      <c r="C1652">
        <v>3.3</v>
      </c>
      <c r="D1652">
        <v>33.000999999999998</v>
      </c>
      <c r="E1652">
        <v>0.01</v>
      </c>
      <c r="F1652" t="s">
        <v>6</v>
      </c>
      <c r="G1652" t="s">
        <v>4</v>
      </c>
      <c r="H1652">
        <v>0.01</v>
      </c>
      <c r="I1652">
        <v>4.5010000000000001E-2</v>
      </c>
      <c r="J1652" t="s">
        <v>10</v>
      </c>
      <c r="K1652">
        <v>4.8574000000000002</v>
      </c>
      <c r="L1652">
        <v>0.48407</v>
      </c>
      <c r="M1652">
        <v>4.8564999999999996</v>
      </c>
      <c r="N1652">
        <v>0.48405999999999999</v>
      </c>
      <c r="O1652" t="s">
        <v>2068</v>
      </c>
    </row>
    <row r="1653" spans="1:15" x14ac:dyDescent="0.25">
      <c r="A1653" t="s">
        <v>55</v>
      </c>
      <c r="B1653" t="s">
        <v>8</v>
      </c>
      <c r="C1653">
        <v>3.3</v>
      </c>
      <c r="D1653">
        <v>33.000999999999998</v>
      </c>
      <c r="E1653">
        <v>0.01</v>
      </c>
      <c r="F1653" t="s">
        <v>6</v>
      </c>
      <c r="G1653" t="s">
        <v>4</v>
      </c>
      <c r="H1653">
        <v>100</v>
      </c>
      <c r="I1653">
        <v>500</v>
      </c>
      <c r="J1653" t="s">
        <v>10</v>
      </c>
      <c r="K1653">
        <v>13</v>
      </c>
      <c r="L1653">
        <v>4.5999999999999996</v>
      </c>
      <c r="M1653">
        <v>3.831</v>
      </c>
      <c r="N1653">
        <v>2.6581000000000001</v>
      </c>
      <c r="O1653" t="s">
        <v>2067</v>
      </c>
    </row>
    <row r="1654" spans="1:15" x14ac:dyDescent="0.25">
      <c r="A1654" t="s">
        <v>55</v>
      </c>
      <c r="B1654" t="s">
        <v>8</v>
      </c>
      <c r="C1654">
        <v>3.3</v>
      </c>
      <c r="D1654">
        <v>33.000999999999998</v>
      </c>
      <c r="E1654">
        <v>0.01</v>
      </c>
      <c r="F1654" t="s">
        <v>6</v>
      </c>
      <c r="G1654" t="s">
        <v>4</v>
      </c>
      <c r="H1654">
        <v>20</v>
      </c>
      <c r="I1654">
        <v>50.01</v>
      </c>
      <c r="J1654" t="s">
        <v>10</v>
      </c>
      <c r="K1654">
        <v>3.8001999999999998</v>
      </c>
      <c r="L1654">
        <v>1.0753999999999999</v>
      </c>
      <c r="M1654">
        <v>3.7970999999999999</v>
      </c>
      <c r="N1654">
        <v>1.0753999999999999</v>
      </c>
      <c r="O1654" t="s">
        <v>2706</v>
      </c>
    </row>
    <row r="1655" spans="1:15" x14ac:dyDescent="0.25">
      <c r="A1655" t="s">
        <v>55</v>
      </c>
      <c r="B1655" t="s">
        <v>8</v>
      </c>
      <c r="C1655">
        <v>3.3</v>
      </c>
      <c r="D1655">
        <v>33.000999999999998</v>
      </c>
      <c r="E1655">
        <v>0.01</v>
      </c>
      <c r="F1655" t="s">
        <v>6</v>
      </c>
      <c r="G1655" t="s">
        <v>4</v>
      </c>
      <c r="H1655">
        <v>10</v>
      </c>
      <c r="I1655">
        <v>20.010000000000002</v>
      </c>
      <c r="J1655" t="s">
        <v>10</v>
      </c>
      <c r="K1655">
        <v>4.3391999999999999</v>
      </c>
      <c r="L1655">
        <v>0.71689999999999998</v>
      </c>
      <c r="M1655">
        <v>4.3383000000000003</v>
      </c>
      <c r="N1655">
        <v>0.71689999999999998</v>
      </c>
      <c r="O1655" t="s">
        <v>2705</v>
      </c>
    </row>
    <row r="1656" spans="1:15" x14ac:dyDescent="0.25">
      <c r="A1656" t="s">
        <v>55</v>
      </c>
      <c r="B1656" t="s">
        <v>8</v>
      </c>
      <c r="C1656">
        <v>3.3</v>
      </c>
      <c r="D1656">
        <v>33.000999999999998</v>
      </c>
      <c r="E1656">
        <v>0.1</v>
      </c>
      <c r="F1656" t="s">
        <v>6</v>
      </c>
      <c r="G1656" t="s">
        <v>4</v>
      </c>
      <c r="H1656">
        <v>500</v>
      </c>
      <c r="I1656">
        <v>501</v>
      </c>
      <c r="J1656" t="s">
        <v>10</v>
      </c>
      <c r="K1656">
        <v>47.329000000000001</v>
      </c>
      <c r="L1656">
        <v>3.5596999999999999</v>
      </c>
      <c r="M1656">
        <v>53.607999999999997</v>
      </c>
      <c r="N1656">
        <v>1.6549</v>
      </c>
      <c r="O1656" t="s">
        <v>2707</v>
      </c>
    </row>
    <row r="1657" spans="1:15" x14ac:dyDescent="0.25">
      <c r="A1657" t="s">
        <v>55</v>
      </c>
      <c r="B1657" t="s">
        <v>8</v>
      </c>
      <c r="C1657">
        <v>3.3</v>
      </c>
      <c r="D1657">
        <v>33.000999999999998</v>
      </c>
      <c r="E1657">
        <v>0.1</v>
      </c>
      <c r="F1657" t="s">
        <v>6</v>
      </c>
      <c r="G1657" t="s">
        <v>4</v>
      </c>
      <c r="H1657">
        <v>50</v>
      </c>
      <c r="I1657">
        <v>100.01</v>
      </c>
      <c r="J1657" t="s">
        <v>10</v>
      </c>
      <c r="K1657">
        <v>53.719000000000001</v>
      </c>
      <c r="L1657">
        <v>1.6172</v>
      </c>
      <c r="M1657">
        <v>53.713000000000001</v>
      </c>
      <c r="N1657">
        <v>1.6172</v>
      </c>
      <c r="O1657" t="s">
        <v>2069</v>
      </c>
    </row>
    <row r="1658" spans="1:15" x14ac:dyDescent="0.25">
      <c r="A1658" t="s">
        <v>55</v>
      </c>
      <c r="B1658" t="s">
        <v>8</v>
      </c>
      <c r="C1658">
        <v>3.3</v>
      </c>
      <c r="D1658">
        <v>33.000999999999998</v>
      </c>
      <c r="E1658">
        <v>0.1</v>
      </c>
      <c r="F1658" t="s">
        <v>6</v>
      </c>
      <c r="G1658" t="s">
        <v>4</v>
      </c>
      <c r="H1658">
        <v>20</v>
      </c>
      <c r="I1658">
        <v>50.01</v>
      </c>
      <c r="J1658" t="s">
        <v>10</v>
      </c>
      <c r="K1658">
        <v>56.883000000000003</v>
      </c>
      <c r="L1658">
        <v>0.39190000000000003</v>
      </c>
      <c r="M1658">
        <v>56.881999999999998</v>
      </c>
      <c r="N1658">
        <v>0.39182</v>
      </c>
      <c r="O1658" t="s">
        <v>2071</v>
      </c>
    </row>
    <row r="1659" spans="1:15" x14ac:dyDescent="0.25">
      <c r="A1659" t="s">
        <v>55</v>
      </c>
      <c r="B1659" t="s">
        <v>8</v>
      </c>
      <c r="C1659">
        <v>3.3</v>
      </c>
      <c r="D1659">
        <v>33.000999999999998</v>
      </c>
      <c r="E1659">
        <v>0.1</v>
      </c>
      <c r="F1659" t="s">
        <v>6</v>
      </c>
      <c r="G1659" t="s">
        <v>4</v>
      </c>
      <c r="H1659">
        <v>100</v>
      </c>
      <c r="I1659">
        <v>500</v>
      </c>
      <c r="J1659" t="s">
        <v>10</v>
      </c>
      <c r="K1659">
        <v>47.329000000000001</v>
      </c>
      <c r="L1659">
        <v>3.5596999999999999</v>
      </c>
      <c r="M1659">
        <v>53.607999999999997</v>
      </c>
      <c r="N1659">
        <v>1.6549</v>
      </c>
      <c r="O1659" t="s">
        <v>2072</v>
      </c>
    </row>
    <row r="1660" spans="1:15" x14ac:dyDescent="0.25">
      <c r="A1660" t="s">
        <v>55</v>
      </c>
      <c r="B1660" t="s">
        <v>8</v>
      </c>
      <c r="C1660">
        <v>3.3</v>
      </c>
      <c r="D1660">
        <v>33.000999999999998</v>
      </c>
      <c r="E1660">
        <v>0.1</v>
      </c>
      <c r="F1660" t="s">
        <v>6</v>
      </c>
      <c r="G1660" t="s">
        <v>4</v>
      </c>
      <c r="H1660">
        <v>0.01</v>
      </c>
      <c r="I1660">
        <v>4.5010000000000001E-2</v>
      </c>
      <c r="J1660" t="s">
        <v>10</v>
      </c>
      <c r="K1660">
        <v>57.704000000000001</v>
      </c>
      <c r="L1660">
        <v>0.11064</v>
      </c>
      <c r="M1660">
        <v>57.704000000000001</v>
      </c>
      <c r="N1660">
        <v>0.11058999999999999</v>
      </c>
      <c r="O1660" t="s">
        <v>2070</v>
      </c>
    </row>
    <row r="1661" spans="1:15" x14ac:dyDescent="0.25">
      <c r="A1661" t="s">
        <v>55</v>
      </c>
      <c r="B1661" t="s">
        <v>8</v>
      </c>
      <c r="C1661">
        <v>3.3</v>
      </c>
      <c r="D1661">
        <v>33.000999999999998</v>
      </c>
      <c r="E1661">
        <v>0.1</v>
      </c>
      <c r="F1661" t="s">
        <v>6</v>
      </c>
      <c r="G1661" t="s">
        <v>4</v>
      </c>
      <c r="H1661">
        <v>10</v>
      </c>
      <c r="I1661">
        <v>20.010000000000002</v>
      </c>
      <c r="J1661" t="s">
        <v>10</v>
      </c>
      <c r="K1661">
        <v>57.426000000000002</v>
      </c>
      <c r="L1661">
        <v>0.20355000000000001</v>
      </c>
      <c r="M1661">
        <v>57.426000000000002</v>
      </c>
      <c r="N1661">
        <v>0.20351</v>
      </c>
      <c r="O1661" t="s">
        <v>2708</v>
      </c>
    </row>
    <row r="1662" spans="1:15" x14ac:dyDescent="0.25">
      <c r="A1662" t="s">
        <v>55</v>
      </c>
      <c r="B1662" t="s">
        <v>8</v>
      </c>
      <c r="C1662">
        <v>3.3</v>
      </c>
      <c r="D1662">
        <v>33.000999999999998</v>
      </c>
      <c r="E1662">
        <v>0.1</v>
      </c>
      <c r="F1662" t="s">
        <v>6</v>
      </c>
      <c r="G1662" t="s">
        <v>4</v>
      </c>
      <c r="H1662">
        <v>4.4999999999999998E-2</v>
      </c>
      <c r="I1662">
        <v>10.00001</v>
      </c>
      <c r="J1662" t="s">
        <v>10</v>
      </c>
      <c r="K1662">
        <v>57.892000000000003</v>
      </c>
      <c r="L1662">
        <v>4.1619999999999997E-2</v>
      </c>
      <c r="M1662">
        <v>57.892000000000003</v>
      </c>
      <c r="N1662">
        <v>4.1575000000000001E-2</v>
      </c>
      <c r="O1662" t="s">
        <v>2073</v>
      </c>
    </row>
    <row r="1663" spans="1:15" x14ac:dyDescent="0.25">
      <c r="A1663" t="s">
        <v>55</v>
      </c>
      <c r="B1663" t="s">
        <v>8</v>
      </c>
      <c r="C1663">
        <v>3.3</v>
      </c>
      <c r="D1663">
        <v>33.000999999999998</v>
      </c>
      <c r="E1663">
        <v>1</v>
      </c>
      <c r="F1663" t="s">
        <v>6</v>
      </c>
      <c r="G1663" t="s">
        <v>4</v>
      </c>
      <c r="H1663">
        <v>500</v>
      </c>
      <c r="I1663">
        <v>501</v>
      </c>
      <c r="J1663" t="s">
        <v>10</v>
      </c>
      <c r="K1663">
        <v>579.33000000000004</v>
      </c>
      <c r="L1663">
        <v>0.23723</v>
      </c>
      <c r="M1663">
        <v>579.33000000000004</v>
      </c>
      <c r="N1663">
        <v>0.23716999999999999</v>
      </c>
      <c r="O1663" t="s">
        <v>2076</v>
      </c>
    </row>
    <row r="1664" spans="1:15" x14ac:dyDescent="0.25">
      <c r="A1664" t="s">
        <v>55</v>
      </c>
      <c r="B1664" t="s">
        <v>8</v>
      </c>
      <c r="C1664">
        <v>3.3</v>
      </c>
      <c r="D1664">
        <v>33.000999999999998</v>
      </c>
      <c r="E1664">
        <v>1</v>
      </c>
      <c r="F1664" t="s">
        <v>6</v>
      </c>
      <c r="G1664" t="s">
        <v>4</v>
      </c>
      <c r="H1664">
        <v>20</v>
      </c>
      <c r="I1664">
        <v>50.01</v>
      </c>
      <c r="J1664" t="s">
        <v>10</v>
      </c>
      <c r="K1664">
        <v>579.88</v>
      </c>
      <c r="L1664">
        <v>4.3222999999999998E-2</v>
      </c>
      <c r="M1664">
        <v>579.88</v>
      </c>
      <c r="N1664">
        <v>4.3181999999999998E-2</v>
      </c>
      <c r="O1664" t="s">
        <v>2078</v>
      </c>
    </row>
    <row r="1665" spans="1:15" x14ac:dyDescent="0.25">
      <c r="A1665" t="s">
        <v>55</v>
      </c>
      <c r="B1665" t="s">
        <v>8</v>
      </c>
      <c r="C1665">
        <v>3.3</v>
      </c>
      <c r="D1665">
        <v>33.000999999999998</v>
      </c>
      <c r="E1665">
        <v>1</v>
      </c>
      <c r="F1665" t="s">
        <v>6</v>
      </c>
      <c r="G1665" t="s">
        <v>4</v>
      </c>
      <c r="H1665">
        <v>10</v>
      </c>
      <c r="I1665">
        <v>20.010000000000002</v>
      </c>
      <c r="J1665" t="s">
        <v>10</v>
      </c>
      <c r="K1665">
        <v>579.94000000000005</v>
      </c>
      <c r="L1665">
        <v>2.1451999999999999E-2</v>
      </c>
      <c r="M1665">
        <v>579.94000000000005</v>
      </c>
      <c r="N1665">
        <v>2.1433000000000001E-2</v>
      </c>
      <c r="O1665" t="s">
        <v>2077</v>
      </c>
    </row>
    <row r="1666" spans="1:15" x14ac:dyDescent="0.25">
      <c r="A1666" t="s">
        <v>55</v>
      </c>
      <c r="B1666" t="s">
        <v>8</v>
      </c>
      <c r="C1666">
        <v>3.3</v>
      </c>
      <c r="D1666">
        <v>33.000999999999998</v>
      </c>
      <c r="E1666">
        <v>1</v>
      </c>
      <c r="F1666" t="s">
        <v>6</v>
      </c>
      <c r="G1666" t="s">
        <v>4</v>
      </c>
      <c r="H1666">
        <v>100</v>
      </c>
      <c r="I1666">
        <v>500</v>
      </c>
      <c r="J1666" t="s">
        <v>10</v>
      </c>
      <c r="K1666">
        <v>579.33000000000004</v>
      </c>
      <c r="L1666">
        <v>0.23723</v>
      </c>
      <c r="M1666">
        <v>579.33000000000004</v>
      </c>
      <c r="N1666">
        <v>0.23716999999999999</v>
      </c>
      <c r="O1666" t="s">
        <v>2075</v>
      </c>
    </row>
    <row r="1667" spans="1:15" x14ac:dyDescent="0.25">
      <c r="A1667" t="s">
        <v>55</v>
      </c>
      <c r="B1667" t="s">
        <v>8</v>
      </c>
      <c r="C1667">
        <v>3.3</v>
      </c>
      <c r="D1667">
        <v>33.000999999999998</v>
      </c>
      <c r="E1667">
        <v>1</v>
      </c>
      <c r="F1667" t="s">
        <v>6</v>
      </c>
      <c r="G1667" t="s">
        <v>4</v>
      </c>
      <c r="H1667">
        <v>50</v>
      </c>
      <c r="I1667">
        <v>100.01</v>
      </c>
      <c r="J1667" t="s">
        <v>10</v>
      </c>
      <c r="K1667">
        <v>579.35</v>
      </c>
      <c r="L1667">
        <v>0.23028000000000001</v>
      </c>
      <c r="M1667">
        <v>579.35</v>
      </c>
      <c r="N1667">
        <v>0.23021</v>
      </c>
      <c r="O1667" t="s">
        <v>2710</v>
      </c>
    </row>
    <row r="1668" spans="1:15" x14ac:dyDescent="0.25">
      <c r="A1668" t="s">
        <v>55</v>
      </c>
      <c r="B1668" t="s">
        <v>8</v>
      </c>
      <c r="C1668">
        <v>3.3</v>
      </c>
      <c r="D1668">
        <v>33.000999999999998</v>
      </c>
      <c r="E1668">
        <v>1</v>
      </c>
      <c r="F1668" t="s">
        <v>6</v>
      </c>
      <c r="G1668" t="s">
        <v>4</v>
      </c>
      <c r="H1668">
        <v>0.01</v>
      </c>
      <c r="I1668">
        <v>4.5010000000000001E-2</v>
      </c>
      <c r="J1668" t="s">
        <v>10</v>
      </c>
      <c r="K1668">
        <v>579.97</v>
      </c>
      <c r="L1668">
        <v>1.1401E-2</v>
      </c>
      <c r="M1668">
        <v>579.97</v>
      </c>
      <c r="N1668">
        <v>1.1382E-2</v>
      </c>
      <c r="O1668" t="s">
        <v>2709</v>
      </c>
    </row>
    <row r="1669" spans="1:15" x14ac:dyDescent="0.25">
      <c r="A1669" t="s">
        <v>55</v>
      </c>
      <c r="B1669" t="s">
        <v>8</v>
      </c>
      <c r="C1669">
        <v>3.3</v>
      </c>
      <c r="D1669">
        <v>33.000999999999998</v>
      </c>
      <c r="E1669">
        <v>1</v>
      </c>
      <c r="F1669" t="s">
        <v>6</v>
      </c>
      <c r="G1669" t="s">
        <v>4</v>
      </c>
      <c r="H1669">
        <v>4.4999999999999998E-2</v>
      </c>
      <c r="I1669">
        <v>10.00001</v>
      </c>
      <c r="J1669" t="s">
        <v>10</v>
      </c>
      <c r="K1669">
        <v>579.99</v>
      </c>
      <c r="L1669">
        <v>4.2218999999999998E-3</v>
      </c>
      <c r="M1669">
        <v>579.99</v>
      </c>
      <c r="N1669">
        <v>4.2034000000000004E-3</v>
      </c>
      <c r="O1669" t="s">
        <v>2074</v>
      </c>
    </row>
    <row r="1670" spans="1:15" x14ac:dyDescent="0.25">
      <c r="A1670" t="s">
        <v>55</v>
      </c>
      <c r="B1670" t="s">
        <v>8</v>
      </c>
      <c r="C1670">
        <v>33</v>
      </c>
      <c r="D1670">
        <v>330.01</v>
      </c>
      <c r="E1670">
        <v>1E-3</v>
      </c>
      <c r="F1670" t="s">
        <v>6</v>
      </c>
      <c r="G1670" t="s">
        <v>4</v>
      </c>
      <c r="H1670">
        <v>4.4999999999999998E-2</v>
      </c>
      <c r="I1670">
        <v>10.00001</v>
      </c>
      <c r="J1670" t="s">
        <v>10</v>
      </c>
      <c r="K1670">
        <v>12</v>
      </c>
      <c r="L1670">
        <v>0.92</v>
      </c>
      <c r="M1670">
        <v>10.393000000000001</v>
      </c>
      <c r="N1670">
        <v>0.92459000000000002</v>
      </c>
      <c r="O1670" t="s">
        <v>2079</v>
      </c>
    </row>
    <row r="1671" spans="1:15" x14ac:dyDescent="0.25">
      <c r="A1671" t="s">
        <v>55</v>
      </c>
      <c r="B1671" t="s">
        <v>8</v>
      </c>
      <c r="C1671">
        <v>33</v>
      </c>
      <c r="D1671">
        <v>330.01</v>
      </c>
      <c r="E1671">
        <v>1E-3</v>
      </c>
      <c r="F1671" t="s">
        <v>6</v>
      </c>
      <c r="G1671" t="s">
        <v>4</v>
      </c>
      <c r="H1671">
        <v>10</v>
      </c>
      <c r="I1671">
        <v>20.010000000000002</v>
      </c>
      <c r="J1671" t="s">
        <v>10</v>
      </c>
      <c r="K1671">
        <v>24</v>
      </c>
      <c r="L1671">
        <v>1</v>
      </c>
      <c r="M1671">
        <v>10.388</v>
      </c>
      <c r="N1671">
        <v>1.04</v>
      </c>
      <c r="O1671" t="s">
        <v>2081</v>
      </c>
    </row>
    <row r="1672" spans="1:15" x14ac:dyDescent="0.25">
      <c r="A1672" t="s">
        <v>55</v>
      </c>
      <c r="B1672" t="s">
        <v>8</v>
      </c>
      <c r="C1672">
        <v>33</v>
      </c>
      <c r="D1672">
        <v>330.01</v>
      </c>
      <c r="E1672">
        <v>1E-3</v>
      </c>
      <c r="F1672" t="s">
        <v>6</v>
      </c>
      <c r="G1672" t="s">
        <v>4</v>
      </c>
      <c r="H1672">
        <v>0.01</v>
      </c>
      <c r="I1672">
        <v>4.5010000000000001E-2</v>
      </c>
      <c r="J1672" t="s">
        <v>10</v>
      </c>
      <c r="K1672">
        <v>3.5</v>
      </c>
      <c r="L1672">
        <v>0.57999999999999996</v>
      </c>
      <c r="M1672">
        <v>3.4704999999999999</v>
      </c>
      <c r="N1672">
        <v>0.57867999999999997</v>
      </c>
      <c r="O1672" t="s">
        <v>2082</v>
      </c>
    </row>
    <row r="1673" spans="1:15" x14ac:dyDescent="0.25">
      <c r="A1673" t="s">
        <v>55</v>
      </c>
      <c r="B1673" t="s">
        <v>8</v>
      </c>
      <c r="C1673">
        <v>33</v>
      </c>
      <c r="D1673">
        <v>330.01</v>
      </c>
      <c r="E1673">
        <v>1E-3</v>
      </c>
      <c r="F1673" t="s">
        <v>6</v>
      </c>
      <c r="G1673" t="s">
        <v>4</v>
      </c>
      <c r="H1673">
        <v>100</v>
      </c>
      <c r="I1673">
        <v>100.1</v>
      </c>
      <c r="J1673" t="s">
        <v>10</v>
      </c>
      <c r="K1673">
        <v>92</v>
      </c>
      <c r="L1673">
        <v>2.8</v>
      </c>
      <c r="M1673">
        <v>91.936999999999998</v>
      </c>
      <c r="N1673">
        <v>2.7856000000000001</v>
      </c>
      <c r="O1673" t="s">
        <v>2080</v>
      </c>
    </row>
    <row r="1674" spans="1:15" x14ac:dyDescent="0.25">
      <c r="A1674" t="s">
        <v>55</v>
      </c>
      <c r="B1674" t="s">
        <v>8</v>
      </c>
      <c r="C1674">
        <v>33</v>
      </c>
      <c r="D1674">
        <v>330.01</v>
      </c>
      <c r="E1674">
        <v>1E-3</v>
      </c>
      <c r="F1674" t="s">
        <v>6</v>
      </c>
      <c r="G1674" t="s">
        <v>4</v>
      </c>
      <c r="H1674">
        <v>20</v>
      </c>
      <c r="I1674">
        <v>50.01</v>
      </c>
      <c r="J1674" t="s">
        <v>10</v>
      </c>
      <c r="K1674">
        <v>22</v>
      </c>
      <c r="L1674">
        <v>1.4</v>
      </c>
      <c r="M1674">
        <v>10.266</v>
      </c>
      <c r="N1674">
        <v>1.3912</v>
      </c>
      <c r="O1674" t="s">
        <v>2084</v>
      </c>
    </row>
    <row r="1675" spans="1:15" x14ac:dyDescent="0.25">
      <c r="A1675" t="s">
        <v>55</v>
      </c>
      <c r="B1675" t="s">
        <v>8</v>
      </c>
      <c r="C1675">
        <v>33</v>
      </c>
      <c r="D1675">
        <v>330.01</v>
      </c>
      <c r="E1675">
        <v>1E-3</v>
      </c>
      <c r="F1675" t="s">
        <v>6</v>
      </c>
      <c r="G1675" t="s">
        <v>4</v>
      </c>
      <c r="H1675">
        <v>50</v>
      </c>
      <c r="I1675">
        <v>100</v>
      </c>
      <c r="J1675" t="s">
        <v>10</v>
      </c>
      <c r="K1675">
        <v>92</v>
      </c>
      <c r="L1675">
        <v>2.8</v>
      </c>
      <c r="M1675">
        <v>91.936999999999998</v>
      </c>
      <c r="N1675">
        <v>2.7856000000000001</v>
      </c>
      <c r="O1675" t="s">
        <v>2083</v>
      </c>
    </row>
    <row r="1676" spans="1:15" x14ac:dyDescent="0.25">
      <c r="A1676" t="s">
        <v>55</v>
      </c>
      <c r="B1676" t="s">
        <v>8</v>
      </c>
      <c r="C1676">
        <v>33</v>
      </c>
      <c r="D1676">
        <v>330.01</v>
      </c>
      <c r="E1676">
        <v>0.01</v>
      </c>
      <c r="F1676" t="s">
        <v>6</v>
      </c>
      <c r="G1676" t="s">
        <v>4</v>
      </c>
      <c r="H1676">
        <v>4.4999999999999998E-2</v>
      </c>
      <c r="I1676">
        <v>10.00001</v>
      </c>
      <c r="J1676" t="s">
        <v>10</v>
      </c>
      <c r="K1676">
        <v>12</v>
      </c>
      <c r="L1676">
        <v>0.92330999999999996</v>
      </c>
      <c r="M1676">
        <v>10.834</v>
      </c>
      <c r="N1676">
        <v>0.9234</v>
      </c>
      <c r="O1676" t="s">
        <v>2086</v>
      </c>
    </row>
    <row r="1677" spans="1:15" x14ac:dyDescent="0.25">
      <c r="A1677" t="s">
        <v>55</v>
      </c>
      <c r="B1677" t="s">
        <v>8</v>
      </c>
      <c r="C1677">
        <v>33</v>
      </c>
      <c r="D1677">
        <v>330.01</v>
      </c>
      <c r="E1677">
        <v>0.01</v>
      </c>
      <c r="F1677" t="s">
        <v>6</v>
      </c>
      <c r="G1677" t="s">
        <v>4</v>
      </c>
      <c r="H1677">
        <v>10</v>
      </c>
      <c r="I1677">
        <v>20.010000000000002</v>
      </c>
      <c r="J1677" t="s">
        <v>10</v>
      </c>
      <c r="K1677">
        <v>24</v>
      </c>
      <c r="L1677">
        <v>1.0331999999999999</v>
      </c>
      <c r="M1677">
        <v>10.795999999999999</v>
      </c>
      <c r="N1677">
        <v>1.0388999999999999</v>
      </c>
      <c r="O1677" t="s">
        <v>2088</v>
      </c>
    </row>
    <row r="1678" spans="1:15" x14ac:dyDescent="0.25">
      <c r="A1678" t="s">
        <v>55</v>
      </c>
      <c r="B1678" t="s">
        <v>8</v>
      </c>
      <c r="C1678">
        <v>33</v>
      </c>
      <c r="D1678">
        <v>330.01</v>
      </c>
      <c r="E1678">
        <v>0.01</v>
      </c>
      <c r="F1678" t="s">
        <v>6</v>
      </c>
      <c r="G1678" t="s">
        <v>4</v>
      </c>
      <c r="H1678">
        <v>0.01</v>
      </c>
      <c r="I1678">
        <v>4.5010000000000001E-2</v>
      </c>
      <c r="J1678" t="s">
        <v>10</v>
      </c>
      <c r="K1678">
        <v>4.2872000000000003</v>
      </c>
      <c r="L1678">
        <v>0.57647000000000004</v>
      </c>
      <c r="M1678">
        <v>4.2606000000000002</v>
      </c>
      <c r="N1678">
        <v>0.57652000000000003</v>
      </c>
      <c r="O1678" t="s">
        <v>2087</v>
      </c>
    </row>
    <row r="1679" spans="1:15" x14ac:dyDescent="0.25">
      <c r="A1679" t="s">
        <v>55</v>
      </c>
      <c r="B1679" t="s">
        <v>8</v>
      </c>
      <c r="C1679">
        <v>33</v>
      </c>
      <c r="D1679">
        <v>330.01</v>
      </c>
      <c r="E1679">
        <v>0.01</v>
      </c>
      <c r="F1679" t="s">
        <v>6</v>
      </c>
      <c r="G1679" t="s">
        <v>4</v>
      </c>
      <c r="H1679">
        <v>50</v>
      </c>
      <c r="I1679">
        <v>100</v>
      </c>
      <c r="J1679" t="s">
        <v>10</v>
      </c>
      <c r="K1679">
        <v>92.063000000000002</v>
      </c>
      <c r="L1679">
        <v>2.7852999999999999</v>
      </c>
      <c r="M1679">
        <v>92.033000000000001</v>
      </c>
      <c r="N1679">
        <v>2.7854000000000001</v>
      </c>
      <c r="O1679" t="s">
        <v>2089</v>
      </c>
    </row>
    <row r="1680" spans="1:15" x14ac:dyDescent="0.25">
      <c r="A1680" t="s">
        <v>55</v>
      </c>
      <c r="B1680" t="s">
        <v>8</v>
      </c>
      <c r="C1680">
        <v>33</v>
      </c>
      <c r="D1680">
        <v>330.01</v>
      </c>
      <c r="E1680">
        <v>0.01</v>
      </c>
      <c r="F1680" t="s">
        <v>6</v>
      </c>
      <c r="G1680" t="s">
        <v>4</v>
      </c>
      <c r="H1680">
        <v>20</v>
      </c>
      <c r="I1680">
        <v>50.01</v>
      </c>
      <c r="J1680" t="s">
        <v>10</v>
      </c>
      <c r="K1680">
        <v>22</v>
      </c>
      <c r="L1680">
        <v>1.4</v>
      </c>
      <c r="M1680">
        <v>10.577</v>
      </c>
      <c r="N1680">
        <v>1.3904000000000001</v>
      </c>
      <c r="O1680" t="s">
        <v>2711</v>
      </c>
    </row>
    <row r="1681" spans="1:15" x14ac:dyDescent="0.25">
      <c r="A1681" t="s">
        <v>55</v>
      </c>
      <c r="B1681" t="s">
        <v>8</v>
      </c>
      <c r="C1681">
        <v>33</v>
      </c>
      <c r="D1681">
        <v>330.01</v>
      </c>
      <c r="E1681">
        <v>0.01</v>
      </c>
      <c r="F1681" t="s">
        <v>6</v>
      </c>
      <c r="G1681" t="s">
        <v>4</v>
      </c>
      <c r="H1681">
        <v>100</v>
      </c>
      <c r="I1681">
        <v>100.1</v>
      </c>
      <c r="J1681" t="s">
        <v>10</v>
      </c>
      <c r="K1681">
        <v>92.063000000000002</v>
      </c>
      <c r="L1681">
        <v>2.7852999999999999</v>
      </c>
      <c r="M1681">
        <v>92.033000000000001</v>
      </c>
      <c r="N1681">
        <v>2.7854000000000001</v>
      </c>
      <c r="O1681" t="s">
        <v>2085</v>
      </c>
    </row>
    <row r="1682" spans="1:15" x14ac:dyDescent="0.25">
      <c r="A1682" t="s">
        <v>55</v>
      </c>
      <c r="B1682" t="s">
        <v>8</v>
      </c>
      <c r="C1682">
        <v>33</v>
      </c>
      <c r="D1682">
        <v>330.01</v>
      </c>
      <c r="E1682">
        <v>0.1</v>
      </c>
      <c r="F1682" t="s">
        <v>6</v>
      </c>
      <c r="G1682" t="s">
        <v>4</v>
      </c>
      <c r="H1682">
        <v>100</v>
      </c>
      <c r="I1682">
        <v>100.1</v>
      </c>
      <c r="J1682" t="s">
        <v>10</v>
      </c>
      <c r="K1682">
        <v>101.77</v>
      </c>
      <c r="L1682">
        <v>2.7610000000000001</v>
      </c>
      <c r="M1682">
        <v>101.69</v>
      </c>
      <c r="N1682">
        <v>2.7610999999999999</v>
      </c>
      <c r="O1682" t="s">
        <v>2714</v>
      </c>
    </row>
    <row r="1683" spans="1:15" x14ac:dyDescent="0.25">
      <c r="A1683" t="s">
        <v>55</v>
      </c>
      <c r="B1683" t="s">
        <v>8</v>
      </c>
      <c r="C1683">
        <v>33</v>
      </c>
      <c r="D1683">
        <v>330.01</v>
      </c>
      <c r="E1683">
        <v>0.1</v>
      </c>
      <c r="F1683" t="s">
        <v>6</v>
      </c>
      <c r="G1683" t="s">
        <v>4</v>
      </c>
      <c r="H1683">
        <v>0.01</v>
      </c>
      <c r="I1683">
        <v>4.5010000000000001E-2</v>
      </c>
      <c r="J1683" t="s">
        <v>10</v>
      </c>
      <c r="K1683">
        <v>46.640999999999998</v>
      </c>
      <c r="L1683">
        <v>0.47359000000000001</v>
      </c>
      <c r="M1683">
        <v>46.601999999999997</v>
      </c>
      <c r="N1683">
        <v>0.47360999999999998</v>
      </c>
      <c r="O1683" t="s">
        <v>2091</v>
      </c>
    </row>
    <row r="1684" spans="1:15" x14ac:dyDescent="0.25">
      <c r="A1684" t="s">
        <v>55</v>
      </c>
      <c r="B1684" t="s">
        <v>8</v>
      </c>
      <c r="C1684">
        <v>33</v>
      </c>
      <c r="D1684">
        <v>330.01</v>
      </c>
      <c r="E1684">
        <v>0.1</v>
      </c>
      <c r="F1684" t="s">
        <v>6</v>
      </c>
      <c r="G1684" t="s">
        <v>4</v>
      </c>
      <c r="H1684">
        <v>4.4999999999999998E-2</v>
      </c>
      <c r="I1684">
        <v>10.00001</v>
      </c>
      <c r="J1684" t="s">
        <v>10</v>
      </c>
      <c r="K1684">
        <v>43.308999999999997</v>
      </c>
      <c r="L1684">
        <v>0.84099999999999997</v>
      </c>
      <c r="M1684">
        <v>43.21</v>
      </c>
      <c r="N1684">
        <v>0.84114999999999995</v>
      </c>
      <c r="O1684" t="s">
        <v>2715</v>
      </c>
    </row>
    <row r="1685" spans="1:15" x14ac:dyDescent="0.25">
      <c r="A1685" t="s">
        <v>55</v>
      </c>
      <c r="B1685" t="s">
        <v>8</v>
      </c>
      <c r="C1685">
        <v>33</v>
      </c>
      <c r="D1685">
        <v>330.01</v>
      </c>
      <c r="E1685">
        <v>0.1</v>
      </c>
      <c r="F1685" t="s">
        <v>6</v>
      </c>
      <c r="G1685" t="s">
        <v>4</v>
      </c>
      <c r="H1685">
        <v>10</v>
      </c>
      <c r="I1685">
        <v>20.010000000000002</v>
      </c>
      <c r="J1685" t="s">
        <v>10</v>
      </c>
      <c r="K1685">
        <v>41.651000000000003</v>
      </c>
      <c r="L1685">
        <v>0.95969000000000004</v>
      </c>
      <c r="M1685">
        <v>41.554000000000002</v>
      </c>
      <c r="N1685">
        <v>0.95984999999999998</v>
      </c>
      <c r="O1685" t="s">
        <v>2090</v>
      </c>
    </row>
    <row r="1686" spans="1:15" x14ac:dyDescent="0.25">
      <c r="A1686" t="s">
        <v>55</v>
      </c>
      <c r="B1686" t="s">
        <v>8</v>
      </c>
      <c r="C1686">
        <v>33</v>
      </c>
      <c r="D1686">
        <v>330.01</v>
      </c>
      <c r="E1686">
        <v>0.1</v>
      </c>
      <c r="F1686" t="s">
        <v>6</v>
      </c>
      <c r="G1686" t="s">
        <v>4</v>
      </c>
      <c r="H1686">
        <v>20</v>
      </c>
      <c r="I1686">
        <v>50.01</v>
      </c>
      <c r="J1686" t="s">
        <v>10</v>
      </c>
      <c r="K1686">
        <v>36.020000000000003</v>
      </c>
      <c r="L1686">
        <v>1.3574999999999999</v>
      </c>
      <c r="M1686">
        <v>37.167000000000002</v>
      </c>
      <c r="N1686">
        <v>1.3205</v>
      </c>
      <c r="O1686" t="s">
        <v>2712</v>
      </c>
    </row>
    <row r="1687" spans="1:15" x14ac:dyDescent="0.25">
      <c r="A1687" t="s">
        <v>55</v>
      </c>
      <c r="B1687" t="s">
        <v>8</v>
      </c>
      <c r="C1687">
        <v>33</v>
      </c>
      <c r="D1687">
        <v>330.01</v>
      </c>
      <c r="E1687">
        <v>0.1</v>
      </c>
      <c r="F1687" t="s">
        <v>6</v>
      </c>
      <c r="G1687" t="s">
        <v>4</v>
      </c>
      <c r="H1687">
        <v>50</v>
      </c>
      <c r="I1687">
        <v>100</v>
      </c>
      <c r="J1687" t="s">
        <v>10</v>
      </c>
      <c r="K1687">
        <v>101.77</v>
      </c>
      <c r="L1687">
        <v>2.7610000000000001</v>
      </c>
      <c r="M1687">
        <v>101.69</v>
      </c>
      <c r="N1687">
        <v>2.7610999999999999</v>
      </c>
      <c r="O1687" t="s">
        <v>2713</v>
      </c>
    </row>
    <row r="1688" spans="1:15" x14ac:dyDescent="0.25">
      <c r="A1688" t="s">
        <v>55</v>
      </c>
      <c r="B1688" t="s">
        <v>8</v>
      </c>
      <c r="C1688">
        <v>33</v>
      </c>
      <c r="D1688">
        <v>330.01</v>
      </c>
      <c r="E1688">
        <v>1</v>
      </c>
      <c r="F1688" t="s">
        <v>6</v>
      </c>
      <c r="G1688" t="s">
        <v>4</v>
      </c>
      <c r="H1688">
        <v>10</v>
      </c>
      <c r="I1688">
        <v>20.010000000000002</v>
      </c>
      <c r="J1688" t="s">
        <v>10</v>
      </c>
      <c r="K1688">
        <v>570.91999999999996</v>
      </c>
      <c r="L1688">
        <v>0.32863999999999999</v>
      </c>
      <c r="M1688">
        <v>570.88</v>
      </c>
      <c r="N1688">
        <v>0.32847999999999999</v>
      </c>
      <c r="O1688" t="s">
        <v>2094</v>
      </c>
    </row>
    <row r="1689" spans="1:15" x14ac:dyDescent="0.25">
      <c r="A1689" t="s">
        <v>55</v>
      </c>
      <c r="B1689" t="s">
        <v>8</v>
      </c>
      <c r="C1689">
        <v>33</v>
      </c>
      <c r="D1689">
        <v>330.01</v>
      </c>
      <c r="E1689">
        <v>1</v>
      </c>
      <c r="F1689" t="s">
        <v>6</v>
      </c>
      <c r="G1689" t="s">
        <v>4</v>
      </c>
      <c r="H1689">
        <v>20</v>
      </c>
      <c r="I1689">
        <v>50.01</v>
      </c>
      <c r="J1689" t="s">
        <v>10</v>
      </c>
      <c r="K1689">
        <v>564.6</v>
      </c>
      <c r="L1689">
        <v>0.55034000000000005</v>
      </c>
      <c r="M1689">
        <v>564.55999999999995</v>
      </c>
      <c r="N1689">
        <v>0.55020999999999998</v>
      </c>
      <c r="O1689" t="s">
        <v>2096</v>
      </c>
    </row>
    <row r="1690" spans="1:15" x14ac:dyDescent="0.25">
      <c r="A1690" t="s">
        <v>55</v>
      </c>
      <c r="B1690" t="s">
        <v>8</v>
      </c>
      <c r="C1690">
        <v>33</v>
      </c>
      <c r="D1690">
        <v>330.01</v>
      </c>
      <c r="E1690">
        <v>1</v>
      </c>
      <c r="F1690" t="s">
        <v>6</v>
      </c>
      <c r="G1690" t="s">
        <v>4</v>
      </c>
      <c r="H1690">
        <v>50</v>
      </c>
      <c r="I1690">
        <v>100</v>
      </c>
      <c r="J1690" t="s">
        <v>10</v>
      </c>
      <c r="K1690">
        <v>546.63</v>
      </c>
      <c r="L1690">
        <v>1.8765000000000001</v>
      </c>
      <c r="M1690">
        <v>546.54</v>
      </c>
      <c r="N1690">
        <v>1.8763000000000001</v>
      </c>
      <c r="O1690" t="s">
        <v>2093</v>
      </c>
    </row>
    <row r="1691" spans="1:15" x14ac:dyDescent="0.25">
      <c r="A1691" t="s">
        <v>55</v>
      </c>
      <c r="B1691" t="s">
        <v>8</v>
      </c>
      <c r="C1691">
        <v>33</v>
      </c>
      <c r="D1691">
        <v>330.01</v>
      </c>
      <c r="E1691">
        <v>1</v>
      </c>
      <c r="F1691" t="s">
        <v>6</v>
      </c>
      <c r="G1691" t="s">
        <v>4</v>
      </c>
      <c r="H1691">
        <v>100</v>
      </c>
      <c r="I1691">
        <v>100.1</v>
      </c>
      <c r="J1691" t="s">
        <v>10</v>
      </c>
      <c r="K1691">
        <v>546.63</v>
      </c>
      <c r="L1691">
        <v>1.8765000000000001</v>
      </c>
      <c r="M1691">
        <v>546.54</v>
      </c>
      <c r="N1691">
        <v>1.8763000000000001</v>
      </c>
      <c r="O1691" t="s">
        <v>2097</v>
      </c>
    </row>
    <row r="1692" spans="1:15" x14ac:dyDescent="0.25">
      <c r="A1692" t="s">
        <v>55</v>
      </c>
      <c r="B1692" t="s">
        <v>8</v>
      </c>
      <c r="C1692">
        <v>33</v>
      </c>
      <c r="D1692">
        <v>330.01</v>
      </c>
      <c r="E1692">
        <v>1</v>
      </c>
      <c r="F1692" t="s">
        <v>6</v>
      </c>
      <c r="G1692" t="s">
        <v>4</v>
      </c>
      <c r="H1692">
        <v>4.4999999999999998E-2</v>
      </c>
      <c r="I1692">
        <v>10.00001</v>
      </c>
      <c r="J1692" t="s">
        <v>10</v>
      </c>
      <c r="K1692">
        <v>572.72</v>
      </c>
      <c r="L1692">
        <v>0.26556000000000002</v>
      </c>
      <c r="M1692">
        <v>572.67999999999995</v>
      </c>
      <c r="N1692">
        <v>0.26538</v>
      </c>
      <c r="O1692" t="s">
        <v>2092</v>
      </c>
    </row>
    <row r="1693" spans="1:15" x14ac:dyDescent="0.25">
      <c r="A1693" t="s">
        <v>55</v>
      </c>
      <c r="B1693" t="s">
        <v>8</v>
      </c>
      <c r="C1693">
        <v>33</v>
      </c>
      <c r="D1693">
        <v>330.01</v>
      </c>
      <c r="E1693">
        <v>1</v>
      </c>
      <c r="F1693" t="s">
        <v>6</v>
      </c>
      <c r="G1693" t="s">
        <v>4</v>
      </c>
      <c r="H1693">
        <v>0.01</v>
      </c>
      <c r="I1693">
        <v>4.5010000000000001E-2</v>
      </c>
      <c r="J1693" t="s">
        <v>10</v>
      </c>
      <c r="K1693">
        <v>576.98</v>
      </c>
      <c r="L1693">
        <v>0.10542</v>
      </c>
      <c r="M1693">
        <v>576.96</v>
      </c>
      <c r="N1693">
        <v>0.10532999999999999</v>
      </c>
      <c r="O1693" t="s">
        <v>2095</v>
      </c>
    </row>
    <row r="1694" spans="1:15" x14ac:dyDescent="0.25">
      <c r="A1694" t="s">
        <v>55</v>
      </c>
      <c r="B1694" t="s">
        <v>8</v>
      </c>
      <c r="C1694">
        <v>33</v>
      </c>
      <c r="D1694">
        <v>330.01</v>
      </c>
      <c r="E1694">
        <v>10</v>
      </c>
      <c r="F1694" t="s">
        <v>6</v>
      </c>
      <c r="G1694" t="s">
        <v>4</v>
      </c>
      <c r="H1694">
        <v>4.4999999999999998E-2</v>
      </c>
      <c r="I1694">
        <v>10.00001</v>
      </c>
      <c r="J1694" t="s">
        <v>10</v>
      </c>
      <c r="K1694">
        <v>5799.2</v>
      </c>
      <c r="L1694">
        <v>2.8473999999999999E-2</v>
      </c>
      <c r="M1694">
        <v>5799.2</v>
      </c>
      <c r="N1694">
        <v>2.8386000000000002E-2</v>
      </c>
      <c r="O1694" t="s">
        <v>2716</v>
      </c>
    </row>
    <row r="1695" spans="1:15" x14ac:dyDescent="0.25">
      <c r="A1695" t="s">
        <v>55</v>
      </c>
      <c r="B1695" t="s">
        <v>8</v>
      </c>
      <c r="C1695">
        <v>33</v>
      </c>
      <c r="D1695">
        <v>330.01</v>
      </c>
      <c r="E1695">
        <v>10</v>
      </c>
      <c r="F1695" t="s">
        <v>6</v>
      </c>
      <c r="G1695" t="s">
        <v>4</v>
      </c>
      <c r="H1695">
        <v>20</v>
      </c>
      <c r="I1695">
        <v>50.01</v>
      </c>
      <c r="J1695" t="s">
        <v>10</v>
      </c>
      <c r="K1695">
        <v>5798.2</v>
      </c>
      <c r="L1695">
        <v>6.3011999999999999E-2</v>
      </c>
      <c r="M1695">
        <v>5798.2</v>
      </c>
      <c r="N1695">
        <v>6.2924999999999995E-2</v>
      </c>
      <c r="O1695" t="s">
        <v>2099</v>
      </c>
    </row>
    <row r="1696" spans="1:15" x14ac:dyDescent="0.25">
      <c r="A1696" t="s">
        <v>55</v>
      </c>
      <c r="B1696" t="s">
        <v>8</v>
      </c>
      <c r="C1696">
        <v>33</v>
      </c>
      <c r="D1696">
        <v>330.01</v>
      </c>
      <c r="E1696">
        <v>10</v>
      </c>
      <c r="F1696" t="s">
        <v>6</v>
      </c>
      <c r="G1696" t="s">
        <v>4</v>
      </c>
      <c r="H1696">
        <v>0.01</v>
      </c>
      <c r="I1696">
        <v>4.5010000000000001E-2</v>
      </c>
      <c r="J1696" t="s">
        <v>10</v>
      </c>
      <c r="K1696">
        <v>5799.7</v>
      </c>
      <c r="L1696">
        <v>1.0862E-2</v>
      </c>
      <c r="M1696">
        <v>5799.7</v>
      </c>
      <c r="N1696">
        <v>1.0822E-2</v>
      </c>
      <c r="O1696" t="s">
        <v>2100</v>
      </c>
    </row>
    <row r="1697" spans="1:15" x14ac:dyDescent="0.25">
      <c r="A1697" t="s">
        <v>55</v>
      </c>
      <c r="B1697" t="s">
        <v>8</v>
      </c>
      <c r="C1697">
        <v>33</v>
      </c>
      <c r="D1697">
        <v>330.01</v>
      </c>
      <c r="E1697">
        <v>10</v>
      </c>
      <c r="F1697" t="s">
        <v>6</v>
      </c>
      <c r="G1697" t="s">
        <v>4</v>
      </c>
      <c r="H1697">
        <v>10</v>
      </c>
      <c r="I1697">
        <v>20.010000000000002</v>
      </c>
      <c r="J1697" t="s">
        <v>10</v>
      </c>
      <c r="K1697">
        <v>5799</v>
      </c>
      <c r="L1697">
        <v>3.5762000000000002E-2</v>
      </c>
      <c r="M1697">
        <v>5799</v>
      </c>
      <c r="N1697">
        <v>3.5673999999999997E-2</v>
      </c>
      <c r="O1697" t="s">
        <v>2102</v>
      </c>
    </row>
    <row r="1698" spans="1:15" x14ac:dyDescent="0.25">
      <c r="A1698" t="s">
        <v>55</v>
      </c>
      <c r="B1698" t="s">
        <v>8</v>
      </c>
      <c r="C1698">
        <v>33</v>
      </c>
      <c r="D1698">
        <v>330.01</v>
      </c>
      <c r="E1698">
        <v>10</v>
      </c>
      <c r="F1698" t="s">
        <v>6</v>
      </c>
      <c r="G1698" t="s">
        <v>4</v>
      </c>
      <c r="H1698">
        <v>50</v>
      </c>
      <c r="I1698">
        <v>100</v>
      </c>
      <c r="J1698" t="s">
        <v>10</v>
      </c>
      <c r="K1698">
        <v>5793.6</v>
      </c>
      <c r="L1698">
        <v>0.28499000000000002</v>
      </c>
      <c r="M1698">
        <v>5793.5</v>
      </c>
      <c r="N1698">
        <v>0.28476000000000001</v>
      </c>
      <c r="O1698" t="s">
        <v>2101</v>
      </c>
    </row>
    <row r="1699" spans="1:15" x14ac:dyDescent="0.25">
      <c r="A1699" t="s">
        <v>55</v>
      </c>
      <c r="B1699" t="s">
        <v>8</v>
      </c>
      <c r="C1699">
        <v>33</v>
      </c>
      <c r="D1699">
        <v>330.01</v>
      </c>
      <c r="E1699">
        <v>10</v>
      </c>
      <c r="F1699" t="s">
        <v>6</v>
      </c>
      <c r="G1699" t="s">
        <v>4</v>
      </c>
      <c r="H1699">
        <v>100</v>
      </c>
      <c r="I1699">
        <v>100.1</v>
      </c>
      <c r="J1699" t="s">
        <v>10</v>
      </c>
      <c r="K1699">
        <v>5793.6</v>
      </c>
      <c r="L1699">
        <v>0.28499000000000002</v>
      </c>
      <c r="M1699">
        <v>5793.5</v>
      </c>
      <c r="N1699">
        <v>0.28476000000000001</v>
      </c>
      <c r="O1699" t="s">
        <v>2098</v>
      </c>
    </row>
    <row r="1700" spans="1:15" x14ac:dyDescent="0.25">
      <c r="A1700" t="s">
        <v>55</v>
      </c>
      <c r="B1700" t="s">
        <v>8</v>
      </c>
      <c r="C1700">
        <v>330</v>
      </c>
      <c r="D1700">
        <v>1020.01</v>
      </c>
      <c r="E1700">
        <v>1E-3</v>
      </c>
      <c r="F1700" t="s">
        <v>6</v>
      </c>
      <c r="G1700" t="s">
        <v>4</v>
      </c>
      <c r="H1700">
        <v>4.4999999999999998E-2</v>
      </c>
      <c r="I1700">
        <v>1.0000100000000001</v>
      </c>
      <c r="J1700" t="s">
        <v>10</v>
      </c>
      <c r="K1700">
        <v>24</v>
      </c>
      <c r="L1700">
        <v>0.57999999999999996</v>
      </c>
      <c r="M1700">
        <v>23.335000000000001</v>
      </c>
      <c r="N1700">
        <v>0.57833999999999997</v>
      </c>
      <c r="O1700" t="s">
        <v>2717</v>
      </c>
    </row>
    <row r="1701" spans="1:15" x14ac:dyDescent="0.25">
      <c r="A1701" t="s">
        <v>55</v>
      </c>
      <c r="B1701" t="s">
        <v>8</v>
      </c>
      <c r="C1701">
        <v>330</v>
      </c>
      <c r="D1701">
        <v>1020.01</v>
      </c>
      <c r="E1701">
        <v>1E-3</v>
      </c>
      <c r="F1701" t="s">
        <v>6</v>
      </c>
      <c r="G1701" t="s">
        <v>4</v>
      </c>
      <c r="H1701">
        <v>10</v>
      </c>
      <c r="I1701">
        <v>10.01</v>
      </c>
      <c r="J1701" t="s">
        <v>10</v>
      </c>
      <c r="K1701">
        <v>64</v>
      </c>
      <c r="L1701">
        <v>1</v>
      </c>
      <c r="M1701">
        <v>23.23</v>
      </c>
      <c r="N1701">
        <v>1.0398000000000001</v>
      </c>
      <c r="O1701" t="s">
        <v>2105</v>
      </c>
    </row>
    <row r="1702" spans="1:15" x14ac:dyDescent="0.25">
      <c r="A1702" t="s">
        <v>55</v>
      </c>
      <c r="B1702" t="s">
        <v>8</v>
      </c>
      <c r="C1702">
        <v>330</v>
      </c>
      <c r="D1702">
        <v>1020.01</v>
      </c>
      <c r="E1702">
        <v>1E-3</v>
      </c>
      <c r="F1702" t="s">
        <v>6</v>
      </c>
      <c r="G1702" t="s">
        <v>4</v>
      </c>
      <c r="H1702">
        <v>1</v>
      </c>
      <c r="I1702">
        <v>5.01</v>
      </c>
      <c r="J1702" t="s">
        <v>10</v>
      </c>
      <c r="K1702">
        <v>28</v>
      </c>
      <c r="L1702">
        <v>0.92</v>
      </c>
      <c r="M1702">
        <v>23.262</v>
      </c>
      <c r="N1702">
        <v>0.92437000000000002</v>
      </c>
      <c r="O1702" t="s">
        <v>2104</v>
      </c>
    </row>
    <row r="1703" spans="1:15" x14ac:dyDescent="0.25">
      <c r="A1703" t="s">
        <v>55</v>
      </c>
      <c r="B1703" t="s">
        <v>8</v>
      </c>
      <c r="C1703">
        <v>330</v>
      </c>
      <c r="D1703">
        <v>1020.01</v>
      </c>
      <c r="E1703">
        <v>1E-3</v>
      </c>
      <c r="F1703" t="s">
        <v>6</v>
      </c>
      <c r="G1703" t="s">
        <v>4</v>
      </c>
      <c r="H1703">
        <v>5</v>
      </c>
      <c r="I1703">
        <v>10.01</v>
      </c>
      <c r="J1703" t="s">
        <v>10</v>
      </c>
      <c r="K1703">
        <v>64</v>
      </c>
      <c r="L1703">
        <v>1</v>
      </c>
      <c r="M1703">
        <v>23.23</v>
      </c>
      <c r="N1703">
        <v>1.0398000000000001</v>
      </c>
      <c r="O1703" t="s">
        <v>2103</v>
      </c>
    </row>
    <row r="1704" spans="1:15" x14ac:dyDescent="0.25">
      <c r="A1704" t="s">
        <v>55</v>
      </c>
      <c r="B1704" t="s">
        <v>8</v>
      </c>
      <c r="C1704">
        <v>330</v>
      </c>
      <c r="D1704">
        <v>1020.01</v>
      </c>
      <c r="E1704">
        <v>0.01</v>
      </c>
      <c r="F1704" t="s">
        <v>6</v>
      </c>
      <c r="G1704" t="s">
        <v>4</v>
      </c>
      <c r="H1704">
        <v>1</v>
      </c>
      <c r="I1704">
        <v>5.01</v>
      </c>
      <c r="J1704" t="s">
        <v>10</v>
      </c>
      <c r="K1704">
        <v>29.895</v>
      </c>
      <c r="L1704">
        <v>0.91966999999999999</v>
      </c>
      <c r="M1704">
        <v>29.873000000000001</v>
      </c>
      <c r="N1704">
        <v>0.91957</v>
      </c>
      <c r="O1704" t="s">
        <v>2718</v>
      </c>
    </row>
    <row r="1705" spans="1:15" x14ac:dyDescent="0.25">
      <c r="A1705" t="s">
        <v>55</v>
      </c>
      <c r="B1705" t="s">
        <v>8</v>
      </c>
      <c r="C1705">
        <v>330</v>
      </c>
      <c r="D1705">
        <v>1020.01</v>
      </c>
      <c r="E1705">
        <v>0.01</v>
      </c>
      <c r="F1705" t="s">
        <v>6</v>
      </c>
      <c r="G1705" t="s">
        <v>4</v>
      </c>
      <c r="H1705">
        <v>4.4999999999999998E-2</v>
      </c>
      <c r="I1705">
        <v>1.0000100000000001</v>
      </c>
      <c r="J1705" t="s">
        <v>10</v>
      </c>
      <c r="K1705">
        <v>33.353999999999999</v>
      </c>
      <c r="L1705">
        <v>0.57133999999999996</v>
      </c>
      <c r="M1705">
        <v>33.320999999999998</v>
      </c>
      <c r="N1705">
        <v>0.57118999999999998</v>
      </c>
      <c r="O1705" t="s">
        <v>2107</v>
      </c>
    </row>
    <row r="1706" spans="1:15" x14ac:dyDescent="0.25">
      <c r="A1706" t="s">
        <v>55</v>
      </c>
      <c r="B1706" t="s">
        <v>8</v>
      </c>
      <c r="C1706">
        <v>330</v>
      </c>
      <c r="D1706">
        <v>1020.01</v>
      </c>
      <c r="E1706">
        <v>0.01</v>
      </c>
      <c r="F1706" t="s">
        <v>6</v>
      </c>
      <c r="G1706" t="s">
        <v>4</v>
      </c>
      <c r="H1706">
        <v>5</v>
      </c>
      <c r="I1706">
        <v>10.01</v>
      </c>
      <c r="J1706" t="s">
        <v>10</v>
      </c>
      <c r="K1706">
        <v>64</v>
      </c>
      <c r="L1706">
        <v>1.0355000000000001</v>
      </c>
      <c r="M1706">
        <v>29.164999999999999</v>
      </c>
      <c r="N1706">
        <v>1.0355000000000001</v>
      </c>
      <c r="O1706" t="s">
        <v>2108</v>
      </c>
    </row>
    <row r="1707" spans="1:15" x14ac:dyDescent="0.25">
      <c r="A1707" t="s">
        <v>55</v>
      </c>
      <c r="B1707" t="s">
        <v>8</v>
      </c>
      <c r="C1707">
        <v>330</v>
      </c>
      <c r="D1707">
        <v>1020.01</v>
      </c>
      <c r="E1707">
        <v>0.01</v>
      </c>
      <c r="F1707" t="s">
        <v>6</v>
      </c>
      <c r="G1707" t="s">
        <v>4</v>
      </c>
      <c r="H1707">
        <v>10</v>
      </c>
      <c r="I1707">
        <v>10.01</v>
      </c>
      <c r="J1707" t="s">
        <v>10</v>
      </c>
      <c r="K1707">
        <v>64</v>
      </c>
      <c r="L1707">
        <v>1.0355000000000001</v>
      </c>
      <c r="M1707">
        <v>29.164999999999999</v>
      </c>
      <c r="N1707">
        <v>1.0355000000000001</v>
      </c>
      <c r="O1707" t="s">
        <v>2106</v>
      </c>
    </row>
    <row r="1708" spans="1:15" x14ac:dyDescent="0.25">
      <c r="A1708" t="s">
        <v>55</v>
      </c>
      <c r="B1708" t="s">
        <v>8</v>
      </c>
      <c r="C1708">
        <v>330</v>
      </c>
      <c r="D1708">
        <v>1020.01</v>
      </c>
      <c r="E1708">
        <v>0.1</v>
      </c>
      <c r="F1708" t="s">
        <v>6</v>
      </c>
      <c r="G1708" t="s">
        <v>4</v>
      </c>
      <c r="H1708">
        <v>5</v>
      </c>
      <c r="I1708">
        <v>10.01</v>
      </c>
      <c r="J1708" t="s">
        <v>10</v>
      </c>
      <c r="K1708">
        <v>426.17</v>
      </c>
      <c r="L1708">
        <v>0.78768000000000005</v>
      </c>
      <c r="M1708">
        <v>426.19</v>
      </c>
      <c r="N1708">
        <v>0.7873</v>
      </c>
      <c r="O1708" t="s">
        <v>2719</v>
      </c>
    </row>
    <row r="1709" spans="1:15" x14ac:dyDescent="0.25">
      <c r="A1709" t="s">
        <v>55</v>
      </c>
      <c r="B1709" t="s">
        <v>8</v>
      </c>
      <c r="C1709">
        <v>330</v>
      </c>
      <c r="D1709">
        <v>1020.01</v>
      </c>
      <c r="E1709">
        <v>0.1</v>
      </c>
      <c r="F1709" t="s">
        <v>6</v>
      </c>
      <c r="G1709" t="s">
        <v>4</v>
      </c>
      <c r="H1709">
        <v>4.4999999999999998E-2</v>
      </c>
      <c r="I1709">
        <v>1.0000100000000001</v>
      </c>
      <c r="J1709" t="s">
        <v>10</v>
      </c>
      <c r="K1709">
        <v>510.18</v>
      </c>
      <c r="L1709">
        <v>0.32784999999999997</v>
      </c>
      <c r="M1709">
        <v>510.26</v>
      </c>
      <c r="N1709">
        <v>0.32723999999999998</v>
      </c>
      <c r="O1709" t="s">
        <v>2720</v>
      </c>
    </row>
    <row r="1710" spans="1:15" x14ac:dyDescent="0.25">
      <c r="A1710" t="s">
        <v>55</v>
      </c>
      <c r="B1710" t="s">
        <v>8</v>
      </c>
      <c r="C1710">
        <v>330</v>
      </c>
      <c r="D1710">
        <v>1020.01</v>
      </c>
      <c r="E1710">
        <v>0.1</v>
      </c>
      <c r="F1710" t="s">
        <v>6</v>
      </c>
      <c r="G1710" t="s">
        <v>4</v>
      </c>
      <c r="H1710">
        <v>1</v>
      </c>
      <c r="I1710">
        <v>5.01</v>
      </c>
      <c r="J1710" t="s">
        <v>10</v>
      </c>
      <c r="K1710">
        <v>446.23</v>
      </c>
      <c r="L1710">
        <v>0.66766000000000003</v>
      </c>
      <c r="M1710">
        <v>446.26</v>
      </c>
      <c r="N1710">
        <v>0.66722999999999999</v>
      </c>
      <c r="O1710" t="s">
        <v>2110</v>
      </c>
    </row>
    <row r="1711" spans="1:15" x14ac:dyDescent="0.25">
      <c r="A1711" t="s">
        <v>55</v>
      </c>
      <c r="B1711" t="s">
        <v>8</v>
      </c>
      <c r="C1711">
        <v>330</v>
      </c>
      <c r="D1711">
        <v>1020.01</v>
      </c>
      <c r="E1711">
        <v>0.1</v>
      </c>
      <c r="F1711" t="s">
        <v>6</v>
      </c>
      <c r="G1711" t="s">
        <v>4</v>
      </c>
      <c r="H1711">
        <v>10</v>
      </c>
      <c r="I1711">
        <v>10.01</v>
      </c>
      <c r="J1711" t="s">
        <v>10</v>
      </c>
      <c r="K1711">
        <v>426.17</v>
      </c>
      <c r="L1711">
        <v>0.78768000000000005</v>
      </c>
      <c r="M1711">
        <v>426.19</v>
      </c>
      <c r="N1711">
        <v>0.7873</v>
      </c>
      <c r="O1711" t="s">
        <v>2109</v>
      </c>
    </row>
    <row r="1712" spans="1:15" x14ac:dyDescent="0.25">
      <c r="A1712" t="s">
        <v>55</v>
      </c>
      <c r="B1712" t="s">
        <v>8</v>
      </c>
      <c r="C1712">
        <v>330</v>
      </c>
      <c r="D1712">
        <v>1020.01</v>
      </c>
      <c r="E1712">
        <v>1</v>
      </c>
      <c r="F1712" t="s">
        <v>6</v>
      </c>
      <c r="G1712" t="s">
        <v>4</v>
      </c>
      <c r="H1712">
        <v>4.4999999999999998E-2</v>
      </c>
      <c r="I1712">
        <v>1.0000100000000001</v>
      </c>
      <c r="J1712" t="s">
        <v>10</v>
      </c>
      <c r="K1712">
        <v>5790.3</v>
      </c>
      <c r="L1712">
        <v>4.1506000000000001E-2</v>
      </c>
      <c r="M1712">
        <v>5790.4</v>
      </c>
      <c r="N1712">
        <v>4.1123E-2</v>
      </c>
      <c r="O1712" t="s">
        <v>2114</v>
      </c>
    </row>
    <row r="1713" spans="1:15" x14ac:dyDescent="0.25">
      <c r="A1713" t="s">
        <v>55</v>
      </c>
      <c r="B1713" t="s">
        <v>8</v>
      </c>
      <c r="C1713">
        <v>330</v>
      </c>
      <c r="D1713">
        <v>1020.01</v>
      </c>
      <c r="E1713">
        <v>1</v>
      </c>
      <c r="F1713" t="s">
        <v>6</v>
      </c>
      <c r="G1713" t="s">
        <v>4</v>
      </c>
      <c r="H1713">
        <v>10</v>
      </c>
      <c r="I1713">
        <v>10.01</v>
      </c>
      <c r="J1713" t="s">
        <v>10</v>
      </c>
      <c r="K1713">
        <v>5769</v>
      </c>
      <c r="L1713">
        <v>0.12912000000000001</v>
      </c>
      <c r="M1713">
        <v>5769.1</v>
      </c>
      <c r="N1713">
        <v>0.12875</v>
      </c>
      <c r="O1713" t="s">
        <v>2111</v>
      </c>
    </row>
    <row r="1714" spans="1:15" x14ac:dyDescent="0.25">
      <c r="A1714" t="s">
        <v>55</v>
      </c>
      <c r="B1714" t="s">
        <v>8</v>
      </c>
      <c r="C1714">
        <v>330</v>
      </c>
      <c r="D1714">
        <v>1020.01</v>
      </c>
      <c r="E1714">
        <v>1</v>
      </c>
      <c r="F1714" t="s">
        <v>6</v>
      </c>
      <c r="G1714" t="s">
        <v>4</v>
      </c>
      <c r="H1714">
        <v>1</v>
      </c>
      <c r="I1714">
        <v>5.01</v>
      </c>
      <c r="J1714" t="s">
        <v>10</v>
      </c>
      <c r="K1714">
        <v>5775.4</v>
      </c>
      <c r="L1714">
        <v>0.10274</v>
      </c>
      <c r="M1714">
        <v>5775.5</v>
      </c>
      <c r="N1714">
        <v>0.10236000000000001</v>
      </c>
      <c r="O1714" t="s">
        <v>2113</v>
      </c>
    </row>
    <row r="1715" spans="1:15" x14ac:dyDescent="0.25">
      <c r="A1715" t="s">
        <v>55</v>
      </c>
      <c r="B1715" t="s">
        <v>8</v>
      </c>
      <c r="C1715">
        <v>330</v>
      </c>
      <c r="D1715">
        <v>1020.01</v>
      </c>
      <c r="E1715">
        <v>1</v>
      </c>
      <c r="F1715" t="s">
        <v>6</v>
      </c>
      <c r="G1715" t="s">
        <v>4</v>
      </c>
      <c r="H1715">
        <v>5</v>
      </c>
      <c r="I1715">
        <v>10.01</v>
      </c>
      <c r="J1715" t="s">
        <v>10</v>
      </c>
      <c r="K1715">
        <v>5769</v>
      </c>
      <c r="L1715">
        <v>0.12912000000000001</v>
      </c>
      <c r="M1715">
        <v>5769.1</v>
      </c>
      <c r="N1715">
        <v>0.12875</v>
      </c>
      <c r="O1715" t="s">
        <v>2112</v>
      </c>
    </row>
    <row r="1716" spans="1:15" x14ac:dyDescent="0.25">
      <c r="A1716" t="s">
        <v>55</v>
      </c>
      <c r="B1716" t="s">
        <v>8</v>
      </c>
      <c r="C1716">
        <v>330</v>
      </c>
      <c r="D1716">
        <v>1020.01</v>
      </c>
      <c r="E1716">
        <v>10</v>
      </c>
      <c r="F1716" t="s">
        <v>6</v>
      </c>
      <c r="G1716" t="s">
        <v>4</v>
      </c>
      <c r="H1716">
        <v>4.4999999999999998E-2</v>
      </c>
      <c r="I1716">
        <v>1.0000100000000001</v>
      </c>
      <c r="J1716" t="s">
        <v>10</v>
      </c>
      <c r="K1716">
        <v>57999</v>
      </c>
      <c r="L1716">
        <v>4.2792999999999998E-3</v>
      </c>
      <c r="M1716">
        <v>57999</v>
      </c>
      <c r="N1716">
        <v>4.1250000000000002E-3</v>
      </c>
      <c r="O1716" t="s">
        <v>2721</v>
      </c>
    </row>
    <row r="1717" spans="1:15" x14ac:dyDescent="0.25">
      <c r="A1717" t="s">
        <v>55</v>
      </c>
      <c r="B1717" t="s">
        <v>8</v>
      </c>
      <c r="C1717">
        <v>330</v>
      </c>
      <c r="D1717">
        <v>1020.01</v>
      </c>
      <c r="E1717">
        <v>10</v>
      </c>
      <c r="F1717" t="s">
        <v>6</v>
      </c>
      <c r="G1717" t="s">
        <v>4</v>
      </c>
      <c r="H1717">
        <v>1</v>
      </c>
      <c r="I1717">
        <v>5.01</v>
      </c>
      <c r="J1717" t="s">
        <v>10</v>
      </c>
      <c r="K1717">
        <v>57998</v>
      </c>
      <c r="L1717">
        <v>1.0468E-2</v>
      </c>
      <c r="M1717">
        <v>57998</v>
      </c>
      <c r="N1717">
        <v>1.0314E-2</v>
      </c>
      <c r="O1717" t="s">
        <v>2117</v>
      </c>
    </row>
    <row r="1718" spans="1:15" x14ac:dyDescent="0.25">
      <c r="A1718" t="s">
        <v>55</v>
      </c>
      <c r="B1718" t="s">
        <v>8</v>
      </c>
      <c r="C1718">
        <v>330</v>
      </c>
      <c r="D1718">
        <v>1020.01</v>
      </c>
      <c r="E1718">
        <v>10</v>
      </c>
      <c r="F1718" t="s">
        <v>6</v>
      </c>
      <c r="G1718" t="s">
        <v>4</v>
      </c>
      <c r="H1718">
        <v>10</v>
      </c>
      <c r="I1718">
        <v>10.01</v>
      </c>
      <c r="J1718" t="s">
        <v>10</v>
      </c>
      <c r="K1718">
        <v>57997</v>
      </c>
      <c r="L1718">
        <v>1.3152E-2</v>
      </c>
      <c r="M1718">
        <v>57997</v>
      </c>
      <c r="N1718">
        <v>1.2997999999999999E-2</v>
      </c>
      <c r="O1718" t="s">
        <v>2116</v>
      </c>
    </row>
    <row r="1719" spans="1:15" x14ac:dyDescent="0.25">
      <c r="A1719" t="s">
        <v>55</v>
      </c>
      <c r="B1719" t="s">
        <v>8</v>
      </c>
      <c r="C1719">
        <v>330</v>
      </c>
      <c r="D1719">
        <v>1020.01</v>
      </c>
      <c r="E1719">
        <v>10</v>
      </c>
      <c r="F1719" t="s">
        <v>6</v>
      </c>
      <c r="G1719" t="s">
        <v>4</v>
      </c>
      <c r="H1719">
        <v>5</v>
      </c>
      <c r="I1719">
        <v>10.01</v>
      </c>
      <c r="J1719" t="s">
        <v>10</v>
      </c>
      <c r="K1719">
        <v>57997</v>
      </c>
      <c r="L1719">
        <v>1.3152E-2</v>
      </c>
      <c r="M1719">
        <v>57997</v>
      </c>
      <c r="N1719">
        <v>1.2997999999999999E-2</v>
      </c>
      <c r="O1719" t="s">
        <v>2115</v>
      </c>
    </row>
    <row r="1720" spans="1:15" x14ac:dyDescent="0.25">
      <c r="A1720" t="s">
        <v>55</v>
      </c>
      <c r="B1720" t="s">
        <v>101</v>
      </c>
      <c r="C1720">
        <v>0</v>
      </c>
      <c r="D1720">
        <v>1.0900099999999999E-5</v>
      </c>
      <c r="E1720">
        <v>1E-10</v>
      </c>
      <c r="F1720" t="s">
        <v>102</v>
      </c>
      <c r="G1720" t="s">
        <v>102</v>
      </c>
      <c r="H1720">
        <v>0</v>
      </c>
      <c r="I1720">
        <v>0</v>
      </c>
      <c r="K1720">
        <v>0</v>
      </c>
      <c r="L1720">
        <v>2.5000000000000001E-2</v>
      </c>
      <c r="M1720">
        <v>0</v>
      </c>
      <c r="N1720">
        <v>0</v>
      </c>
      <c r="O1720" t="s">
        <v>1234</v>
      </c>
    </row>
    <row r="1721" spans="1:15" x14ac:dyDescent="0.25">
      <c r="A1721" t="s">
        <v>55</v>
      </c>
      <c r="B1721" t="s">
        <v>101</v>
      </c>
      <c r="C1721">
        <v>0</v>
      </c>
      <c r="D1721">
        <v>1.0900099999999999E-5</v>
      </c>
      <c r="E1721">
        <v>1.0000000000000001E-9</v>
      </c>
      <c r="F1721" t="s">
        <v>102</v>
      </c>
      <c r="G1721" t="s">
        <v>102</v>
      </c>
      <c r="H1721">
        <v>0</v>
      </c>
      <c r="I1721">
        <v>0</v>
      </c>
      <c r="K1721">
        <v>0</v>
      </c>
      <c r="L1721">
        <v>2.5177999999999999E-2</v>
      </c>
      <c r="M1721">
        <v>0</v>
      </c>
      <c r="N1721">
        <v>0</v>
      </c>
      <c r="O1721" t="s">
        <v>1235</v>
      </c>
    </row>
    <row r="1722" spans="1:15" x14ac:dyDescent="0.25">
      <c r="A1722" t="s">
        <v>55</v>
      </c>
      <c r="B1722" t="s">
        <v>101</v>
      </c>
      <c r="C1722">
        <v>0</v>
      </c>
      <c r="D1722">
        <v>1.0900099999999999E-5</v>
      </c>
      <c r="E1722">
        <v>1E-8</v>
      </c>
      <c r="F1722" t="s">
        <v>102</v>
      </c>
      <c r="G1722" t="s">
        <v>102</v>
      </c>
      <c r="H1722">
        <v>0</v>
      </c>
      <c r="I1722">
        <v>0</v>
      </c>
      <c r="K1722">
        <v>0</v>
      </c>
      <c r="L1722">
        <v>6.2989000000000003E-2</v>
      </c>
      <c r="M1722">
        <v>0</v>
      </c>
      <c r="N1722">
        <v>0</v>
      </c>
      <c r="O1722" t="s">
        <v>1236</v>
      </c>
    </row>
    <row r="1723" spans="1:15" x14ac:dyDescent="0.25">
      <c r="A1723" t="s">
        <v>55</v>
      </c>
      <c r="B1723" t="s">
        <v>101</v>
      </c>
      <c r="C1723">
        <v>0</v>
      </c>
      <c r="D1723">
        <v>1.0900099999999999E-5</v>
      </c>
      <c r="E1723">
        <v>9.9999999999999995E-8</v>
      </c>
      <c r="F1723" t="s">
        <v>102</v>
      </c>
      <c r="G1723" t="s">
        <v>102</v>
      </c>
      <c r="H1723">
        <v>0</v>
      </c>
      <c r="I1723">
        <v>0</v>
      </c>
      <c r="K1723">
        <v>0</v>
      </c>
      <c r="L1723">
        <v>0.58052999999999999</v>
      </c>
      <c r="M1723">
        <v>0</v>
      </c>
      <c r="N1723">
        <v>0</v>
      </c>
      <c r="O1723" t="s">
        <v>1237</v>
      </c>
    </row>
    <row r="1724" spans="1:15" x14ac:dyDescent="0.25">
      <c r="A1724" t="s">
        <v>55</v>
      </c>
      <c r="B1724" t="s">
        <v>101</v>
      </c>
      <c r="C1724">
        <v>0</v>
      </c>
      <c r="D1724">
        <v>1.0900099999999999E-5</v>
      </c>
      <c r="E1724">
        <v>9.9999999999999995E-7</v>
      </c>
      <c r="F1724" t="s">
        <v>102</v>
      </c>
      <c r="G1724" t="s">
        <v>102</v>
      </c>
      <c r="H1724">
        <v>0</v>
      </c>
      <c r="I1724">
        <v>0</v>
      </c>
      <c r="K1724">
        <v>0</v>
      </c>
      <c r="L1724">
        <v>5.8000999999999996</v>
      </c>
      <c r="M1724">
        <v>0</v>
      </c>
      <c r="N1724">
        <v>0</v>
      </c>
      <c r="O1724" t="s">
        <v>1238</v>
      </c>
    </row>
    <row r="1725" spans="1:15" x14ac:dyDescent="0.25">
      <c r="A1725" t="s">
        <v>55</v>
      </c>
      <c r="B1725" t="s">
        <v>101</v>
      </c>
      <c r="C1725">
        <v>1.0900000000000001E-5</v>
      </c>
      <c r="D1725">
        <v>1.0900000000000001E-4</v>
      </c>
      <c r="E1725">
        <v>1.0000000000000001E-9</v>
      </c>
      <c r="F1725" t="s">
        <v>102</v>
      </c>
      <c r="G1725" t="s">
        <v>102</v>
      </c>
      <c r="H1725">
        <v>0</v>
      </c>
      <c r="I1725">
        <v>0</v>
      </c>
      <c r="K1725">
        <v>0</v>
      </c>
      <c r="L1725">
        <v>2.5999999999999999E-3</v>
      </c>
      <c r="M1725">
        <v>0</v>
      </c>
      <c r="N1725">
        <v>0</v>
      </c>
      <c r="O1725" t="s">
        <v>1239</v>
      </c>
    </row>
    <row r="1726" spans="1:15" x14ac:dyDescent="0.25">
      <c r="A1726" t="s">
        <v>55</v>
      </c>
      <c r="B1726" t="s">
        <v>101</v>
      </c>
      <c r="C1726">
        <v>1.0900000000000001E-5</v>
      </c>
      <c r="D1726">
        <v>1.0900000000000001E-4</v>
      </c>
      <c r="E1726">
        <v>1E-8</v>
      </c>
      <c r="F1726" t="s">
        <v>102</v>
      </c>
      <c r="G1726" t="s">
        <v>102</v>
      </c>
      <c r="H1726">
        <v>0</v>
      </c>
      <c r="I1726">
        <v>0</v>
      </c>
      <c r="K1726">
        <v>0</v>
      </c>
      <c r="L1726">
        <v>2.5999999999999999E-3</v>
      </c>
      <c r="M1726">
        <v>0</v>
      </c>
      <c r="N1726">
        <v>0</v>
      </c>
      <c r="O1726" t="s">
        <v>1240</v>
      </c>
    </row>
    <row r="1727" spans="1:15" x14ac:dyDescent="0.25">
      <c r="A1727" t="s">
        <v>55</v>
      </c>
      <c r="B1727" t="s">
        <v>101</v>
      </c>
      <c r="C1727">
        <v>1.0900000000000001E-5</v>
      </c>
      <c r="D1727">
        <v>1.0900000000000001E-4</v>
      </c>
      <c r="E1727">
        <v>9.9999999999999995E-8</v>
      </c>
      <c r="F1727" t="s">
        <v>102</v>
      </c>
      <c r="G1727" t="s">
        <v>102</v>
      </c>
      <c r="H1727">
        <v>0</v>
      </c>
      <c r="I1727">
        <v>0</v>
      </c>
      <c r="K1727">
        <v>0</v>
      </c>
      <c r="L1727">
        <v>5.8884000000000002E-3</v>
      </c>
      <c r="M1727">
        <v>0</v>
      </c>
      <c r="N1727">
        <v>0</v>
      </c>
      <c r="O1727" t="s">
        <v>1241</v>
      </c>
    </row>
    <row r="1728" spans="1:15" x14ac:dyDescent="0.25">
      <c r="A1728" t="s">
        <v>55</v>
      </c>
      <c r="B1728" t="s">
        <v>101</v>
      </c>
      <c r="C1728">
        <v>1.0900000000000001E-5</v>
      </c>
      <c r="D1728">
        <v>1.0900000000000001E-4</v>
      </c>
      <c r="E1728">
        <v>9.9999999999999995E-7</v>
      </c>
      <c r="F1728" t="s">
        <v>102</v>
      </c>
      <c r="G1728" t="s">
        <v>102</v>
      </c>
      <c r="H1728">
        <v>0</v>
      </c>
      <c r="I1728">
        <v>0</v>
      </c>
      <c r="K1728">
        <v>0</v>
      </c>
      <c r="L1728">
        <v>5.3319999999999999E-2</v>
      </c>
      <c r="M1728">
        <v>0</v>
      </c>
      <c r="N1728">
        <v>0</v>
      </c>
      <c r="O1728" t="s">
        <v>1242</v>
      </c>
    </row>
    <row r="1729" spans="1:15" x14ac:dyDescent="0.25">
      <c r="A1729" t="s">
        <v>55</v>
      </c>
      <c r="B1729" t="s">
        <v>101</v>
      </c>
      <c r="C1729">
        <v>1.0900000000000001E-5</v>
      </c>
      <c r="D1729">
        <v>1.0900000000000001E-4</v>
      </c>
      <c r="E1729">
        <v>1.0000000000000001E-5</v>
      </c>
      <c r="F1729" t="s">
        <v>102</v>
      </c>
      <c r="G1729" t="s">
        <v>102</v>
      </c>
      <c r="H1729">
        <v>0</v>
      </c>
      <c r="I1729">
        <v>0</v>
      </c>
      <c r="K1729">
        <v>0</v>
      </c>
      <c r="L1729">
        <v>0.53261000000000003</v>
      </c>
      <c r="M1729">
        <v>0</v>
      </c>
      <c r="N1729">
        <v>0</v>
      </c>
      <c r="O1729" t="s">
        <v>1243</v>
      </c>
    </row>
    <row r="1730" spans="1:15" x14ac:dyDescent="0.25">
      <c r="A1730" t="s">
        <v>55</v>
      </c>
      <c r="B1730" t="s">
        <v>101</v>
      </c>
      <c r="C1730">
        <v>1.0900000000000001E-4</v>
      </c>
      <c r="D1730">
        <v>1.0901000000000001E-3</v>
      </c>
      <c r="E1730">
        <v>1E-8</v>
      </c>
      <c r="F1730" t="s">
        <v>102</v>
      </c>
      <c r="G1730" t="s">
        <v>102</v>
      </c>
      <c r="H1730">
        <v>0</v>
      </c>
      <c r="I1730">
        <v>0</v>
      </c>
      <c r="K1730">
        <v>0</v>
      </c>
      <c r="L1730">
        <v>1.6999999999999999E-3</v>
      </c>
      <c r="M1730">
        <v>0</v>
      </c>
      <c r="N1730">
        <v>0</v>
      </c>
      <c r="O1730" t="s">
        <v>1244</v>
      </c>
    </row>
    <row r="1731" spans="1:15" x14ac:dyDescent="0.25">
      <c r="A1731" t="s">
        <v>55</v>
      </c>
      <c r="B1731" t="s">
        <v>101</v>
      </c>
      <c r="C1731">
        <v>1.0900000000000001E-4</v>
      </c>
      <c r="D1731">
        <v>1.0901000000000001E-3</v>
      </c>
      <c r="E1731">
        <v>9.9999999999999995E-8</v>
      </c>
      <c r="F1731" t="s">
        <v>102</v>
      </c>
      <c r="G1731" t="s">
        <v>102</v>
      </c>
      <c r="H1731">
        <v>0</v>
      </c>
      <c r="I1731">
        <v>0</v>
      </c>
      <c r="K1731">
        <v>0</v>
      </c>
      <c r="L1731">
        <v>1.6999999999999999E-3</v>
      </c>
      <c r="M1731">
        <v>0</v>
      </c>
      <c r="N1731">
        <v>0</v>
      </c>
      <c r="O1731" t="s">
        <v>1245</v>
      </c>
    </row>
    <row r="1732" spans="1:15" x14ac:dyDescent="0.25">
      <c r="A1732" t="s">
        <v>55</v>
      </c>
      <c r="B1732" t="s">
        <v>101</v>
      </c>
      <c r="C1732">
        <v>1.0900000000000001E-4</v>
      </c>
      <c r="D1732">
        <v>1.0901000000000001E-3</v>
      </c>
      <c r="E1732">
        <v>9.9999999999999995E-7</v>
      </c>
      <c r="F1732" t="s">
        <v>102</v>
      </c>
      <c r="G1732" t="s">
        <v>102</v>
      </c>
      <c r="H1732">
        <v>0</v>
      </c>
      <c r="I1732">
        <v>0</v>
      </c>
      <c r="K1732">
        <v>0</v>
      </c>
      <c r="L1732">
        <v>5.5645E-3</v>
      </c>
      <c r="M1732">
        <v>0</v>
      </c>
      <c r="N1732">
        <v>0</v>
      </c>
      <c r="O1732" t="s">
        <v>1246</v>
      </c>
    </row>
    <row r="1733" spans="1:15" x14ac:dyDescent="0.25">
      <c r="A1733" t="s">
        <v>55</v>
      </c>
      <c r="B1733" t="s">
        <v>101</v>
      </c>
      <c r="C1733">
        <v>1.0900000000000001E-4</v>
      </c>
      <c r="D1733">
        <v>1.0901000000000001E-3</v>
      </c>
      <c r="E1733">
        <v>1.0000000000000001E-5</v>
      </c>
      <c r="F1733" t="s">
        <v>102</v>
      </c>
      <c r="G1733" t="s">
        <v>102</v>
      </c>
      <c r="H1733">
        <v>0</v>
      </c>
      <c r="I1733">
        <v>0</v>
      </c>
      <c r="K1733">
        <v>0</v>
      </c>
      <c r="L1733">
        <v>5.3284999999999999E-2</v>
      </c>
      <c r="M1733">
        <v>0</v>
      </c>
      <c r="N1733">
        <v>0</v>
      </c>
      <c r="O1733" t="s">
        <v>1247</v>
      </c>
    </row>
    <row r="1734" spans="1:15" x14ac:dyDescent="0.25">
      <c r="A1734" t="s">
        <v>55</v>
      </c>
      <c r="B1734" t="s">
        <v>101</v>
      </c>
      <c r="C1734">
        <v>1.0900000000000001E-4</v>
      </c>
      <c r="D1734">
        <v>1.0901000000000001E-3</v>
      </c>
      <c r="E1734">
        <v>1E-4</v>
      </c>
      <c r="F1734" t="s">
        <v>102</v>
      </c>
      <c r="G1734" t="s">
        <v>102</v>
      </c>
      <c r="H1734">
        <v>0</v>
      </c>
      <c r="I1734">
        <v>0</v>
      </c>
      <c r="K1734">
        <v>0</v>
      </c>
      <c r="L1734">
        <v>0.53259999999999996</v>
      </c>
      <c r="M1734">
        <v>0</v>
      </c>
      <c r="N1734">
        <v>0</v>
      </c>
      <c r="O1734" t="s">
        <v>1248</v>
      </c>
    </row>
    <row r="1735" spans="1:15" x14ac:dyDescent="0.25">
      <c r="A1735" t="s">
        <v>55</v>
      </c>
      <c r="B1735" t="s">
        <v>101</v>
      </c>
      <c r="C1735">
        <v>1.09E-3</v>
      </c>
      <c r="D1735">
        <v>1.0900099999999999E-2</v>
      </c>
      <c r="E1735">
        <v>9.9999999999999995E-8</v>
      </c>
      <c r="F1735" t="s">
        <v>102</v>
      </c>
      <c r="G1735" t="s">
        <v>102</v>
      </c>
      <c r="H1735">
        <v>0</v>
      </c>
      <c r="I1735">
        <v>0</v>
      </c>
      <c r="K1735">
        <v>0</v>
      </c>
      <c r="L1735">
        <v>1.2999999999999999E-3</v>
      </c>
      <c r="M1735">
        <v>0</v>
      </c>
      <c r="N1735">
        <v>0</v>
      </c>
      <c r="O1735" t="s">
        <v>1249</v>
      </c>
    </row>
    <row r="1736" spans="1:15" x14ac:dyDescent="0.25">
      <c r="A1736" t="s">
        <v>55</v>
      </c>
      <c r="B1736" t="s">
        <v>101</v>
      </c>
      <c r="C1736">
        <v>1.09E-3</v>
      </c>
      <c r="D1736">
        <v>1.0900099999999999E-2</v>
      </c>
      <c r="E1736">
        <v>9.9999999999999995E-7</v>
      </c>
      <c r="F1736" t="s">
        <v>102</v>
      </c>
      <c r="G1736" t="s">
        <v>102</v>
      </c>
      <c r="H1736">
        <v>0</v>
      </c>
      <c r="I1736">
        <v>0</v>
      </c>
      <c r="K1736">
        <v>0</v>
      </c>
      <c r="L1736">
        <v>1.3483E-3</v>
      </c>
      <c r="M1736">
        <v>0</v>
      </c>
      <c r="N1736">
        <v>0</v>
      </c>
      <c r="O1736" t="s">
        <v>1250</v>
      </c>
    </row>
    <row r="1737" spans="1:15" x14ac:dyDescent="0.25">
      <c r="A1737" t="s">
        <v>55</v>
      </c>
      <c r="B1737" t="s">
        <v>101</v>
      </c>
      <c r="C1737">
        <v>1.09E-3</v>
      </c>
      <c r="D1737">
        <v>1.0900099999999999E-2</v>
      </c>
      <c r="E1737">
        <v>1.0000000000000001E-5</v>
      </c>
      <c r="F1737" t="s">
        <v>102</v>
      </c>
      <c r="G1737" t="s">
        <v>102</v>
      </c>
      <c r="H1737">
        <v>0</v>
      </c>
      <c r="I1737">
        <v>0</v>
      </c>
      <c r="K1737">
        <v>0</v>
      </c>
      <c r="L1737">
        <v>5.4701999999999997E-3</v>
      </c>
      <c r="M1737">
        <v>0</v>
      </c>
      <c r="N1737">
        <v>0</v>
      </c>
      <c r="O1737" t="s">
        <v>1251</v>
      </c>
    </row>
    <row r="1738" spans="1:15" x14ac:dyDescent="0.25">
      <c r="A1738" t="s">
        <v>55</v>
      </c>
      <c r="B1738" t="s">
        <v>101</v>
      </c>
      <c r="C1738">
        <v>1.09E-3</v>
      </c>
      <c r="D1738">
        <v>1.0900099999999999E-2</v>
      </c>
      <c r="E1738">
        <v>1E-4</v>
      </c>
      <c r="F1738" t="s">
        <v>102</v>
      </c>
      <c r="G1738" t="s">
        <v>102</v>
      </c>
      <c r="H1738">
        <v>0</v>
      </c>
      <c r="I1738">
        <v>0</v>
      </c>
      <c r="K1738">
        <v>0</v>
      </c>
      <c r="L1738">
        <v>5.3275000000000003E-2</v>
      </c>
      <c r="M1738">
        <v>0</v>
      </c>
      <c r="N1738">
        <v>0</v>
      </c>
      <c r="O1738" t="s">
        <v>1252</v>
      </c>
    </row>
    <row r="1739" spans="1:15" x14ac:dyDescent="0.25">
      <c r="A1739" t="s">
        <v>55</v>
      </c>
      <c r="B1739" t="s">
        <v>101</v>
      </c>
      <c r="C1739">
        <v>1.09E-3</v>
      </c>
      <c r="D1739">
        <v>1.0900099999999999E-2</v>
      </c>
      <c r="E1739">
        <v>1E-3</v>
      </c>
      <c r="F1739" t="s">
        <v>102</v>
      </c>
      <c r="G1739" t="s">
        <v>102</v>
      </c>
      <c r="H1739">
        <v>0</v>
      </c>
      <c r="I1739">
        <v>0</v>
      </c>
      <c r="K1739">
        <v>0</v>
      </c>
      <c r="L1739">
        <v>0.53259999999999996</v>
      </c>
      <c r="M1739">
        <v>0</v>
      </c>
      <c r="N1739">
        <v>0</v>
      </c>
      <c r="O1739" t="s">
        <v>1253</v>
      </c>
    </row>
    <row r="1740" spans="1:15" x14ac:dyDescent="0.25">
      <c r="A1740" t="s">
        <v>55</v>
      </c>
      <c r="B1740" t="s">
        <v>101</v>
      </c>
      <c r="C1740">
        <v>1.09E-2</v>
      </c>
      <c r="D1740">
        <v>0.1090001</v>
      </c>
      <c r="E1740">
        <v>9.9999999999999995E-7</v>
      </c>
      <c r="F1740" t="s">
        <v>102</v>
      </c>
      <c r="G1740" t="s">
        <v>102</v>
      </c>
      <c r="H1740">
        <v>0</v>
      </c>
      <c r="I1740">
        <v>0</v>
      </c>
      <c r="K1740">
        <v>0</v>
      </c>
      <c r="L1740">
        <v>7.7999999999999999E-4</v>
      </c>
      <c r="M1740">
        <v>0</v>
      </c>
      <c r="N1740">
        <v>0</v>
      </c>
      <c r="O1740" t="s">
        <v>1254</v>
      </c>
    </row>
    <row r="1741" spans="1:15" x14ac:dyDescent="0.25">
      <c r="A1741" t="s">
        <v>55</v>
      </c>
      <c r="B1741" t="s">
        <v>101</v>
      </c>
      <c r="C1741">
        <v>1.09E-2</v>
      </c>
      <c r="D1741">
        <v>0.1090001</v>
      </c>
      <c r="E1741">
        <v>1.0000000000000001E-5</v>
      </c>
      <c r="F1741" t="s">
        <v>102</v>
      </c>
      <c r="G1741" t="s">
        <v>102</v>
      </c>
      <c r="H1741">
        <v>0</v>
      </c>
      <c r="I1741">
        <v>0</v>
      </c>
      <c r="K1741">
        <v>0</v>
      </c>
      <c r="L1741">
        <v>9.4315999999999996E-4</v>
      </c>
      <c r="M1741">
        <v>0</v>
      </c>
      <c r="N1741">
        <v>0</v>
      </c>
      <c r="O1741" t="s">
        <v>1255</v>
      </c>
    </row>
    <row r="1742" spans="1:15" x14ac:dyDescent="0.25">
      <c r="A1742" t="s">
        <v>55</v>
      </c>
      <c r="B1742" t="s">
        <v>101</v>
      </c>
      <c r="C1742">
        <v>1.09E-2</v>
      </c>
      <c r="D1742">
        <v>0.1090001</v>
      </c>
      <c r="E1742">
        <v>1E-4</v>
      </c>
      <c r="F1742" t="s">
        <v>102</v>
      </c>
      <c r="G1742" t="s">
        <v>102</v>
      </c>
      <c r="H1742">
        <v>0</v>
      </c>
      <c r="I1742">
        <v>0</v>
      </c>
      <c r="K1742">
        <v>0</v>
      </c>
      <c r="L1742">
        <v>5.3847000000000001E-3</v>
      </c>
      <c r="M1742">
        <v>0</v>
      </c>
      <c r="N1742">
        <v>0</v>
      </c>
      <c r="O1742" t="s">
        <v>1256</v>
      </c>
    </row>
    <row r="1743" spans="1:15" x14ac:dyDescent="0.25">
      <c r="A1743" t="s">
        <v>55</v>
      </c>
      <c r="B1743" t="s">
        <v>101</v>
      </c>
      <c r="C1743">
        <v>1.09E-2</v>
      </c>
      <c r="D1743">
        <v>0.1090001</v>
      </c>
      <c r="E1743">
        <v>1E-3</v>
      </c>
      <c r="F1743" t="s">
        <v>102</v>
      </c>
      <c r="G1743" t="s">
        <v>102</v>
      </c>
      <c r="H1743">
        <v>0</v>
      </c>
      <c r="I1743">
        <v>0</v>
      </c>
      <c r="K1743">
        <v>0</v>
      </c>
      <c r="L1743">
        <v>5.3267000000000002E-2</v>
      </c>
      <c r="M1743">
        <v>0</v>
      </c>
      <c r="N1743">
        <v>0</v>
      </c>
      <c r="O1743" t="s">
        <v>1257</v>
      </c>
    </row>
    <row r="1744" spans="1:15" x14ac:dyDescent="0.25">
      <c r="A1744" t="s">
        <v>55</v>
      </c>
      <c r="B1744" t="s">
        <v>101</v>
      </c>
      <c r="C1744">
        <v>1.09E-2</v>
      </c>
      <c r="D1744">
        <v>0.1090001</v>
      </c>
      <c r="E1744">
        <v>0.01</v>
      </c>
      <c r="F1744" t="s">
        <v>102</v>
      </c>
      <c r="G1744" t="s">
        <v>102</v>
      </c>
      <c r="H1744">
        <v>0</v>
      </c>
      <c r="I1744">
        <v>0</v>
      </c>
      <c r="K1744">
        <v>0</v>
      </c>
      <c r="L1744">
        <v>0.53259999999999996</v>
      </c>
      <c r="M1744">
        <v>0</v>
      </c>
      <c r="N1744">
        <v>0</v>
      </c>
      <c r="O1744" t="s">
        <v>1258</v>
      </c>
    </row>
    <row r="1745" spans="1:15" x14ac:dyDescent="0.25">
      <c r="A1745" t="s">
        <v>55</v>
      </c>
      <c r="B1745" t="s">
        <v>101</v>
      </c>
      <c r="C1745">
        <v>0.109</v>
      </c>
      <c r="D1745">
        <v>1.0901000000000001</v>
      </c>
      <c r="E1745">
        <v>1.0000000000000001E-5</v>
      </c>
      <c r="F1745" t="s">
        <v>102</v>
      </c>
      <c r="G1745" t="s">
        <v>102</v>
      </c>
      <c r="H1745">
        <v>0</v>
      </c>
      <c r="I1745">
        <v>0</v>
      </c>
      <c r="K1745">
        <v>0</v>
      </c>
      <c r="L1745">
        <v>7.7999999999999999E-4</v>
      </c>
      <c r="M1745">
        <v>0</v>
      </c>
      <c r="N1745">
        <v>0</v>
      </c>
      <c r="O1745" t="s">
        <v>1259</v>
      </c>
    </row>
    <row r="1746" spans="1:15" x14ac:dyDescent="0.25">
      <c r="A1746" t="s">
        <v>55</v>
      </c>
      <c r="B1746" t="s">
        <v>101</v>
      </c>
      <c r="C1746">
        <v>0.109</v>
      </c>
      <c r="D1746">
        <v>1.0901000000000001</v>
      </c>
      <c r="E1746">
        <v>1E-4</v>
      </c>
      <c r="F1746" t="s">
        <v>102</v>
      </c>
      <c r="G1746" t="s">
        <v>102</v>
      </c>
      <c r="H1746">
        <v>0</v>
      </c>
      <c r="I1746">
        <v>0</v>
      </c>
      <c r="K1746">
        <v>0</v>
      </c>
      <c r="L1746">
        <v>9.4282999999999997E-4</v>
      </c>
      <c r="M1746">
        <v>0</v>
      </c>
      <c r="N1746">
        <v>0</v>
      </c>
      <c r="O1746" t="s">
        <v>1260</v>
      </c>
    </row>
    <row r="1747" spans="1:15" x14ac:dyDescent="0.25">
      <c r="A1747" t="s">
        <v>55</v>
      </c>
      <c r="B1747" t="s">
        <v>101</v>
      </c>
      <c r="C1747">
        <v>0.109</v>
      </c>
      <c r="D1747">
        <v>1.0901000000000001</v>
      </c>
      <c r="E1747">
        <v>1E-3</v>
      </c>
      <c r="F1747" t="s">
        <v>102</v>
      </c>
      <c r="G1747" t="s">
        <v>102</v>
      </c>
      <c r="H1747">
        <v>0</v>
      </c>
      <c r="I1747">
        <v>0</v>
      </c>
      <c r="K1747">
        <v>0</v>
      </c>
      <c r="L1747">
        <v>5.3845999999999998E-3</v>
      </c>
      <c r="M1747">
        <v>0</v>
      </c>
      <c r="N1747">
        <v>0</v>
      </c>
      <c r="O1747" t="s">
        <v>1261</v>
      </c>
    </row>
    <row r="1748" spans="1:15" x14ac:dyDescent="0.25">
      <c r="A1748" t="s">
        <v>55</v>
      </c>
      <c r="B1748" t="s">
        <v>101</v>
      </c>
      <c r="C1748">
        <v>0.109</v>
      </c>
      <c r="D1748">
        <v>1.0901000000000001</v>
      </c>
      <c r="E1748">
        <v>0.01</v>
      </c>
      <c r="F1748" t="s">
        <v>102</v>
      </c>
      <c r="G1748" t="s">
        <v>102</v>
      </c>
      <c r="H1748">
        <v>0</v>
      </c>
      <c r="I1748">
        <v>0</v>
      </c>
      <c r="K1748">
        <v>0</v>
      </c>
      <c r="L1748">
        <v>5.3267000000000002E-2</v>
      </c>
      <c r="M1748">
        <v>0</v>
      </c>
      <c r="N1748">
        <v>0</v>
      </c>
      <c r="O1748" t="s">
        <v>1262</v>
      </c>
    </row>
    <row r="1749" spans="1:15" x14ac:dyDescent="0.25">
      <c r="A1749" t="s">
        <v>55</v>
      </c>
      <c r="B1749" t="s">
        <v>101</v>
      </c>
      <c r="C1749">
        <v>0.109</v>
      </c>
      <c r="D1749">
        <v>1.0901000000000001</v>
      </c>
      <c r="E1749">
        <v>0.1</v>
      </c>
      <c r="F1749" t="s">
        <v>102</v>
      </c>
      <c r="G1749" t="s">
        <v>102</v>
      </c>
      <c r="H1749">
        <v>0</v>
      </c>
      <c r="I1749">
        <v>0</v>
      </c>
      <c r="K1749">
        <v>0</v>
      </c>
      <c r="L1749">
        <v>0.53259999999999996</v>
      </c>
      <c r="M1749">
        <v>0</v>
      </c>
      <c r="N1749">
        <v>0</v>
      </c>
      <c r="O1749" t="s">
        <v>1263</v>
      </c>
    </row>
    <row r="1750" spans="1:15" x14ac:dyDescent="0.25">
      <c r="A1750" t="s">
        <v>55</v>
      </c>
      <c r="B1750" t="s">
        <v>101</v>
      </c>
      <c r="C1750">
        <v>1.0900000000000001</v>
      </c>
      <c r="D1750">
        <v>10.9001</v>
      </c>
      <c r="E1750">
        <v>1E-4</v>
      </c>
      <c r="F1750" t="s">
        <v>102</v>
      </c>
      <c r="G1750" t="s">
        <v>102</v>
      </c>
      <c r="H1750">
        <v>0</v>
      </c>
      <c r="I1750">
        <v>0</v>
      </c>
      <c r="K1750">
        <v>0</v>
      </c>
      <c r="L1750">
        <v>1.2999999999999999E-3</v>
      </c>
      <c r="M1750">
        <v>0</v>
      </c>
      <c r="N1750">
        <v>0</v>
      </c>
      <c r="O1750" t="s">
        <v>1264</v>
      </c>
    </row>
    <row r="1751" spans="1:15" x14ac:dyDescent="0.25">
      <c r="A1751" t="s">
        <v>55</v>
      </c>
      <c r="B1751" t="s">
        <v>101</v>
      </c>
      <c r="C1751">
        <v>1.0900000000000001</v>
      </c>
      <c r="D1751">
        <v>10.9001</v>
      </c>
      <c r="E1751">
        <v>1E-3</v>
      </c>
      <c r="F1751" t="s">
        <v>102</v>
      </c>
      <c r="G1751" t="s">
        <v>102</v>
      </c>
      <c r="H1751">
        <v>0</v>
      </c>
      <c r="I1751">
        <v>0</v>
      </c>
      <c r="K1751">
        <v>0</v>
      </c>
      <c r="L1751">
        <v>1.3347000000000001E-3</v>
      </c>
      <c r="M1751">
        <v>0</v>
      </c>
      <c r="N1751">
        <v>0</v>
      </c>
      <c r="O1751" t="s">
        <v>1265</v>
      </c>
    </row>
    <row r="1752" spans="1:15" x14ac:dyDescent="0.25">
      <c r="A1752" t="s">
        <v>55</v>
      </c>
      <c r="B1752" t="s">
        <v>101</v>
      </c>
      <c r="C1752">
        <v>1.0900000000000001</v>
      </c>
      <c r="D1752">
        <v>10.9001</v>
      </c>
      <c r="E1752">
        <v>0.01</v>
      </c>
      <c r="F1752" t="s">
        <v>102</v>
      </c>
      <c r="G1752" t="s">
        <v>102</v>
      </c>
      <c r="H1752">
        <v>0</v>
      </c>
      <c r="I1752">
        <v>0</v>
      </c>
      <c r="K1752">
        <v>0</v>
      </c>
      <c r="L1752">
        <v>5.4669000000000002E-3</v>
      </c>
      <c r="M1752">
        <v>0</v>
      </c>
      <c r="N1752">
        <v>0</v>
      </c>
      <c r="O1752" t="s">
        <v>1266</v>
      </c>
    </row>
    <row r="1753" spans="1:15" x14ac:dyDescent="0.25">
      <c r="A1753" t="s">
        <v>55</v>
      </c>
      <c r="B1753" t="s">
        <v>101</v>
      </c>
      <c r="C1753">
        <v>1.0900000000000001</v>
      </c>
      <c r="D1753">
        <v>10.9001</v>
      </c>
      <c r="E1753">
        <v>0.1</v>
      </c>
      <c r="F1753" t="s">
        <v>102</v>
      </c>
      <c r="G1753" t="s">
        <v>102</v>
      </c>
      <c r="H1753">
        <v>0</v>
      </c>
      <c r="I1753">
        <v>0</v>
      </c>
      <c r="K1753">
        <v>0</v>
      </c>
      <c r="L1753">
        <v>5.3275000000000003E-2</v>
      </c>
      <c r="M1753">
        <v>0</v>
      </c>
      <c r="N1753">
        <v>0</v>
      </c>
      <c r="O1753" t="s">
        <v>1267</v>
      </c>
    </row>
    <row r="1754" spans="1:15" x14ac:dyDescent="0.25">
      <c r="A1754" t="s">
        <v>55</v>
      </c>
      <c r="B1754" t="s">
        <v>101</v>
      </c>
      <c r="C1754">
        <v>1.0900000000000001</v>
      </c>
      <c r="D1754">
        <v>10.9001</v>
      </c>
      <c r="E1754">
        <v>1</v>
      </c>
      <c r="F1754" t="s">
        <v>102</v>
      </c>
      <c r="G1754" t="s">
        <v>102</v>
      </c>
      <c r="H1754">
        <v>0</v>
      </c>
      <c r="I1754">
        <v>0</v>
      </c>
      <c r="K1754">
        <v>0</v>
      </c>
      <c r="L1754">
        <v>0.53259999999999996</v>
      </c>
      <c r="M1754">
        <v>0</v>
      </c>
      <c r="N1754">
        <v>0</v>
      </c>
      <c r="O1754" t="s">
        <v>1268</v>
      </c>
    </row>
    <row r="1755" spans="1:15" x14ac:dyDescent="0.25">
      <c r="A1755" t="s">
        <v>55</v>
      </c>
      <c r="B1755" t="s">
        <v>101</v>
      </c>
      <c r="C1755">
        <v>10.9</v>
      </c>
      <c r="D1755">
        <v>109.0001</v>
      </c>
      <c r="E1755">
        <v>1E-3</v>
      </c>
      <c r="F1755" t="s">
        <v>102</v>
      </c>
      <c r="G1755" t="s">
        <v>102</v>
      </c>
      <c r="H1755">
        <v>0</v>
      </c>
      <c r="I1755">
        <v>0</v>
      </c>
      <c r="K1755">
        <v>0</v>
      </c>
      <c r="L1755">
        <v>8.8000000000000003E-4</v>
      </c>
      <c r="M1755">
        <v>0</v>
      </c>
      <c r="N1755">
        <v>0</v>
      </c>
      <c r="O1755" t="s">
        <v>1269</v>
      </c>
    </row>
    <row r="1756" spans="1:15" x14ac:dyDescent="0.25">
      <c r="A1756" t="s">
        <v>55</v>
      </c>
      <c r="B1756" t="s">
        <v>101</v>
      </c>
      <c r="C1756">
        <v>10.9</v>
      </c>
      <c r="D1756">
        <v>109.0001</v>
      </c>
      <c r="E1756">
        <v>0.01</v>
      </c>
      <c r="F1756" t="s">
        <v>102</v>
      </c>
      <c r="G1756" t="s">
        <v>102</v>
      </c>
      <c r="H1756">
        <v>0</v>
      </c>
      <c r="I1756">
        <v>0</v>
      </c>
      <c r="K1756">
        <v>0</v>
      </c>
      <c r="L1756">
        <v>1.0256E-3</v>
      </c>
      <c r="M1756">
        <v>0</v>
      </c>
      <c r="N1756">
        <v>0</v>
      </c>
      <c r="O1756" t="s">
        <v>1270</v>
      </c>
    </row>
    <row r="1757" spans="1:15" x14ac:dyDescent="0.25">
      <c r="A1757" t="s">
        <v>55</v>
      </c>
      <c r="B1757" t="s">
        <v>101</v>
      </c>
      <c r="C1757">
        <v>10.9</v>
      </c>
      <c r="D1757">
        <v>109.0001</v>
      </c>
      <c r="E1757">
        <v>0.1</v>
      </c>
      <c r="F1757" t="s">
        <v>102</v>
      </c>
      <c r="G1757" t="s">
        <v>102</v>
      </c>
      <c r="H1757">
        <v>0</v>
      </c>
      <c r="I1757">
        <v>0</v>
      </c>
      <c r="K1757">
        <v>0</v>
      </c>
      <c r="L1757">
        <v>5.3997000000000003E-3</v>
      </c>
      <c r="M1757">
        <v>0</v>
      </c>
      <c r="N1757">
        <v>0</v>
      </c>
      <c r="O1757" t="s">
        <v>1271</v>
      </c>
    </row>
    <row r="1758" spans="1:15" x14ac:dyDescent="0.25">
      <c r="A1758" t="s">
        <v>55</v>
      </c>
      <c r="B1758" t="s">
        <v>101</v>
      </c>
      <c r="C1758">
        <v>10.9</v>
      </c>
      <c r="D1758">
        <v>109.0001</v>
      </c>
      <c r="E1758">
        <v>1</v>
      </c>
      <c r="F1758" t="s">
        <v>102</v>
      </c>
      <c r="G1758" t="s">
        <v>102</v>
      </c>
      <c r="H1758">
        <v>0</v>
      </c>
      <c r="I1758">
        <v>0</v>
      </c>
      <c r="K1758">
        <v>0</v>
      </c>
      <c r="L1758">
        <v>5.3268000000000003E-2</v>
      </c>
      <c r="M1758">
        <v>0</v>
      </c>
      <c r="N1758">
        <v>0</v>
      </c>
      <c r="O1758" t="s">
        <v>1272</v>
      </c>
    </row>
    <row r="1759" spans="1:15" x14ac:dyDescent="0.25">
      <c r="A1759" t="s">
        <v>55</v>
      </c>
      <c r="B1759" t="s">
        <v>101</v>
      </c>
      <c r="C1759">
        <v>10.9</v>
      </c>
      <c r="D1759">
        <v>109.0001</v>
      </c>
      <c r="E1759">
        <v>10</v>
      </c>
      <c r="F1759" t="s">
        <v>102</v>
      </c>
      <c r="G1759" t="s">
        <v>102</v>
      </c>
      <c r="H1759">
        <v>0</v>
      </c>
      <c r="I1759">
        <v>0</v>
      </c>
      <c r="K1759">
        <v>0</v>
      </c>
      <c r="L1759">
        <v>0.53259999999999996</v>
      </c>
      <c r="M1759">
        <v>0</v>
      </c>
      <c r="N1759">
        <v>0</v>
      </c>
      <c r="O1759" t="s">
        <v>1273</v>
      </c>
    </row>
    <row r="1760" spans="1:15" x14ac:dyDescent="0.25">
      <c r="A1760" t="s">
        <v>55</v>
      </c>
      <c r="B1760" t="s">
        <v>101</v>
      </c>
      <c r="C1760">
        <v>109</v>
      </c>
      <c r="D1760">
        <v>363.00009999999997</v>
      </c>
      <c r="E1760">
        <v>0.01</v>
      </c>
      <c r="F1760" t="s">
        <v>102</v>
      </c>
      <c r="G1760" t="s">
        <v>102</v>
      </c>
      <c r="H1760">
        <v>0</v>
      </c>
      <c r="I1760">
        <v>0</v>
      </c>
      <c r="K1760">
        <v>0</v>
      </c>
      <c r="L1760">
        <v>1.1999999999999999E-3</v>
      </c>
      <c r="M1760">
        <v>0</v>
      </c>
      <c r="N1760">
        <v>0</v>
      </c>
      <c r="O1760" t="s">
        <v>1274</v>
      </c>
    </row>
    <row r="1761" spans="1:15" x14ac:dyDescent="0.25">
      <c r="A1761" t="s">
        <v>55</v>
      </c>
      <c r="B1761" t="s">
        <v>101</v>
      </c>
      <c r="C1761">
        <v>109</v>
      </c>
      <c r="D1761">
        <v>363.00009999999997</v>
      </c>
      <c r="E1761">
        <v>0.1</v>
      </c>
      <c r="F1761" t="s">
        <v>102</v>
      </c>
      <c r="G1761" t="s">
        <v>102</v>
      </c>
      <c r="H1761">
        <v>0</v>
      </c>
      <c r="I1761">
        <v>0</v>
      </c>
      <c r="K1761">
        <v>0</v>
      </c>
      <c r="L1761">
        <v>1.2283999999999999E-3</v>
      </c>
      <c r="M1761">
        <v>0</v>
      </c>
      <c r="N1761">
        <v>0</v>
      </c>
      <c r="O1761" t="s">
        <v>1275</v>
      </c>
    </row>
    <row r="1762" spans="1:15" x14ac:dyDescent="0.25">
      <c r="A1762" t="s">
        <v>55</v>
      </c>
      <c r="B1762" t="s">
        <v>101</v>
      </c>
      <c r="C1762">
        <v>109</v>
      </c>
      <c r="D1762">
        <v>363.00009999999997</v>
      </c>
      <c r="E1762">
        <v>1</v>
      </c>
      <c r="F1762" t="s">
        <v>102</v>
      </c>
      <c r="G1762" t="s">
        <v>102</v>
      </c>
      <c r="H1762">
        <v>0</v>
      </c>
      <c r="I1762">
        <v>0</v>
      </c>
      <c r="K1762">
        <v>0</v>
      </c>
      <c r="L1762">
        <v>5.4419000000000004E-3</v>
      </c>
      <c r="M1762">
        <v>0</v>
      </c>
      <c r="N1762">
        <v>0</v>
      </c>
      <c r="O1762" t="s">
        <v>1276</v>
      </c>
    </row>
    <row r="1763" spans="1:15" x14ac:dyDescent="0.25">
      <c r="A1763" t="s">
        <v>55</v>
      </c>
      <c r="B1763" t="s">
        <v>101</v>
      </c>
      <c r="C1763">
        <v>109</v>
      </c>
      <c r="D1763">
        <v>363.00009999999997</v>
      </c>
      <c r="E1763">
        <v>10</v>
      </c>
      <c r="F1763" t="s">
        <v>102</v>
      </c>
      <c r="G1763" t="s">
        <v>102</v>
      </c>
      <c r="H1763">
        <v>0</v>
      </c>
      <c r="I1763">
        <v>0</v>
      </c>
      <c r="K1763">
        <v>0</v>
      </c>
      <c r="L1763">
        <v>5.3273000000000001E-2</v>
      </c>
      <c r="M1763">
        <v>0</v>
      </c>
      <c r="N1763">
        <v>0</v>
      </c>
      <c r="O1763" t="s">
        <v>1277</v>
      </c>
    </row>
    <row r="1764" spans="1:15" x14ac:dyDescent="0.25">
      <c r="A1764" t="s">
        <v>55</v>
      </c>
      <c r="B1764" t="s">
        <v>101</v>
      </c>
      <c r="C1764">
        <v>363</v>
      </c>
      <c r="D1764">
        <v>990.00009999999997</v>
      </c>
      <c r="E1764">
        <v>0.01</v>
      </c>
      <c r="F1764" t="s">
        <v>102</v>
      </c>
      <c r="G1764" t="s">
        <v>102</v>
      </c>
      <c r="H1764">
        <v>0</v>
      </c>
      <c r="I1764">
        <v>0</v>
      </c>
      <c r="K1764">
        <v>0</v>
      </c>
      <c r="L1764">
        <v>1E-3</v>
      </c>
      <c r="M1764">
        <v>0</v>
      </c>
      <c r="N1764">
        <v>0</v>
      </c>
      <c r="O1764" t="s">
        <v>1278</v>
      </c>
    </row>
    <row r="1765" spans="1:15" x14ac:dyDescent="0.25">
      <c r="A1765" t="s">
        <v>55</v>
      </c>
      <c r="B1765" t="s">
        <v>101</v>
      </c>
      <c r="C1765">
        <v>363</v>
      </c>
      <c r="D1765">
        <v>990.00009999999997</v>
      </c>
      <c r="E1765">
        <v>0.1</v>
      </c>
      <c r="F1765" t="s">
        <v>102</v>
      </c>
      <c r="G1765" t="s">
        <v>102</v>
      </c>
      <c r="H1765">
        <v>0</v>
      </c>
      <c r="I1765">
        <v>0</v>
      </c>
      <c r="K1765">
        <v>0</v>
      </c>
      <c r="L1765">
        <v>1.0070000000000001E-3</v>
      </c>
      <c r="M1765">
        <v>0</v>
      </c>
      <c r="N1765">
        <v>0</v>
      </c>
      <c r="O1765" t="s">
        <v>1279</v>
      </c>
    </row>
    <row r="1766" spans="1:15" x14ac:dyDescent="0.25">
      <c r="A1766" t="s">
        <v>55</v>
      </c>
      <c r="B1766" t="s">
        <v>101</v>
      </c>
      <c r="C1766">
        <v>363</v>
      </c>
      <c r="D1766">
        <v>990.00009999999997</v>
      </c>
      <c r="E1766">
        <v>1</v>
      </c>
      <c r="F1766" t="s">
        <v>102</v>
      </c>
      <c r="G1766" t="s">
        <v>102</v>
      </c>
      <c r="H1766">
        <v>0</v>
      </c>
      <c r="I1766">
        <v>0</v>
      </c>
      <c r="K1766">
        <v>0</v>
      </c>
      <c r="L1766">
        <v>1.8832E-3</v>
      </c>
      <c r="M1766">
        <v>0</v>
      </c>
      <c r="N1766">
        <v>0</v>
      </c>
      <c r="O1766" t="s">
        <v>1280</v>
      </c>
    </row>
    <row r="1767" spans="1:15" x14ac:dyDescent="0.25">
      <c r="A1767" t="s">
        <v>55</v>
      </c>
      <c r="B1767" t="s">
        <v>101</v>
      </c>
      <c r="C1767">
        <v>363</v>
      </c>
      <c r="D1767">
        <v>990.00009999999997</v>
      </c>
      <c r="E1767">
        <v>10</v>
      </c>
      <c r="F1767" t="s">
        <v>102</v>
      </c>
      <c r="G1767" t="s">
        <v>102</v>
      </c>
      <c r="H1767">
        <v>0</v>
      </c>
      <c r="I1767">
        <v>0</v>
      </c>
      <c r="K1767">
        <v>0</v>
      </c>
      <c r="L1767">
        <v>1.601E-2</v>
      </c>
      <c r="M1767">
        <v>0</v>
      </c>
      <c r="N1767">
        <v>0</v>
      </c>
      <c r="O1767" t="s">
        <v>1281</v>
      </c>
    </row>
    <row r="1768" spans="1:15" x14ac:dyDescent="0.25">
      <c r="A1768" t="s">
        <v>55</v>
      </c>
      <c r="B1768" t="s">
        <v>101</v>
      </c>
      <c r="C1768">
        <v>363</v>
      </c>
      <c r="D1768">
        <v>990.00009999999997</v>
      </c>
      <c r="E1768">
        <v>100</v>
      </c>
      <c r="F1768" t="s">
        <v>102</v>
      </c>
      <c r="G1768" t="s">
        <v>102</v>
      </c>
      <c r="H1768">
        <v>0</v>
      </c>
      <c r="I1768">
        <v>0</v>
      </c>
      <c r="K1768">
        <v>0</v>
      </c>
      <c r="L1768">
        <v>0.15978999999999999</v>
      </c>
      <c r="M1768">
        <v>0</v>
      </c>
      <c r="N1768">
        <v>0</v>
      </c>
      <c r="O1768" t="s">
        <v>1282</v>
      </c>
    </row>
    <row r="1769" spans="1:15" x14ac:dyDescent="0.25">
      <c r="A1769" t="s">
        <v>55</v>
      </c>
      <c r="B1769" t="s">
        <v>101</v>
      </c>
      <c r="C1769">
        <v>990</v>
      </c>
      <c r="D1769">
        <v>3630.1</v>
      </c>
      <c r="E1769">
        <v>0.1</v>
      </c>
      <c r="F1769" t="s">
        <v>102</v>
      </c>
      <c r="G1769" t="s">
        <v>102</v>
      </c>
      <c r="H1769">
        <v>0</v>
      </c>
      <c r="I1769">
        <v>0</v>
      </c>
      <c r="K1769">
        <v>0</v>
      </c>
      <c r="L1769">
        <v>2.0999999999999999E-3</v>
      </c>
      <c r="M1769">
        <v>0</v>
      </c>
      <c r="N1769">
        <v>0</v>
      </c>
      <c r="O1769" t="s">
        <v>1283</v>
      </c>
    </row>
    <row r="1770" spans="1:15" x14ac:dyDescent="0.25">
      <c r="A1770" t="s">
        <v>55</v>
      </c>
      <c r="B1770" t="s">
        <v>101</v>
      </c>
      <c r="C1770">
        <v>990</v>
      </c>
      <c r="D1770">
        <v>3630.1</v>
      </c>
      <c r="E1770">
        <v>1</v>
      </c>
      <c r="F1770" t="s">
        <v>102</v>
      </c>
      <c r="G1770" t="s">
        <v>102</v>
      </c>
      <c r="H1770">
        <v>0</v>
      </c>
      <c r="I1770">
        <v>0</v>
      </c>
      <c r="K1770">
        <v>0</v>
      </c>
      <c r="L1770">
        <v>2.0999999999999999E-3</v>
      </c>
      <c r="M1770">
        <v>0</v>
      </c>
      <c r="N1770">
        <v>0</v>
      </c>
      <c r="O1770" t="s">
        <v>1284</v>
      </c>
    </row>
    <row r="1771" spans="1:15" x14ac:dyDescent="0.25">
      <c r="A1771" t="s">
        <v>55</v>
      </c>
      <c r="B1771" t="s">
        <v>101</v>
      </c>
      <c r="C1771">
        <v>990</v>
      </c>
      <c r="D1771">
        <v>3630.1</v>
      </c>
      <c r="E1771">
        <v>10</v>
      </c>
      <c r="F1771" t="s">
        <v>102</v>
      </c>
      <c r="G1771" t="s">
        <v>102</v>
      </c>
      <c r="H1771">
        <v>0</v>
      </c>
      <c r="I1771">
        <v>0</v>
      </c>
      <c r="K1771">
        <v>0</v>
      </c>
      <c r="L1771">
        <v>6.1979000000000001E-3</v>
      </c>
      <c r="M1771">
        <v>0</v>
      </c>
      <c r="N1771">
        <v>0</v>
      </c>
      <c r="O1771" t="s">
        <v>1285</v>
      </c>
    </row>
    <row r="1772" spans="1:15" x14ac:dyDescent="0.25">
      <c r="A1772" t="s">
        <v>55</v>
      </c>
      <c r="B1772" t="s">
        <v>101</v>
      </c>
      <c r="C1772">
        <v>990</v>
      </c>
      <c r="D1772">
        <v>3630.1</v>
      </c>
      <c r="E1772">
        <v>100</v>
      </c>
      <c r="F1772" t="s">
        <v>102</v>
      </c>
      <c r="G1772" t="s">
        <v>102</v>
      </c>
      <c r="H1772">
        <v>0</v>
      </c>
      <c r="I1772">
        <v>0</v>
      </c>
      <c r="K1772">
        <v>0</v>
      </c>
      <c r="L1772">
        <v>5.8622E-2</v>
      </c>
      <c r="M1772">
        <v>0</v>
      </c>
      <c r="N1772">
        <v>0</v>
      </c>
      <c r="O1772" t="s">
        <v>1286</v>
      </c>
    </row>
    <row r="1773" spans="1:15" x14ac:dyDescent="0.25">
      <c r="A1773" t="s">
        <v>55</v>
      </c>
      <c r="B1773" t="s">
        <v>101</v>
      </c>
      <c r="C1773">
        <v>990</v>
      </c>
      <c r="D1773">
        <v>3630.1</v>
      </c>
      <c r="E1773">
        <v>1000</v>
      </c>
      <c r="F1773" t="s">
        <v>102</v>
      </c>
      <c r="G1773" t="s">
        <v>102</v>
      </c>
      <c r="H1773">
        <v>0</v>
      </c>
      <c r="I1773">
        <v>0</v>
      </c>
      <c r="K1773">
        <v>0</v>
      </c>
      <c r="L1773">
        <v>0.58586000000000005</v>
      </c>
      <c r="M1773">
        <v>0</v>
      </c>
      <c r="N1773">
        <v>0</v>
      </c>
      <c r="O1773" t="s">
        <v>1287</v>
      </c>
    </row>
    <row r="1774" spans="1:15" x14ac:dyDescent="0.25">
      <c r="A1774" t="s">
        <v>55</v>
      </c>
      <c r="B1774" t="s">
        <v>101</v>
      </c>
      <c r="C1774">
        <v>3630</v>
      </c>
      <c r="D1774">
        <v>11200.1</v>
      </c>
      <c r="E1774">
        <v>0.1</v>
      </c>
      <c r="F1774" t="s">
        <v>102</v>
      </c>
      <c r="G1774" t="s">
        <v>102</v>
      </c>
      <c r="H1774">
        <v>0</v>
      </c>
      <c r="I1774">
        <v>0</v>
      </c>
      <c r="K1774">
        <v>0</v>
      </c>
      <c r="L1774">
        <v>1.6000000000000001E-3</v>
      </c>
      <c r="M1774">
        <v>0</v>
      </c>
      <c r="N1774">
        <v>0</v>
      </c>
      <c r="O1774" t="s">
        <v>1288</v>
      </c>
    </row>
    <row r="1775" spans="1:15" x14ac:dyDescent="0.25">
      <c r="A1775" t="s">
        <v>55</v>
      </c>
      <c r="B1775" t="s">
        <v>101</v>
      </c>
      <c r="C1775">
        <v>3630</v>
      </c>
      <c r="D1775">
        <v>11200.1</v>
      </c>
      <c r="E1775">
        <v>1</v>
      </c>
      <c r="F1775" t="s">
        <v>102</v>
      </c>
      <c r="G1775" t="s">
        <v>102</v>
      </c>
      <c r="H1775">
        <v>0</v>
      </c>
      <c r="I1775">
        <v>0</v>
      </c>
      <c r="K1775">
        <v>0</v>
      </c>
      <c r="L1775">
        <v>1.6000000000000001E-3</v>
      </c>
      <c r="M1775">
        <v>0</v>
      </c>
      <c r="N1775">
        <v>0</v>
      </c>
      <c r="O1775" t="s">
        <v>1289</v>
      </c>
    </row>
    <row r="1776" spans="1:15" x14ac:dyDescent="0.25">
      <c r="A1776" t="s">
        <v>55</v>
      </c>
      <c r="B1776" t="s">
        <v>101</v>
      </c>
      <c r="C1776">
        <v>3630</v>
      </c>
      <c r="D1776">
        <v>11200.1</v>
      </c>
      <c r="E1776">
        <v>10</v>
      </c>
      <c r="F1776" t="s">
        <v>102</v>
      </c>
      <c r="G1776" t="s">
        <v>102</v>
      </c>
      <c r="H1776">
        <v>0</v>
      </c>
      <c r="I1776">
        <v>0</v>
      </c>
      <c r="K1776">
        <v>0</v>
      </c>
      <c r="L1776">
        <v>2.2011999999999999E-3</v>
      </c>
      <c r="M1776">
        <v>0</v>
      </c>
      <c r="N1776">
        <v>0</v>
      </c>
      <c r="O1776" t="s">
        <v>1290</v>
      </c>
    </row>
    <row r="1777" spans="1:15" x14ac:dyDescent="0.25">
      <c r="A1777" t="s">
        <v>55</v>
      </c>
      <c r="B1777" t="s">
        <v>101</v>
      </c>
      <c r="C1777">
        <v>3630</v>
      </c>
      <c r="D1777">
        <v>11200.1</v>
      </c>
      <c r="E1777">
        <v>100</v>
      </c>
      <c r="F1777" t="s">
        <v>102</v>
      </c>
      <c r="G1777" t="s">
        <v>102</v>
      </c>
      <c r="H1777">
        <v>0</v>
      </c>
      <c r="I1777">
        <v>0</v>
      </c>
      <c r="K1777">
        <v>0</v>
      </c>
      <c r="L1777">
        <v>1.6050999999999999E-2</v>
      </c>
      <c r="M1777">
        <v>0</v>
      </c>
      <c r="N1777">
        <v>0</v>
      </c>
      <c r="O1777" t="s">
        <v>1291</v>
      </c>
    </row>
    <row r="1778" spans="1:15" x14ac:dyDescent="0.25">
      <c r="A1778" t="s">
        <v>55</v>
      </c>
      <c r="B1778" t="s">
        <v>101</v>
      </c>
      <c r="C1778">
        <v>3630</v>
      </c>
      <c r="D1778">
        <v>11200.1</v>
      </c>
      <c r="E1778">
        <v>1000</v>
      </c>
      <c r="F1778" t="s">
        <v>102</v>
      </c>
      <c r="G1778" t="s">
        <v>102</v>
      </c>
      <c r="H1778">
        <v>0</v>
      </c>
      <c r="I1778">
        <v>0</v>
      </c>
      <c r="K1778">
        <v>0</v>
      </c>
      <c r="L1778">
        <v>0.15978999999999999</v>
      </c>
      <c r="M1778">
        <v>0</v>
      </c>
      <c r="N1778">
        <v>0</v>
      </c>
      <c r="O1778" t="s">
        <v>1292</v>
      </c>
    </row>
    <row r="1779" spans="1:15" x14ac:dyDescent="0.25">
      <c r="A1779" t="s">
        <v>55</v>
      </c>
      <c r="B1779" t="s">
        <v>101</v>
      </c>
      <c r="C1779">
        <v>11200</v>
      </c>
      <c r="D1779">
        <v>20900</v>
      </c>
      <c r="E1779">
        <v>0.1</v>
      </c>
      <c r="F1779" t="s">
        <v>102</v>
      </c>
      <c r="G1779" t="s">
        <v>102</v>
      </c>
      <c r="H1779">
        <v>0</v>
      </c>
      <c r="I1779">
        <v>0</v>
      </c>
      <c r="K1779">
        <v>0</v>
      </c>
      <c r="L1779">
        <v>0.15978999999999999</v>
      </c>
      <c r="M1779">
        <v>0</v>
      </c>
      <c r="N1779">
        <v>0</v>
      </c>
      <c r="O1779" t="s">
        <v>1293</v>
      </c>
    </row>
    <row r="1780" spans="1:15" x14ac:dyDescent="0.25">
      <c r="A1780" t="s">
        <v>55</v>
      </c>
      <c r="B1780" t="s">
        <v>101</v>
      </c>
      <c r="C1780">
        <v>11200</v>
      </c>
      <c r="D1780">
        <v>20900</v>
      </c>
      <c r="E1780">
        <v>1</v>
      </c>
      <c r="F1780" t="s">
        <v>102</v>
      </c>
      <c r="G1780" t="s">
        <v>102</v>
      </c>
      <c r="H1780">
        <v>0</v>
      </c>
      <c r="I1780">
        <v>0</v>
      </c>
      <c r="K1780">
        <v>0</v>
      </c>
      <c r="L1780">
        <v>2.0999999999999999E-3</v>
      </c>
      <c r="M1780">
        <v>0</v>
      </c>
      <c r="N1780">
        <v>0</v>
      </c>
      <c r="O1780" t="s">
        <v>1294</v>
      </c>
    </row>
    <row r="1781" spans="1:15" x14ac:dyDescent="0.25">
      <c r="A1781" t="s">
        <v>55</v>
      </c>
      <c r="B1781" t="s">
        <v>101</v>
      </c>
      <c r="C1781">
        <v>11200</v>
      </c>
      <c r="D1781">
        <v>20900</v>
      </c>
      <c r="E1781">
        <v>10</v>
      </c>
      <c r="F1781" t="s">
        <v>102</v>
      </c>
      <c r="G1781" t="s">
        <v>102</v>
      </c>
      <c r="H1781">
        <v>0</v>
      </c>
      <c r="I1781">
        <v>0</v>
      </c>
      <c r="K1781">
        <v>0</v>
      </c>
      <c r="L1781">
        <v>2.0999999999999999E-3</v>
      </c>
      <c r="M1781">
        <v>0</v>
      </c>
      <c r="N1781">
        <v>0</v>
      </c>
      <c r="O1781" t="s">
        <v>1295</v>
      </c>
    </row>
    <row r="1782" spans="1:15" x14ac:dyDescent="0.25">
      <c r="A1782" t="s">
        <v>55</v>
      </c>
      <c r="B1782" t="s">
        <v>101</v>
      </c>
      <c r="C1782">
        <v>11200</v>
      </c>
      <c r="D1782">
        <v>20900</v>
      </c>
      <c r="E1782">
        <v>100</v>
      </c>
      <c r="F1782" t="s">
        <v>102</v>
      </c>
      <c r="G1782" t="s">
        <v>102</v>
      </c>
      <c r="H1782">
        <v>0</v>
      </c>
      <c r="I1782">
        <v>0</v>
      </c>
      <c r="K1782">
        <v>0</v>
      </c>
      <c r="L1782">
        <v>5.5465999999999996E-3</v>
      </c>
      <c r="M1782">
        <v>0</v>
      </c>
      <c r="N1782">
        <v>0</v>
      </c>
      <c r="O1782" t="s">
        <v>1296</v>
      </c>
    </row>
    <row r="1783" spans="1:15" x14ac:dyDescent="0.25">
      <c r="A1783" t="s">
        <v>55</v>
      </c>
      <c r="B1783" t="s">
        <v>101</v>
      </c>
      <c r="C1783">
        <v>11200</v>
      </c>
      <c r="D1783">
        <v>20900</v>
      </c>
      <c r="E1783">
        <v>1000</v>
      </c>
      <c r="F1783" t="s">
        <v>102</v>
      </c>
      <c r="G1783" t="s">
        <v>102</v>
      </c>
      <c r="H1783">
        <v>0</v>
      </c>
      <c r="I1783">
        <v>0</v>
      </c>
      <c r="K1783">
        <v>0</v>
      </c>
      <c r="L1783">
        <v>5.1733000000000001E-2</v>
      </c>
      <c r="M1783">
        <v>0</v>
      </c>
      <c r="N1783">
        <v>0</v>
      </c>
      <c r="O1783" t="s">
        <v>1297</v>
      </c>
    </row>
    <row r="1784" spans="1:15" x14ac:dyDescent="0.25">
      <c r="A1784" t="s">
        <v>55</v>
      </c>
      <c r="B1784" t="s">
        <v>101</v>
      </c>
      <c r="C1784">
        <v>20900</v>
      </c>
      <c r="D1784">
        <v>20901</v>
      </c>
      <c r="E1784">
        <v>0.1</v>
      </c>
      <c r="F1784" t="s">
        <v>102</v>
      </c>
      <c r="G1784" t="s">
        <v>102</v>
      </c>
      <c r="H1784">
        <v>0</v>
      </c>
      <c r="I1784">
        <v>0</v>
      </c>
      <c r="K1784">
        <v>0</v>
      </c>
      <c r="L1784">
        <v>0.15978999999999999</v>
      </c>
      <c r="M1784">
        <v>0</v>
      </c>
      <c r="N1784">
        <v>0</v>
      </c>
      <c r="O1784" t="s">
        <v>1298</v>
      </c>
    </row>
    <row r="1785" spans="1:15" x14ac:dyDescent="0.25">
      <c r="A1785" t="s">
        <v>55</v>
      </c>
      <c r="B1785" t="s">
        <v>101</v>
      </c>
      <c r="C1785">
        <v>20900</v>
      </c>
      <c r="D1785">
        <v>20901</v>
      </c>
      <c r="E1785">
        <v>1</v>
      </c>
      <c r="F1785" t="s">
        <v>102</v>
      </c>
      <c r="G1785" t="s">
        <v>102</v>
      </c>
      <c r="H1785">
        <v>0</v>
      </c>
      <c r="I1785">
        <v>0</v>
      </c>
      <c r="K1785">
        <v>0</v>
      </c>
      <c r="L1785">
        <v>2.0999999999999999E-3</v>
      </c>
      <c r="M1785">
        <v>0</v>
      </c>
      <c r="N1785">
        <v>0</v>
      </c>
      <c r="O1785" t="s">
        <v>1299</v>
      </c>
    </row>
    <row r="1786" spans="1:15" x14ac:dyDescent="0.25">
      <c r="A1786" t="s">
        <v>55</v>
      </c>
      <c r="B1786" t="s">
        <v>101</v>
      </c>
      <c r="C1786">
        <v>20900</v>
      </c>
      <c r="D1786">
        <v>20901</v>
      </c>
      <c r="E1786">
        <v>10</v>
      </c>
      <c r="F1786" t="s">
        <v>102</v>
      </c>
      <c r="G1786" t="s">
        <v>102</v>
      </c>
      <c r="H1786">
        <v>0</v>
      </c>
      <c r="I1786">
        <v>0</v>
      </c>
      <c r="K1786">
        <v>0</v>
      </c>
      <c r="L1786">
        <v>2.0999999999999999E-3</v>
      </c>
      <c r="M1786">
        <v>0</v>
      </c>
      <c r="N1786">
        <v>0</v>
      </c>
      <c r="O1786" t="s">
        <v>1300</v>
      </c>
    </row>
    <row r="1787" spans="1:15" x14ac:dyDescent="0.25">
      <c r="A1787" t="s">
        <v>55</v>
      </c>
      <c r="B1787" t="s">
        <v>101</v>
      </c>
      <c r="C1787">
        <v>20900</v>
      </c>
      <c r="D1787">
        <v>20901</v>
      </c>
      <c r="E1787">
        <v>100</v>
      </c>
      <c r="F1787" t="s">
        <v>102</v>
      </c>
      <c r="G1787" t="s">
        <v>102</v>
      </c>
      <c r="H1787">
        <v>0</v>
      </c>
      <c r="I1787">
        <v>0</v>
      </c>
      <c r="K1787">
        <v>0</v>
      </c>
      <c r="L1787">
        <v>5.5465999999999996E-3</v>
      </c>
      <c r="M1787">
        <v>0</v>
      </c>
      <c r="N1787">
        <v>0</v>
      </c>
      <c r="O1787" t="s">
        <v>1301</v>
      </c>
    </row>
    <row r="1788" spans="1:15" x14ac:dyDescent="0.25">
      <c r="A1788" t="s">
        <v>55</v>
      </c>
      <c r="B1788" t="s">
        <v>101</v>
      </c>
      <c r="C1788">
        <v>20900</v>
      </c>
      <c r="D1788">
        <v>20901</v>
      </c>
      <c r="E1788">
        <v>1000</v>
      </c>
      <c r="F1788" t="s">
        <v>102</v>
      </c>
      <c r="G1788" t="s">
        <v>102</v>
      </c>
      <c r="H1788">
        <v>0</v>
      </c>
      <c r="I1788">
        <v>0</v>
      </c>
      <c r="K1788">
        <v>0</v>
      </c>
      <c r="L1788">
        <v>5.1733000000000001E-2</v>
      </c>
      <c r="M1788">
        <v>0</v>
      </c>
      <c r="N1788">
        <v>0</v>
      </c>
      <c r="O1788" t="s">
        <v>1302</v>
      </c>
    </row>
    <row r="1789" spans="1:15" x14ac:dyDescent="0.25">
      <c r="A1789" t="s">
        <v>55</v>
      </c>
      <c r="B1789" t="s">
        <v>14</v>
      </c>
      <c r="C1789">
        <v>2.1999999999999999E-10</v>
      </c>
      <c r="D1789">
        <v>3.3000000000000002E-9</v>
      </c>
      <c r="E1789">
        <v>1E-13</v>
      </c>
      <c r="F1789" t="s">
        <v>142</v>
      </c>
      <c r="G1789" t="s">
        <v>15</v>
      </c>
      <c r="H1789">
        <v>0</v>
      </c>
      <c r="I1789">
        <v>0</v>
      </c>
      <c r="K1789">
        <v>1.2E-2</v>
      </c>
      <c r="L1789">
        <v>5800000</v>
      </c>
      <c r="M1789">
        <v>1.155E-2</v>
      </c>
      <c r="N1789">
        <v>5775200</v>
      </c>
      <c r="O1789" t="s">
        <v>1164</v>
      </c>
    </row>
    <row r="1790" spans="1:15" x14ac:dyDescent="0.25">
      <c r="A1790" t="s">
        <v>55</v>
      </c>
      <c r="B1790" t="s">
        <v>14</v>
      </c>
      <c r="C1790">
        <v>2.1999999999999999E-10</v>
      </c>
      <c r="D1790">
        <v>3.3000000000000002E-9</v>
      </c>
      <c r="E1790">
        <v>9.9999999999999998E-13</v>
      </c>
      <c r="F1790" t="s">
        <v>142</v>
      </c>
      <c r="G1790" t="s">
        <v>15</v>
      </c>
      <c r="H1790">
        <v>0</v>
      </c>
      <c r="I1790">
        <v>0</v>
      </c>
      <c r="K1790">
        <v>1.2E-2</v>
      </c>
      <c r="L1790">
        <v>5800000</v>
      </c>
      <c r="M1790">
        <v>1.1563E-2</v>
      </c>
      <c r="N1790">
        <v>5772800</v>
      </c>
      <c r="O1790" t="s">
        <v>1165</v>
      </c>
    </row>
    <row r="1791" spans="1:15" x14ac:dyDescent="0.25">
      <c r="A1791" t="s">
        <v>55</v>
      </c>
      <c r="B1791" t="s">
        <v>14</v>
      </c>
      <c r="C1791">
        <v>2.1999999999999999E-10</v>
      </c>
      <c r="D1791">
        <v>3.3000000000000002E-9</v>
      </c>
      <c r="E1791">
        <v>9.9999999999999994E-12</v>
      </c>
      <c r="F1791" t="s">
        <v>142</v>
      </c>
      <c r="G1791" t="s">
        <v>15</v>
      </c>
      <c r="H1791">
        <v>0</v>
      </c>
      <c r="I1791">
        <v>0</v>
      </c>
      <c r="K1791">
        <v>1.2845000000000001E-2</v>
      </c>
      <c r="L1791">
        <v>5547800</v>
      </c>
      <c r="M1791">
        <v>1.2838E-2</v>
      </c>
      <c r="N1791">
        <v>5547800</v>
      </c>
      <c r="O1791" t="s">
        <v>1166</v>
      </c>
    </row>
    <row r="1792" spans="1:15" x14ac:dyDescent="0.25">
      <c r="A1792" t="s">
        <v>55</v>
      </c>
      <c r="B1792" t="s">
        <v>14</v>
      </c>
      <c r="C1792">
        <v>2.1999999999999999E-10</v>
      </c>
      <c r="D1792">
        <v>3.3000000000000002E-9</v>
      </c>
      <c r="E1792">
        <v>1E-10</v>
      </c>
      <c r="F1792" t="s">
        <v>142</v>
      </c>
      <c r="G1792" t="s">
        <v>15</v>
      </c>
      <c r="H1792">
        <v>0</v>
      </c>
      <c r="I1792">
        <v>0</v>
      </c>
      <c r="K1792">
        <v>5.8705E-2</v>
      </c>
      <c r="L1792">
        <v>2016900</v>
      </c>
      <c r="M1792">
        <v>5.8698E-2</v>
      </c>
      <c r="N1792">
        <v>2014500</v>
      </c>
      <c r="O1792" t="s">
        <v>1167</v>
      </c>
    </row>
    <row r="1793" spans="1:15" x14ac:dyDescent="0.25">
      <c r="A1793" t="s">
        <v>55</v>
      </c>
      <c r="B1793" t="s">
        <v>14</v>
      </c>
      <c r="C1793">
        <v>2.1999999999999999E-10</v>
      </c>
      <c r="D1793">
        <v>3.3000000000000002E-9</v>
      </c>
      <c r="E1793">
        <v>1.0000000000000001E-9</v>
      </c>
      <c r="F1793" t="s">
        <v>142</v>
      </c>
      <c r="G1793" t="s">
        <v>15</v>
      </c>
      <c r="H1793">
        <v>0</v>
      </c>
      <c r="I1793">
        <v>0</v>
      </c>
      <c r="K1793">
        <v>0.57745000000000002</v>
      </c>
      <c r="L1793">
        <v>218190</v>
      </c>
      <c r="M1793">
        <v>0.57745000000000002</v>
      </c>
      <c r="N1793">
        <v>217000</v>
      </c>
      <c r="O1793" t="s">
        <v>1168</v>
      </c>
    </row>
    <row r="1794" spans="1:15" x14ac:dyDescent="0.25">
      <c r="A1794" t="s">
        <v>55</v>
      </c>
      <c r="B1794" t="s">
        <v>14</v>
      </c>
      <c r="C1794">
        <v>3.3000000000000002E-9</v>
      </c>
      <c r="D1794">
        <v>1.0999999999999999E-8</v>
      </c>
      <c r="E1794">
        <v>9.9999999999999998E-13</v>
      </c>
      <c r="F1794" t="s">
        <v>142</v>
      </c>
      <c r="G1794" t="s">
        <v>15</v>
      </c>
      <c r="H1794">
        <v>0</v>
      </c>
      <c r="I1794">
        <v>0</v>
      </c>
      <c r="K1794">
        <v>1.2E-2</v>
      </c>
      <c r="L1794">
        <v>2900000</v>
      </c>
      <c r="M1794">
        <v>1.1575999999999999E-2</v>
      </c>
      <c r="N1794">
        <v>2885200</v>
      </c>
      <c r="O1794" t="s">
        <v>1169</v>
      </c>
    </row>
    <row r="1795" spans="1:15" x14ac:dyDescent="0.25">
      <c r="A1795" t="s">
        <v>55</v>
      </c>
      <c r="B1795" t="s">
        <v>14</v>
      </c>
      <c r="C1795">
        <v>3.3000000000000002E-9</v>
      </c>
      <c r="D1795">
        <v>1.0999999999999999E-8</v>
      </c>
      <c r="E1795">
        <v>9.9999999999999994E-12</v>
      </c>
      <c r="F1795" t="s">
        <v>142</v>
      </c>
      <c r="G1795" t="s">
        <v>15</v>
      </c>
      <c r="H1795">
        <v>0</v>
      </c>
      <c r="I1795">
        <v>0</v>
      </c>
      <c r="K1795">
        <v>1.2482E-2</v>
      </c>
      <c r="L1795">
        <v>2856200</v>
      </c>
      <c r="M1795">
        <v>1.2511E-2</v>
      </c>
      <c r="N1795">
        <v>2834700</v>
      </c>
      <c r="O1795" t="s">
        <v>1170</v>
      </c>
    </row>
    <row r="1796" spans="1:15" x14ac:dyDescent="0.25">
      <c r="A1796" t="s">
        <v>55</v>
      </c>
      <c r="B1796" t="s">
        <v>14</v>
      </c>
      <c r="C1796">
        <v>3.3000000000000002E-9</v>
      </c>
      <c r="D1796">
        <v>1.0999999999999999E-8</v>
      </c>
      <c r="E1796">
        <v>1E-10</v>
      </c>
      <c r="F1796" t="s">
        <v>142</v>
      </c>
      <c r="G1796" t="s">
        <v>15</v>
      </c>
      <c r="H1796">
        <v>0</v>
      </c>
      <c r="I1796">
        <v>0</v>
      </c>
      <c r="K1796">
        <v>5.6911000000000003E-2</v>
      </c>
      <c r="L1796">
        <v>1398700</v>
      </c>
      <c r="M1796">
        <v>5.6877999999999998E-2</v>
      </c>
      <c r="N1796">
        <v>1390600</v>
      </c>
      <c r="O1796" t="s">
        <v>1171</v>
      </c>
    </row>
    <row r="1797" spans="1:15" x14ac:dyDescent="0.25">
      <c r="A1797" t="s">
        <v>55</v>
      </c>
      <c r="B1797" t="s">
        <v>14</v>
      </c>
      <c r="C1797">
        <v>3.3000000000000002E-9</v>
      </c>
      <c r="D1797">
        <v>1.0999999999999999E-8</v>
      </c>
      <c r="E1797">
        <v>1.0000000000000001E-9</v>
      </c>
      <c r="F1797" t="s">
        <v>142</v>
      </c>
      <c r="G1797" t="s">
        <v>15</v>
      </c>
      <c r="H1797">
        <v>0</v>
      </c>
      <c r="I1797">
        <v>0</v>
      </c>
      <c r="K1797">
        <v>0.57721999999999996</v>
      </c>
      <c r="L1797">
        <v>165280</v>
      </c>
      <c r="M1797">
        <v>0.57721</v>
      </c>
      <c r="N1797">
        <v>160660</v>
      </c>
      <c r="O1797" t="s">
        <v>1172</v>
      </c>
    </row>
    <row r="1798" spans="1:15" x14ac:dyDescent="0.25">
      <c r="A1798" t="s">
        <v>55</v>
      </c>
      <c r="B1798" t="s">
        <v>14</v>
      </c>
      <c r="C1798">
        <v>1.0999999999999999E-8</v>
      </c>
      <c r="D1798">
        <v>3.2999999999999998E-8</v>
      </c>
      <c r="E1798">
        <v>9.9999999999999998E-13</v>
      </c>
      <c r="F1798" t="s">
        <v>142</v>
      </c>
      <c r="G1798" t="s">
        <v>15</v>
      </c>
      <c r="H1798">
        <v>0</v>
      </c>
      <c r="I1798">
        <v>0</v>
      </c>
      <c r="K1798">
        <v>0.12</v>
      </c>
      <c r="L1798">
        <v>2900000</v>
      </c>
      <c r="M1798">
        <v>0.11547</v>
      </c>
      <c r="N1798">
        <v>2886700</v>
      </c>
      <c r="O1798" t="s">
        <v>1173</v>
      </c>
    </row>
    <row r="1799" spans="1:15" x14ac:dyDescent="0.25">
      <c r="A1799" t="s">
        <v>55</v>
      </c>
      <c r="B1799" t="s">
        <v>14</v>
      </c>
      <c r="C1799">
        <v>1.0999999999999999E-8</v>
      </c>
      <c r="D1799">
        <v>3.2999999999999998E-8</v>
      </c>
      <c r="E1799">
        <v>9.9999999999999994E-12</v>
      </c>
      <c r="F1799" t="s">
        <v>142</v>
      </c>
      <c r="G1799" t="s">
        <v>15</v>
      </c>
      <c r="H1799">
        <v>0</v>
      </c>
      <c r="I1799">
        <v>0</v>
      </c>
      <c r="K1799">
        <v>0.12</v>
      </c>
      <c r="L1799">
        <v>2900000</v>
      </c>
      <c r="M1799">
        <v>0.11561</v>
      </c>
      <c r="N1799">
        <v>2885200</v>
      </c>
      <c r="O1799" t="s">
        <v>1174</v>
      </c>
    </row>
    <row r="1800" spans="1:15" x14ac:dyDescent="0.25">
      <c r="A1800" t="s">
        <v>55</v>
      </c>
      <c r="B1800" t="s">
        <v>14</v>
      </c>
      <c r="C1800">
        <v>1.0999999999999999E-8</v>
      </c>
      <c r="D1800">
        <v>3.2999999999999998E-8</v>
      </c>
      <c r="E1800">
        <v>1E-10</v>
      </c>
      <c r="F1800" t="s">
        <v>142</v>
      </c>
      <c r="G1800" t="s">
        <v>15</v>
      </c>
      <c r="H1800">
        <v>0</v>
      </c>
      <c r="I1800">
        <v>0</v>
      </c>
      <c r="K1800">
        <v>0.12801000000000001</v>
      </c>
      <c r="L1800">
        <v>2745100</v>
      </c>
      <c r="M1800">
        <v>0.12797</v>
      </c>
      <c r="N1800">
        <v>2743500</v>
      </c>
      <c r="O1800" t="s">
        <v>1175</v>
      </c>
    </row>
    <row r="1801" spans="1:15" x14ac:dyDescent="0.25">
      <c r="A1801" t="s">
        <v>55</v>
      </c>
      <c r="B1801" t="s">
        <v>14</v>
      </c>
      <c r="C1801">
        <v>1.0999999999999999E-8</v>
      </c>
      <c r="D1801">
        <v>3.2999999999999998E-8</v>
      </c>
      <c r="E1801">
        <v>1.0000000000000001E-9</v>
      </c>
      <c r="F1801" t="s">
        <v>142</v>
      </c>
      <c r="G1801" t="s">
        <v>15</v>
      </c>
      <c r="H1801">
        <v>0</v>
      </c>
      <c r="I1801">
        <v>0</v>
      </c>
      <c r="K1801">
        <v>0.58647000000000005</v>
      </c>
      <c r="L1801">
        <v>856770</v>
      </c>
      <c r="M1801">
        <v>0.58643999999999996</v>
      </c>
      <c r="N1801">
        <v>853690</v>
      </c>
      <c r="O1801" t="s">
        <v>1176</v>
      </c>
    </row>
    <row r="1802" spans="1:15" x14ac:dyDescent="0.25">
      <c r="A1802" t="s">
        <v>55</v>
      </c>
      <c r="B1802" t="s">
        <v>14</v>
      </c>
      <c r="C1802">
        <v>1.0999999999999999E-8</v>
      </c>
      <c r="D1802">
        <v>3.2999999999999998E-8</v>
      </c>
      <c r="E1802">
        <v>1E-8</v>
      </c>
      <c r="F1802" t="s">
        <v>142</v>
      </c>
      <c r="G1802" t="s">
        <v>15</v>
      </c>
      <c r="H1802">
        <v>0</v>
      </c>
      <c r="I1802">
        <v>0</v>
      </c>
      <c r="K1802">
        <v>5.7744999999999997</v>
      </c>
      <c r="L1802">
        <v>853270</v>
      </c>
      <c r="M1802">
        <v>5.7744</v>
      </c>
      <c r="N1802">
        <v>89445</v>
      </c>
      <c r="O1802" t="s">
        <v>1177</v>
      </c>
    </row>
    <row r="1803" spans="1:15" x14ac:dyDescent="0.25">
      <c r="A1803" t="s">
        <v>55</v>
      </c>
      <c r="B1803" t="s">
        <v>14</v>
      </c>
      <c r="C1803">
        <v>3.2999999999999998E-8</v>
      </c>
      <c r="D1803">
        <v>1.1000000000000001E-7</v>
      </c>
      <c r="E1803">
        <v>9.9999999999999994E-12</v>
      </c>
      <c r="F1803" t="s">
        <v>142</v>
      </c>
      <c r="G1803" t="s">
        <v>15</v>
      </c>
      <c r="H1803">
        <v>0</v>
      </c>
      <c r="I1803">
        <v>0</v>
      </c>
      <c r="K1803">
        <v>0.12</v>
      </c>
      <c r="L1803">
        <v>2900000</v>
      </c>
      <c r="M1803">
        <v>0.11565</v>
      </c>
      <c r="N1803">
        <v>2886200</v>
      </c>
      <c r="O1803" t="s">
        <v>1178</v>
      </c>
    </row>
    <row r="1804" spans="1:15" x14ac:dyDescent="0.25">
      <c r="A1804" t="s">
        <v>55</v>
      </c>
      <c r="B1804" t="s">
        <v>14</v>
      </c>
      <c r="C1804">
        <v>3.2999999999999998E-8</v>
      </c>
      <c r="D1804">
        <v>1.1000000000000001E-7</v>
      </c>
      <c r="E1804">
        <v>1E-10</v>
      </c>
      <c r="F1804" t="s">
        <v>142</v>
      </c>
      <c r="G1804" t="s">
        <v>15</v>
      </c>
      <c r="H1804">
        <v>0</v>
      </c>
      <c r="I1804">
        <v>0</v>
      </c>
      <c r="K1804">
        <v>0.12459000000000001</v>
      </c>
      <c r="L1804">
        <v>2858300</v>
      </c>
      <c r="M1804">
        <v>0.125</v>
      </c>
      <c r="N1804">
        <v>2835700</v>
      </c>
      <c r="O1804" t="s">
        <v>1179</v>
      </c>
    </row>
    <row r="1805" spans="1:15" x14ac:dyDescent="0.25">
      <c r="A1805" t="s">
        <v>55</v>
      </c>
      <c r="B1805" t="s">
        <v>14</v>
      </c>
      <c r="C1805">
        <v>3.2999999999999998E-8</v>
      </c>
      <c r="D1805">
        <v>1.1000000000000001E-7</v>
      </c>
      <c r="E1805">
        <v>1.0000000000000001E-9</v>
      </c>
      <c r="F1805" t="s">
        <v>142</v>
      </c>
      <c r="G1805" t="s">
        <v>15</v>
      </c>
      <c r="H1805">
        <v>0</v>
      </c>
      <c r="I1805">
        <v>0</v>
      </c>
      <c r="K1805">
        <v>0.56898000000000004</v>
      </c>
      <c r="L1805">
        <v>1398000</v>
      </c>
      <c r="M1805">
        <v>0.56874000000000002</v>
      </c>
      <c r="N1805">
        <v>1390900</v>
      </c>
      <c r="O1805" t="s">
        <v>1180</v>
      </c>
    </row>
    <row r="1806" spans="1:15" x14ac:dyDescent="0.25">
      <c r="A1806" t="s">
        <v>55</v>
      </c>
      <c r="B1806" t="s">
        <v>14</v>
      </c>
      <c r="C1806">
        <v>3.2999999999999998E-8</v>
      </c>
      <c r="D1806">
        <v>1.1000000000000001E-7</v>
      </c>
      <c r="E1806">
        <v>1E-8</v>
      </c>
      <c r="F1806" t="s">
        <v>142</v>
      </c>
      <c r="G1806" t="s">
        <v>15</v>
      </c>
      <c r="H1806">
        <v>0</v>
      </c>
      <c r="I1806">
        <v>0</v>
      </c>
      <c r="K1806">
        <v>5.7721999999999998</v>
      </c>
      <c r="L1806">
        <v>164700</v>
      </c>
      <c r="M1806">
        <v>5.7721</v>
      </c>
      <c r="N1806">
        <v>160690</v>
      </c>
      <c r="O1806" t="s">
        <v>1181</v>
      </c>
    </row>
    <row r="1807" spans="1:15" x14ac:dyDescent="0.25">
      <c r="A1807" t="s">
        <v>55</v>
      </c>
      <c r="B1807" t="s">
        <v>14</v>
      </c>
      <c r="C1807">
        <v>1.1000000000000001E-7</v>
      </c>
      <c r="D1807">
        <v>3.3000000000000002E-7</v>
      </c>
      <c r="E1807">
        <v>9.9999999999999994E-12</v>
      </c>
      <c r="F1807" t="s">
        <v>142</v>
      </c>
      <c r="G1807" t="s">
        <v>15</v>
      </c>
      <c r="H1807">
        <v>0</v>
      </c>
      <c r="I1807">
        <v>0</v>
      </c>
      <c r="K1807">
        <v>0.35</v>
      </c>
      <c r="L1807">
        <v>2900000</v>
      </c>
      <c r="M1807">
        <v>0.34649000000000002</v>
      </c>
      <c r="N1807">
        <v>2886700</v>
      </c>
      <c r="O1807" t="s">
        <v>1182</v>
      </c>
    </row>
    <row r="1808" spans="1:15" x14ac:dyDescent="0.25">
      <c r="A1808" t="s">
        <v>55</v>
      </c>
      <c r="B1808" t="s">
        <v>14</v>
      </c>
      <c r="C1808">
        <v>1.1000000000000001E-7</v>
      </c>
      <c r="D1808">
        <v>3.3000000000000002E-7</v>
      </c>
      <c r="E1808">
        <v>1E-10</v>
      </c>
      <c r="F1808" t="s">
        <v>142</v>
      </c>
      <c r="G1808" t="s">
        <v>15</v>
      </c>
      <c r="H1808">
        <v>0</v>
      </c>
      <c r="I1808">
        <v>0</v>
      </c>
      <c r="K1808">
        <v>0.35</v>
      </c>
      <c r="L1808">
        <v>2900000</v>
      </c>
      <c r="M1808">
        <v>0.34958</v>
      </c>
      <c r="N1808">
        <v>2881200</v>
      </c>
      <c r="O1808" t="s">
        <v>1183</v>
      </c>
    </row>
    <row r="1809" spans="1:15" x14ac:dyDescent="0.25">
      <c r="A1809" t="s">
        <v>55</v>
      </c>
      <c r="B1809" t="s">
        <v>14</v>
      </c>
      <c r="C1809">
        <v>1.1000000000000001E-7</v>
      </c>
      <c r="D1809">
        <v>3.3000000000000002E-7</v>
      </c>
      <c r="E1809">
        <v>1.0000000000000001E-9</v>
      </c>
      <c r="F1809" t="s">
        <v>142</v>
      </c>
      <c r="G1809" t="s">
        <v>15</v>
      </c>
      <c r="H1809">
        <v>0</v>
      </c>
      <c r="I1809">
        <v>0</v>
      </c>
      <c r="K1809">
        <v>0.60931000000000002</v>
      </c>
      <c r="L1809">
        <v>2463100</v>
      </c>
      <c r="M1809">
        <v>0.60906000000000005</v>
      </c>
      <c r="N1809">
        <v>2462300</v>
      </c>
      <c r="O1809" t="s">
        <v>1184</v>
      </c>
    </row>
    <row r="1810" spans="1:15" x14ac:dyDescent="0.25">
      <c r="A1810" t="s">
        <v>55</v>
      </c>
      <c r="B1810" t="s">
        <v>14</v>
      </c>
      <c r="C1810">
        <v>1.1000000000000001E-7</v>
      </c>
      <c r="D1810">
        <v>3.3000000000000002E-7</v>
      </c>
      <c r="E1810">
        <v>1E-8</v>
      </c>
      <c r="F1810" t="s">
        <v>142</v>
      </c>
      <c r="G1810" t="s">
        <v>15</v>
      </c>
      <c r="H1810">
        <v>0</v>
      </c>
      <c r="I1810">
        <v>0</v>
      </c>
      <c r="K1810">
        <v>5.7584999999999997</v>
      </c>
      <c r="L1810">
        <v>484500</v>
      </c>
      <c r="M1810">
        <v>5.7584999999999997</v>
      </c>
      <c r="N1810">
        <v>483140</v>
      </c>
      <c r="O1810" t="s">
        <v>1185</v>
      </c>
    </row>
    <row r="1811" spans="1:15" x14ac:dyDescent="0.25">
      <c r="A1811" t="s">
        <v>55</v>
      </c>
      <c r="B1811" t="s">
        <v>14</v>
      </c>
      <c r="C1811">
        <v>3.3000000000000002E-7</v>
      </c>
      <c r="D1811">
        <v>1.1000000000000001E-6</v>
      </c>
      <c r="E1811">
        <v>1E-10</v>
      </c>
      <c r="F1811" t="s">
        <v>142</v>
      </c>
      <c r="G1811" t="s">
        <v>15</v>
      </c>
      <c r="H1811">
        <v>0</v>
      </c>
      <c r="I1811">
        <v>0</v>
      </c>
      <c r="K1811">
        <v>1.2</v>
      </c>
      <c r="L1811">
        <v>2900000</v>
      </c>
      <c r="M1811">
        <v>1.1566000000000001</v>
      </c>
      <c r="N1811">
        <v>2886200</v>
      </c>
      <c r="O1811" t="s">
        <v>1186</v>
      </c>
    </row>
    <row r="1812" spans="1:15" x14ac:dyDescent="0.25">
      <c r="A1812" t="s">
        <v>55</v>
      </c>
      <c r="B1812" t="s">
        <v>14</v>
      </c>
      <c r="C1812">
        <v>3.3000000000000002E-7</v>
      </c>
      <c r="D1812">
        <v>1.1000000000000001E-6</v>
      </c>
      <c r="E1812">
        <v>1.0000000000000001E-9</v>
      </c>
      <c r="F1812" t="s">
        <v>142</v>
      </c>
      <c r="G1812" t="s">
        <v>15</v>
      </c>
      <c r="H1812">
        <v>0</v>
      </c>
      <c r="I1812">
        <v>0</v>
      </c>
      <c r="K1812">
        <v>1.2438</v>
      </c>
      <c r="L1812">
        <v>2860200</v>
      </c>
      <c r="M1812">
        <v>1.2501</v>
      </c>
      <c r="N1812">
        <v>2835600</v>
      </c>
      <c r="O1812" t="s">
        <v>1187</v>
      </c>
    </row>
    <row r="1813" spans="1:15" x14ac:dyDescent="0.25">
      <c r="A1813" t="s">
        <v>55</v>
      </c>
      <c r="B1813" t="s">
        <v>14</v>
      </c>
      <c r="C1813">
        <v>3.3000000000000002E-7</v>
      </c>
      <c r="D1813">
        <v>1.1000000000000001E-6</v>
      </c>
      <c r="E1813">
        <v>1E-8</v>
      </c>
      <c r="F1813" t="s">
        <v>142</v>
      </c>
      <c r="G1813" t="s">
        <v>15</v>
      </c>
      <c r="H1813">
        <v>0</v>
      </c>
      <c r="I1813">
        <v>0</v>
      </c>
      <c r="K1813">
        <v>5.6890999999999998</v>
      </c>
      <c r="L1813">
        <v>1394000</v>
      </c>
      <c r="M1813">
        <v>5.6874000000000002</v>
      </c>
      <c r="N1813">
        <v>1390900</v>
      </c>
      <c r="O1813" t="s">
        <v>1188</v>
      </c>
    </row>
    <row r="1814" spans="1:15" x14ac:dyDescent="0.25">
      <c r="A1814" t="s">
        <v>55</v>
      </c>
      <c r="B1814" t="s">
        <v>14</v>
      </c>
      <c r="C1814">
        <v>3.3000000000000002E-7</v>
      </c>
      <c r="D1814">
        <v>1.1001000000000001E-6</v>
      </c>
      <c r="E1814">
        <v>9.9999999999999995E-8</v>
      </c>
      <c r="F1814" t="s">
        <v>142</v>
      </c>
      <c r="G1814" t="s">
        <v>15</v>
      </c>
      <c r="H1814">
        <v>0</v>
      </c>
      <c r="I1814">
        <v>0</v>
      </c>
      <c r="K1814">
        <v>57.722000000000001</v>
      </c>
      <c r="L1814">
        <v>162480</v>
      </c>
      <c r="M1814">
        <v>57.720999999999997</v>
      </c>
      <c r="N1814">
        <v>160690</v>
      </c>
      <c r="O1814" t="s">
        <v>1189</v>
      </c>
    </row>
    <row r="1815" spans="1:15" x14ac:dyDescent="0.25">
      <c r="A1815" t="s">
        <v>55</v>
      </c>
      <c r="B1815" t="s">
        <v>14</v>
      </c>
      <c r="C1815">
        <v>1.1000000000000001E-6</v>
      </c>
      <c r="D1815">
        <v>3.3001E-6</v>
      </c>
      <c r="E1815">
        <v>1E-10</v>
      </c>
      <c r="F1815" t="s">
        <v>142</v>
      </c>
      <c r="G1815" t="s">
        <v>15</v>
      </c>
      <c r="H1815">
        <v>0</v>
      </c>
      <c r="I1815">
        <v>0</v>
      </c>
      <c r="K1815">
        <v>3.5</v>
      </c>
      <c r="L1815">
        <v>2900000</v>
      </c>
      <c r="M1815">
        <v>3.4649000000000001</v>
      </c>
      <c r="N1815">
        <v>2886700</v>
      </c>
      <c r="O1815" t="s">
        <v>1190</v>
      </c>
    </row>
    <row r="1816" spans="1:15" x14ac:dyDescent="0.25">
      <c r="A1816" t="s">
        <v>55</v>
      </c>
      <c r="B1816" t="s">
        <v>14</v>
      </c>
      <c r="C1816">
        <v>1.1000000000000001E-6</v>
      </c>
      <c r="D1816">
        <v>3.3001E-6</v>
      </c>
      <c r="E1816">
        <v>1.0000000000000001E-9</v>
      </c>
      <c r="F1816" t="s">
        <v>142</v>
      </c>
      <c r="G1816" t="s">
        <v>15</v>
      </c>
      <c r="H1816">
        <v>0</v>
      </c>
      <c r="I1816">
        <v>0</v>
      </c>
      <c r="K1816">
        <v>3.5</v>
      </c>
      <c r="L1816">
        <v>2900000</v>
      </c>
      <c r="M1816">
        <v>3.4958</v>
      </c>
      <c r="N1816">
        <v>2881200</v>
      </c>
      <c r="O1816" t="s">
        <v>1191</v>
      </c>
    </row>
    <row r="1817" spans="1:15" x14ac:dyDescent="0.25">
      <c r="A1817" t="s">
        <v>55</v>
      </c>
      <c r="B1817" t="s">
        <v>14</v>
      </c>
      <c r="C1817">
        <v>1.1000000000000001E-6</v>
      </c>
      <c r="D1817">
        <v>3.3001E-6</v>
      </c>
      <c r="E1817">
        <v>1E-8</v>
      </c>
      <c r="F1817" t="s">
        <v>142</v>
      </c>
      <c r="G1817" t="s">
        <v>15</v>
      </c>
      <c r="H1817">
        <v>0</v>
      </c>
      <c r="I1817">
        <v>0</v>
      </c>
      <c r="K1817">
        <v>6.0937000000000001</v>
      </c>
      <c r="L1817">
        <v>2463200</v>
      </c>
      <c r="M1817">
        <v>6.0906000000000002</v>
      </c>
      <c r="N1817">
        <v>2462300</v>
      </c>
      <c r="O1817" t="s">
        <v>1192</v>
      </c>
    </row>
    <row r="1818" spans="1:15" x14ac:dyDescent="0.25">
      <c r="A1818" t="s">
        <v>55</v>
      </c>
      <c r="B1818" t="s">
        <v>14</v>
      </c>
      <c r="C1818">
        <v>1.1000000000000001E-6</v>
      </c>
      <c r="D1818">
        <v>3.3001E-6</v>
      </c>
      <c r="E1818">
        <v>9.9999999999999995E-8</v>
      </c>
      <c r="F1818" t="s">
        <v>142</v>
      </c>
      <c r="G1818" t="s">
        <v>15</v>
      </c>
      <c r="H1818">
        <v>0</v>
      </c>
      <c r="I1818">
        <v>0</v>
      </c>
      <c r="K1818">
        <v>57.585000000000001</v>
      </c>
      <c r="L1818">
        <v>484680</v>
      </c>
      <c r="M1818">
        <v>57.585000000000001</v>
      </c>
      <c r="N1818">
        <v>483140</v>
      </c>
      <c r="O1818" t="s">
        <v>1193</v>
      </c>
    </row>
    <row r="1819" spans="1:15" x14ac:dyDescent="0.25">
      <c r="A1819" t="s">
        <v>55</v>
      </c>
      <c r="B1819" t="s">
        <v>14</v>
      </c>
      <c r="C1819">
        <v>3.3000000000000002E-6</v>
      </c>
      <c r="D1819">
        <v>1.1001E-5</v>
      </c>
      <c r="E1819">
        <v>1.0000000000000001E-9</v>
      </c>
      <c r="F1819" t="s">
        <v>142</v>
      </c>
      <c r="G1819" t="s">
        <v>15</v>
      </c>
      <c r="H1819">
        <v>0</v>
      </c>
      <c r="I1819">
        <v>0</v>
      </c>
      <c r="K1819">
        <v>12</v>
      </c>
      <c r="L1819">
        <v>2900000</v>
      </c>
      <c r="M1819">
        <v>11.566000000000001</v>
      </c>
      <c r="N1819">
        <v>2886200</v>
      </c>
      <c r="O1819" t="s">
        <v>1194</v>
      </c>
    </row>
    <row r="1820" spans="1:15" x14ac:dyDescent="0.25">
      <c r="A1820" t="s">
        <v>55</v>
      </c>
      <c r="B1820" t="s">
        <v>14</v>
      </c>
      <c r="C1820">
        <v>3.3000000000000002E-6</v>
      </c>
      <c r="D1820">
        <v>1.1001E-5</v>
      </c>
      <c r="E1820">
        <v>1E-8</v>
      </c>
      <c r="F1820" t="s">
        <v>142</v>
      </c>
      <c r="G1820" t="s">
        <v>15</v>
      </c>
      <c r="H1820">
        <v>0</v>
      </c>
      <c r="I1820">
        <v>0</v>
      </c>
      <c r="K1820">
        <v>12.429</v>
      </c>
      <c r="L1820">
        <v>2861100</v>
      </c>
      <c r="M1820">
        <v>12.500999999999999</v>
      </c>
      <c r="N1820">
        <v>2835600</v>
      </c>
      <c r="O1820" t="s">
        <v>1195</v>
      </c>
    </row>
    <row r="1821" spans="1:15" x14ac:dyDescent="0.25">
      <c r="A1821" t="s">
        <v>55</v>
      </c>
      <c r="B1821" t="s">
        <v>14</v>
      </c>
      <c r="C1821">
        <v>3.3000000000000002E-6</v>
      </c>
      <c r="D1821">
        <v>1.1001E-5</v>
      </c>
      <c r="E1821">
        <v>9.9999999999999995E-8</v>
      </c>
      <c r="F1821" t="s">
        <v>142</v>
      </c>
      <c r="G1821" t="s">
        <v>15</v>
      </c>
      <c r="H1821">
        <v>0</v>
      </c>
      <c r="I1821">
        <v>0</v>
      </c>
      <c r="K1821">
        <v>56.88</v>
      </c>
      <c r="L1821">
        <v>1394300</v>
      </c>
      <c r="M1821">
        <v>56.874000000000002</v>
      </c>
      <c r="N1821">
        <v>1390900</v>
      </c>
      <c r="O1821" t="s">
        <v>1196</v>
      </c>
    </row>
    <row r="1822" spans="1:15" x14ac:dyDescent="0.25">
      <c r="A1822" t="s">
        <v>55</v>
      </c>
      <c r="B1822" t="s">
        <v>14</v>
      </c>
      <c r="C1822">
        <v>3.3000000000000002E-6</v>
      </c>
      <c r="D1822">
        <v>1.1001E-5</v>
      </c>
      <c r="E1822">
        <v>9.9999999999999995E-7</v>
      </c>
      <c r="F1822" t="s">
        <v>142</v>
      </c>
      <c r="G1822" t="s">
        <v>15</v>
      </c>
      <c r="H1822">
        <v>0</v>
      </c>
      <c r="I1822">
        <v>0</v>
      </c>
      <c r="K1822">
        <v>577.21</v>
      </c>
      <c r="L1822">
        <v>162540</v>
      </c>
      <c r="M1822">
        <v>577.21</v>
      </c>
      <c r="N1822">
        <v>160690</v>
      </c>
      <c r="O1822" t="s">
        <v>1197</v>
      </c>
    </row>
    <row r="1823" spans="1:15" x14ac:dyDescent="0.25">
      <c r="A1823" t="s">
        <v>55</v>
      </c>
      <c r="B1823" t="s">
        <v>14</v>
      </c>
      <c r="C1823">
        <v>1.1E-5</v>
      </c>
      <c r="D1823">
        <v>3.3000999999999998E-5</v>
      </c>
      <c r="E1823">
        <v>1.0000000000000001E-9</v>
      </c>
      <c r="F1823" t="s">
        <v>142</v>
      </c>
      <c r="G1823" t="s">
        <v>15</v>
      </c>
      <c r="H1823">
        <v>0</v>
      </c>
      <c r="I1823">
        <v>0</v>
      </c>
      <c r="K1823">
        <v>36</v>
      </c>
      <c r="L1823">
        <v>4600000</v>
      </c>
      <c r="M1823">
        <v>34.648000000000003</v>
      </c>
      <c r="N1823">
        <v>4618700</v>
      </c>
      <c r="O1823" t="s">
        <v>1198</v>
      </c>
    </row>
    <row r="1824" spans="1:15" x14ac:dyDescent="0.25">
      <c r="A1824" t="s">
        <v>55</v>
      </c>
      <c r="B1824" t="s">
        <v>14</v>
      </c>
      <c r="C1824">
        <v>1.1E-5</v>
      </c>
      <c r="D1824">
        <v>3.3000999999999998E-5</v>
      </c>
      <c r="E1824">
        <v>1E-8</v>
      </c>
      <c r="F1824" t="s">
        <v>142</v>
      </c>
      <c r="G1824" t="s">
        <v>15</v>
      </c>
      <c r="H1824">
        <v>0</v>
      </c>
      <c r="I1824">
        <v>0</v>
      </c>
      <c r="K1824">
        <v>36</v>
      </c>
      <c r="L1824">
        <v>4600000</v>
      </c>
      <c r="M1824">
        <v>34.893999999999998</v>
      </c>
      <c r="N1824">
        <v>4613900</v>
      </c>
      <c r="O1824" t="s">
        <v>1199</v>
      </c>
    </row>
    <row r="1825" spans="1:15" x14ac:dyDescent="0.25">
      <c r="A1825" t="s">
        <v>55</v>
      </c>
      <c r="B1825" t="s">
        <v>14</v>
      </c>
      <c r="C1825">
        <v>1.1E-5</v>
      </c>
      <c r="D1825">
        <v>3.3000999999999998E-5</v>
      </c>
      <c r="E1825">
        <v>9.9999999999999995E-8</v>
      </c>
      <c r="F1825" t="s">
        <v>142</v>
      </c>
      <c r="G1825" t="s">
        <v>15</v>
      </c>
      <c r="H1825">
        <v>0</v>
      </c>
      <c r="I1825">
        <v>0</v>
      </c>
      <c r="K1825">
        <v>56.814</v>
      </c>
      <c r="L1825">
        <v>4211300</v>
      </c>
      <c r="M1825">
        <v>56.808</v>
      </c>
      <c r="N1825">
        <v>4211000</v>
      </c>
      <c r="O1825" t="s">
        <v>1200</v>
      </c>
    </row>
    <row r="1826" spans="1:15" x14ac:dyDescent="0.25">
      <c r="A1826" t="s">
        <v>55</v>
      </c>
      <c r="B1826" t="s">
        <v>14</v>
      </c>
      <c r="C1826">
        <v>1.1E-5</v>
      </c>
      <c r="D1826">
        <v>3.3000999999999998E-5</v>
      </c>
      <c r="E1826">
        <v>9.9999999999999995E-7</v>
      </c>
      <c r="F1826" t="s">
        <v>142</v>
      </c>
      <c r="G1826" t="s">
        <v>15</v>
      </c>
      <c r="H1826">
        <v>0</v>
      </c>
      <c r="I1826">
        <v>0</v>
      </c>
      <c r="K1826">
        <v>572.02</v>
      </c>
      <c r="L1826">
        <v>1057800</v>
      </c>
      <c r="M1826">
        <v>572.02</v>
      </c>
      <c r="N1826">
        <v>1057200</v>
      </c>
      <c r="O1826" t="s">
        <v>1201</v>
      </c>
    </row>
    <row r="1827" spans="1:15" x14ac:dyDescent="0.25">
      <c r="A1827" t="s">
        <v>55</v>
      </c>
      <c r="B1827" t="s">
        <v>14</v>
      </c>
      <c r="C1827">
        <v>3.3000000000000003E-5</v>
      </c>
      <c r="D1827">
        <v>1.1001E-4</v>
      </c>
      <c r="E1827">
        <v>1E-8</v>
      </c>
      <c r="F1827" t="s">
        <v>142</v>
      </c>
      <c r="G1827" t="s">
        <v>15</v>
      </c>
      <c r="H1827">
        <v>0</v>
      </c>
      <c r="I1827">
        <v>0</v>
      </c>
      <c r="K1827">
        <v>120</v>
      </c>
      <c r="L1827">
        <v>5200000</v>
      </c>
      <c r="M1827">
        <v>115.61</v>
      </c>
      <c r="N1827">
        <v>5195600</v>
      </c>
      <c r="O1827" t="s">
        <v>1202</v>
      </c>
    </row>
    <row r="1828" spans="1:15" x14ac:dyDescent="0.25">
      <c r="A1828" t="s">
        <v>55</v>
      </c>
      <c r="B1828" t="s">
        <v>14</v>
      </c>
      <c r="C1828">
        <v>3.3000000000000003E-5</v>
      </c>
      <c r="D1828">
        <v>1.1001E-4</v>
      </c>
      <c r="E1828">
        <v>9.9999999999999995E-8</v>
      </c>
      <c r="F1828" t="s">
        <v>142</v>
      </c>
      <c r="G1828" t="s">
        <v>15</v>
      </c>
      <c r="H1828">
        <v>0</v>
      </c>
      <c r="I1828">
        <v>0</v>
      </c>
      <c r="K1828">
        <v>121.85</v>
      </c>
      <c r="L1828">
        <v>5183200</v>
      </c>
      <c r="M1828">
        <v>122.72</v>
      </c>
      <c r="N1828">
        <v>5152800</v>
      </c>
      <c r="O1828" t="s">
        <v>1203</v>
      </c>
    </row>
    <row r="1829" spans="1:15" x14ac:dyDescent="0.25">
      <c r="A1829" t="s">
        <v>55</v>
      </c>
      <c r="B1829" t="s">
        <v>14</v>
      </c>
      <c r="C1829">
        <v>3.3000000000000003E-5</v>
      </c>
      <c r="D1829">
        <v>1.1001E-4</v>
      </c>
      <c r="E1829">
        <v>9.9999999999999995E-7</v>
      </c>
      <c r="F1829" t="s">
        <v>142</v>
      </c>
      <c r="G1829" t="s">
        <v>15</v>
      </c>
      <c r="H1829">
        <v>0</v>
      </c>
      <c r="I1829">
        <v>0</v>
      </c>
      <c r="K1829">
        <v>536.63</v>
      </c>
      <c r="L1829">
        <v>3284200</v>
      </c>
      <c r="M1829">
        <v>536.45000000000005</v>
      </c>
      <c r="N1829">
        <v>3282000</v>
      </c>
      <c r="O1829" t="s">
        <v>1204</v>
      </c>
    </row>
    <row r="1830" spans="1:15" x14ac:dyDescent="0.25">
      <c r="A1830" t="s">
        <v>55</v>
      </c>
      <c r="B1830" t="s">
        <v>14</v>
      </c>
      <c r="C1830">
        <v>3.3000000000000003E-5</v>
      </c>
      <c r="D1830">
        <v>1.1001E-4</v>
      </c>
      <c r="E1830">
        <v>1.0000000000000001E-5</v>
      </c>
      <c r="F1830" t="s">
        <v>142</v>
      </c>
      <c r="G1830" t="s">
        <v>15</v>
      </c>
      <c r="H1830">
        <v>0</v>
      </c>
      <c r="I1830">
        <v>0</v>
      </c>
      <c r="K1830">
        <v>5766.3</v>
      </c>
      <c r="L1830">
        <v>438500</v>
      </c>
      <c r="M1830">
        <v>5766.3</v>
      </c>
      <c r="N1830">
        <v>436530</v>
      </c>
      <c r="O1830" t="s">
        <v>1205</v>
      </c>
    </row>
    <row r="1831" spans="1:15" x14ac:dyDescent="0.25">
      <c r="A1831" t="s">
        <v>55</v>
      </c>
      <c r="B1831" t="s">
        <v>14</v>
      </c>
      <c r="C1831">
        <v>1.1E-4</v>
      </c>
      <c r="D1831">
        <v>3.3000999999999999E-4</v>
      </c>
      <c r="E1831">
        <v>1E-8</v>
      </c>
      <c r="F1831" t="s">
        <v>142</v>
      </c>
      <c r="G1831" t="s">
        <v>16</v>
      </c>
      <c r="H1831">
        <v>0</v>
      </c>
      <c r="I1831">
        <v>0</v>
      </c>
      <c r="K1831">
        <v>0.35</v>
      </c>
      <c r="L1831">
        <v>5200</v>
      </c>
      <c r="M1831">
        <v>0.34612999999999999</v>
      </c>
      <c r="N1831">
        <v>5199.8</v>
      </c>
      <c r="O1831" t="s">
        <v>1206</v>
      </c>
    </row>
    <row r="1832" spans="1:15" x14ac:dyDescent="0.25">
      <c r="A1832" t="s">
        <v>55</v>
      </c>
      <c r="B1832" t="s">
        <v>14</v>
      </c>
      <c r="C1832">
        <v>1.1E-4</v>
      </c>
      <c r="D1832">
        <v>3.3000999999999999E-4</v>
      </c>
      <c r="E1832">
        <v>9.9999999999999995E-8</v>
      </c>
      <c r="F1832" t="s">
        <v>142</v>
      </c>
      <c r="G1832" t="s">
        <v>16</v>
      </c>
      <c r="H1832">
        <v>0</v>
      </c>
      <c r="I1832">
        <v>0</v>
      </c>
      <c r="K1832">
        <v>0.35</v>
      </c>
      <c r="L1832">
        <v>5200</v>
      </c>
      <c r="M1832">
        <v>0.34836</v>
      </c>
      <c r="N1832">
        <v>5195.3</v>
      </c>
      <c r="O1832" t="s">
        <v>1207</v>
      </c>
    </row>
    <row r="1833" spans="1:15" x14ac:dyDescent="0.25">
      <c r="A1833" t="s">
        <v>55</v>
      </c>
      <c r="B1833" t="s">
        <v>14</v>
      </c>
      <c r="C1833">
        <v>1.1E-4</v>
      </c>
      <c r="D1833">
        <v>3.3000999999999999E-4</v>
      </c>
      <c r="E1833">
        <v>9.9999999999999995E-7</v>
      </c>
      <c r="F1833" t="s">
        <v>142</v>
      </c>
      <c r="G1833" t="s">
        <v>16</v>
      </c>
      <c r="H1833">
        <v>0</v>
      </c>
      <c r="I1833">
        <v>0</v>
      </c>
      <c r="K1833">
        <v>0.55623</v>
      </c>
      <c r="L1833">
        <v>4803.8</v>
      </c>
      <c r="M1833">
        <v>0.55608000000000002</v>
      </c>
      <c r="N1833">
        <v>4803.7</v>
      </c>
      <c r="O1833" t="s">
        <v>1208</v>
      </c>
    </row>
    <row r="1834" spans="1:15" x14ac:dyDescent="0.25">
      <c r="A1834" t="s">
        <v>55</v>
      </c>
      <c r="B1834" t="s">
        <v>14</v>
      </c>
      <c r="C1834">
        <v>1.1E-4</v>
      </c>
      <c r="D1834">
        <v>3.3000999999999999E-4</v>
      </c>
      <c r="E1834">
        <v>1.0000000000000001E-5</v>
      </c>
      <c r="F1834" t="s">
        <v>142</v>
      </c>
      <c r="G1834" t="s">
        <v>16</v>
      </c>
      <c r="H1834">
        <v>0</v>
      </c>
      <c r="I1834">
        <v>0</v>
      </c>
      <c r="K1834">
        <v>5.7038000000000002</v>
      </c>
      <c r="L1834">
        <v>1294.4000000000001</v>
      </c>
      <c r="M1834">
        <v>5.7038000000000002</v>
      </c>
      <c r="N1834">
        <v>1293.8</v>
      </c>
      <c r="O1834" t="s">
        <v>1209</v>
      </c>
    </row>
    <row r="1835" spans="1:15" x14ac:dyDescent="0.25">
      <c r="A1835" t="s">
        <v>55</v>
      </c>
      <c r="B1835" t="s">
        <v>14</v>
      </c>
      <c r="C1835">
        <v>3.3E-4</v>
      </c>
      <c r="D1835">
        <v>1.1000999999999999E-3</v>
      </c>
      <c r="E1835">
        <v>9.9999999999999995E-8</v>
      </c>
      <c r="F1835" t="s">
        <v>142</v>
      </c>
      <c r="G1835" t="s">
        <v>16</v>
      </c>
      <c r="H1835">
        <v>0</v>
      </c>
      <c r="I1835">
        <v>0</v>
      </c>
      <c r="K1835">
        <v>1.2</v>
      </c>
      <c r="L1835">
        <v>5200</v>
      </c>
      <c r="M1835">
        <v>1.1557999999999999</v>
      </c>
      <c r="N1835">
        <v>5198.3</v>
      </c>
      <c r="O1835" t="s">
        <v>1210</v>
      </c>
    </row>
    <row r="1836" spans="1:15" x14ac:dyDescent="0.25">
      <c r="A1836" t="s">
        <v>55</v>
      </c>
      <c r="B1836" t="s">
        <v>14</v>
      </c>
      <c r="C1836">
        <v>3.3E-4</v>
      </c>
      <c r="D1836">
        <v>1.1000999999999999E-3</v>
      </c>
      <c r="E1836">
        <v>9.9999999999999995E-7</v>
      </c>
      <c r="F1836" t="s">
        <v>142</v>
      </c>
      <c r="G1836" t="s">
        <v>16</v>
      </c>
      <c r="H1836">
        <v>0</v>
      </c>
      <c r="I1836">
        <v>0</v>
      </c>
      <c r="K1836">
        <v>1.2193000000000001</v>
      </c>
      <c r="L1836">
        <v>5182.5</v>
      </c>
      <c r="M1836">
        <v>1.2267999999999999</v>
      </c>
      <c r="N1836">
        <v>5155.5</v>
      </c>
      <c r="O1836" t="s">
        <v>1211</v>
      </c>
    </row>
    <row r="1837" spans="1:15" x14ac:dyDescent="0.25">
      <c r="A1837" t="s">
        <v>55</v>
      </c>
      <c r="B1837" t="s">
        <v>14</v>
      </c>
      <c r="C1837">
        <v>3.3E-4</v>
      </c>
      <c r="D1837">
        <v>1.1000999999999999E-3</v>
      </c>
      <c r="E1837">
        <v>1.0000000000000001E-5</v>
      </c>
      <c r="F1837" t="s">
        <v>142</v>
      </c>
      <c r="G1837" t="s">
        <v>16</v>
      </c>
      <c r="H1837">
        <v>0</v>
      </c>
      <c r="I1837">
        <v>0</v>
      </c>
      <c r="K1837">
        <v>5.3658000000000001</v>
      </c>
      <c r="L1837">
        <v>3286.5</v>
      </c>
      <c r="M1837">
        <v>5.3640999999999996</v>
      </c>
      <c r="N1837">
        <v>3284.2</v>
      </c>
      <c r="O1837" t="s">
        <v>1212</v>
      </c>
    </row>
    <row r="1838" spans="1:15" x14ac:dyDescent="0.25">
      <c r="A1838" t="s">
        <v>55</v>
      </c>
      <c r="B1838" t="s">
        <v>14</v>
      </c>
      <c r="C1838">
        <v>3.3E-4</v>
      </c>
      <c r="D1838">
        <v>1.1000999999999999E-3</v>
      </c>
      <c r="E1838">
        <v>1E-4</v>
      </c>
      <c r="F1838" t="s">
        <v>142</v>
      </c>
      <c r="G1838" t="s">
        <v>16</v>
      </c>
      <c r="H1838">
        <v>0</v>
      </c>
      <c r="I1838">
        <v>0</v>
      </c>
      <c r="K1838">
        <v>57.662999999999997</v>
      </c>
      <c r="L1838">
        <v>438.86</v>
      </c>
      <c r="M1838">
        <v>57.662999999999997</v>
      </c>
      <c r="N1838">
        <v>436.89</v>
      </c>
      <c r="O1838" t="s">
        <v>1213</v>
      </c>
    </row>
    <row r="1839" spans="1:15" x14ac:dyDescent="0.25">
      <c r="A1839" t="s">
        <v>55</v>
      </c>
      <c r="B1839" t="s">
        <v>14</v>
      </c>
      <c r="C1839">
        <v>1.1000000000000001E-3</v>
      </c>
      <c r="D1839">
        <v>3.3000999999999998E-3</v>
      </c>
      <c r="E1839">
        <v>9.9999999999999995E-8</v>
      </c>
      <c r="F1839" t="s">
        <v>142</v>
      </c>
      <c r="G1839" t="s">
        <v>16</v>
      </c>
      <c r="H1839">
        <v>0</v>
      </c>
      <c r="I1839">
        <v>0</v>
      </c>
      <c r="K1839">
        <v>3.5</v>
      </c>
      <c r="L1839">
        <v>5200</v>
      </c>
      <c r="M1839">
        <v>3.4636</v>
      </c>
      <c r="N1839">
        <v>5198.8999999999996</v>
      </c>
      <c r="O1839" t="s">
        <v>1214</v>
      </c>
    </row>
    <row r="1840" spans="1:15" x14ac:dyDescent="0.25">
      <c r="A1840" t="s">
        <v>55</v>
      </c>
      <c r="B1840" t="s">
        <v>14</v>
      </c>
      <c r="C1840">
        <v>1.1000000000000001E-3</v>
      </c>
      <c r="D1840">
        <v>3.3000999999999998E-3</v>
      </c>
      <c r="E1840">
        <v>9.9999999999999995E-7</v>
      </c>
      <c r="F1840" t="s">
        <v>142</v>
      </c>
      <c r="G1840" t="s">
        <v>16</v>
      </c>
      <c r="H1840">
        <v>0</v>
      </c>
      <c r="I1840">
        <v>0</v>
      </c>
      <c r="K1840">
        <v>3.5</v>
      </c>
      <c r="L1840">
        <v>5200</v>
      </c>
      <c r="M1840">
        <v>3.4866000000000001</v>
      </c>
      <c r="N1840">
        <v>5194.3999999999996</v>
      </c>
      <c r="O1840" t="s">
        <v>1215</v>
      </c>
    </row>
    <row r="1841" spans="1:15" x14ac:dyDescent="0.25">
      <c r="A1841" t="s">
        <v>55</v>
      </c>
      <c r="B1841" t="s">
        <v>14</v>
      </c>
      <c r="C1841">
        <v>1.1000000000000001E-3</v>
      </c>
      <c r="D1841">
        <v>3.3000999999999998E-3</v>
      </c>
      <c r="E1841">
        <v>1.0000000000000001E-5</v>
      </c>
      <c r="F1841" t="s">
        <v>142</v>
      </c>
      <c r="G1841" t="s">
        <v>16</v>
      </c>
      <c r="H1841">
        <v>0</v>
      </c>
      <c r="I1841">
        <v>0</v>
      </c>
      <c r="K1841">
        <v>5.5761000000000003</v>
      </c>
      <c r="L1841">
        <v>4803.8999999999996</v>
      </c>
      <c r="M1841">
        <v>5.5633999999999997</v>
      </c>
      <c r="N1841">
        <v>4802.8999999999996</v>
      </c>
      <c r="O1841" t="s">
        <v>1216</v>
      </c>
    </row>
    <row r="1842" spans="1:15" x14ac:dyDescent="0.25">
      <c r="A1842" t="s">
        <v>55</v>
      </c>
      <c r="B1842" t="s">
        <v>14</v>
      </c>
      <c r="C1842">
        <v>1.1000000000000001E-3</v>
      </c>
      <c r="D1842">
        <v>3.3000999999999998E-3</v>
      </c>
      <c r="E1842">
        <v>1E-4</v>
      </c>
      <c r="F1842" t="s">
        <v>142</v>
      </c>
      <c r="G1842" t="s">
        <v>16</v>
      </c>
      <c r="H1842">
        <v>0</v>
      </c>
      <c r="I1842">
        <v>0</v>
      </c>
      <c r="K1842">
        <v>57.042999999999999</v>
      </c>
      <c r="L1842">
        <v>1299.0999999999999</v>
      </c>
      <c r="M1842">
        <v>57.037999999999997</v>
      </c>
      <c r="N1842">
        <v>1293.7</v>
      </c>
      <c r="O1842" t="s">
        <v>1217</v>
      </c>
    </row>
    <row r="1843" spans="1:15" x14ac:dyDescent="0.25">
      <c r="A1843" t="s">
        <v>55</v>
      </c>
      <c r="B1843" t="s">
        <v>14</v>
      </c>
      <c r="C1843">
        <v>3.3E-3</v>
      </c>
      <c r="D1843">
        <v>1.1001E-2</v>
      </c>
      <c r="E1843">
        <v>9.9999999999999995E-7</v>
      </c>
      <c r="F1843" t="s">
        <v>142</v>
      </c>
      <c r="G1843" t="s">
        <v>16</v>
      </c>
      <c r="H1843">
        <v>0</v>
      </c>
      <c r="I1843">
        <v>0</v>
      </c>
      <c r="K1843">
        <v>13</v>
      </c>
      <c r="L1843">
        <v>5200</v>
      </c>
      <c r="M1843">
        <v>12.076000000000001</v>
      </c>
      <c r="N1843">
        <v>5198.3</v>
      </c>
      <c r="O1843" t="s">
        <v>1218</v>
      </c>
    </row>
    <row r="1844" spans="1:15" x14ac:dyDescent="0.25">
      <c r="A1844" t="s">
        <v>55</v>
      </c>
      <c r="B1844" t="s">
        <v>14</v>
      </c>
      <c r="C1844">
        <v>3.3E-3</v>
      </c>
      <c r="D1844">
        <v>1.1001E-2</v>
      </c>
      <c r="E1844">
        <v>1.0000000000000001E-5</v>
      </c>
      <c r="F1844" t="s">
        <v>142</v>
      </c>
      <c r="G1844" t="s">
        <v>16</v>
      </c>
      <c r="H1844">
        <v>0</v>
      </c>
      <c r="I1844">
        <v>0</v>
      </c>
      <c r="K1844">
        <v>13</v>
      </c>
      <c r="L1844">
        <v>5200</v>
      </c>
      <c r="M1844">
        <v>12.712999999999999</v>
      </c>
      <c r="N1844">
        <v>5155.6000000000004</v>
      </c>
      <c r="O1844" t="s">
        <v>1219</v>
      </c>
    </row>
    <row r="1845" spans="1:15" x14ac:dyDescent="0.25">
      <c r="A1845" t="s">
        <v>55</v>
      </c>
      <c r="B1845" t="s">
        <v>14</v>
      </c>
      <c r="C1845">
        <v>3.3E-3</v>
      </c>
      <c r="D1845">
        <v>1.1001E-2</v>
      </c>
      <c r="E1845">
        <v>1E-4</v>
      </c>
      <c r="F1845" t="s">
        <v>142</v>
      </c>
      <c r="G1845" t="s">
        <v>16</v>
      </c>
      <c r="H1845">
        <v>0</v>
      </c>
      <c r="I1845">
        <v>0</v>
      </c>
      <c r="K1845">
        <v>53.665999999999997</v>
      </c>
      <c r="L1845">
        <v>3287.9</v>
      </c>
      <c r="M1845">
        <v>53.64</v>
      </c>
      <c r="N1845">
        <v>3284.3</v>
      </c>
      <c r="O1845" t="s">
        <v>1220</v>
      </c>
    </row>
    <row r="1846" spans="1:15" x14ac:dyDescent="0.25">
      <c r="A1846" t="s">
        <v>55</v>
      </c>
      <c r="B1846" t="s">
        <v>14</v>
      </c>
      <c r="C1846">
        <v>3.3E-3</v>
      </c>
      <c r="D1846">
        <v>1.1001E-2</v>
      </c>
      <c r="E1846">
        <v>1E-3</v>
      </c>
      <c r="F1846" t="s">
        <v>142</v>
      </c>
      <c r="G1846" t="s">
        <v>16</v>
      </c>
      <c r="H1846">
        <v>0</v>
      </c>
      <c r="I1846">
        <v>0</v>
      </c>
      <c r="K1846">
        <v>576.63</v>
      </c>
      <c r="L1846">
        <v>439.99</v>
      </c>
      <c r="M1846">
        <v>576.63</v>
      </c>
      <c r="N1846">
        <v>436.9</v>
      </c>
      <c r="O1846" t="s">
        <v>1221</v>
      </c>
    </row>
    <row r="1847" spans="1:15" x14ac:dyDescent="0.25">
      <c r="A1847" t="s">
        <v>55</v>
      </c>
      <c r="B1847" t="s">
        <v>14</v>
      </c>
      <c r="C1847">
        <v>1.0999999999999999E-2</v>
      </c>
      <c r="D1847">
        <v>3.3001000000000003E-2</v>
      </c>
      <c r="E1847">
        <v>9.9999999999999995E-7</v>
      </c>
      <c r="F1847" t="s">
        <v>142</v>
      </c>
      <c r="G1847" t="s">
        <v>16</v>
      </c>
      <c r="H1847">
        <v>0</v>
      </c>
      <c r="I1847">
        <v>0</v>
      </c>
      <c r="K1847">
        <v>35</v>
      </c>
      <c r="L1847">
        <v>8700</v>
      </c>
      <c r="M1847">
        <v>34.642000000000003</v>
      </c>
      <c r="N1847">
        <v>8661.9</v>
      </c>
      <c r="O1847" t="s">
        <v>1222</v>
      </c>
    </row>
    <row r="1848" spans="1:15" x14ac:dyDescent="0.25">
      <c r="A1848" t="s">
        <v>55</v>
      </c>
      <c r="B1848" t="s">
        <v>14</v>
      </c>
      <c r="C1848">
        <v>1.0999999999999999E-2</v>
      </c>
      <c r="D1848">
        <v>3.3001000000000003E-2</v>
      </c>
      <c r="E1848">
        <v>1.0000000000000001E-5</v>
      </c>
      <c r="F1848" t="s">
        <v>142</v>
      </c>
      <c r="G1848" t="s">
        <v>16</v>
      </c>
      <c r="H1848">
        <v>0</v>
      </c>
      <c r="I1848">
        <v>0</v>
      </c>
      <c r="K1848">
        <v>35</v>
      </c>
      <c r="L1848">
        <v>8700</v>
      </c>
      <c r="M1848">
        <v>34.805999999999997</v>
      </c>
      <c r="N1848">
        <v>8658.5</v>
      </c>
      <c r="O1848" t="s">
        <v>1223</v>
      </c>
    </row>
    <row r="1849" spans="1:15" x14ac:dyDescent="0.25">
      <c r="A1849" t="s">
        <v>55</v>
      </c>
      <c r="B1849" t="s">
        <v>14</v>
      </c>
      <c r="C1849">
        <v>1.0999999999999999E-2</v>
      </c>
      <c r="D1849">
        <v>3.3001000000000003E-2</v>
      </c>
      <c r="E1849">
        <v>1E-4</v>
      </c>
      <c r="F1849" t="s">
        <v>142</v>
      </c>
      <c r="G1849" t="s">
        <v>16</v>
      </c>
      <c r="H1849">
        <v>0</v>
      </c>
      <c r="I1849">
        <v>0</v>
      </c>
      <c r="K1849">
        <v>50.508000000000003</v>
      </c>
      <c r="L1849">
        <v>8339.7000000000007</v>
      </c>
      <c r="M1849">
        <v>50.436999999999998</v>
      </c>
      <c r="N1849">
        <v>8339.6</v>
      </c>
      <c r="O1849" t="s">
        <v>1224</v>
      </c>
    </row>
    <row r="1850" spans="1:15" x14ac:dyDescent="0.25">
      <c r="A1850" t="s">
        <v>55</v>
      </c>
      <c r="B1850" t="s">
        <v>14</v>
      </c>
      <c r="C1850">
        <v>1.0999999999999999E-2</v>
      </c>
      <c r="D1850">
        <v>3.3001000000000003E-2</v>
      </c>
      <c r="E1850">
        <v>1E-3</v>
      </c>
      <c r="F1850" t="s">
        <v>142</v>
      </c>
      <c r="G1850" t="s">
        <v>16</v>
      </c>
      <c r="H1850">
        <v>0</v>
      </c>
      <c r="I1850">
        <v>0</v>
      </c>
      <c r="K1850">
        <v>557.54999999999995</v>
      </c>
      <c r="L1850">
        <v>3119.3</v>
      </c>
      <c r="M1850">
        <v>557.52</v>
      </c>
      <c r="N1850">
        <v>3115.8</v>
      </c>
      <c r="O1850" t="s">
        <v>1225</v>
      </c>
    </row>
    <row r="1851" spans="1:15" x14ac:dyDescent="0.25">
      <c r="A1851" t="s">
        <v>55</v>
      </c>
      <c r="B1851" t="s">
        <v>14</v>
      </c>
      <c r="C1851">
        <v>3.3000000000000002E-2</v>
      </c>
      <c r="D1851">
        <v>0.11001</v>
      </c>
      <c r="E1851">
        <v>1.0000000000000001E-5</v>
      </c>
      <c r="F1851" t="s">
        <v>142</v>
      </c>
      <c r="G1851" t="s">
        <v>65</v>
      </c>
      <c r="H1851">
        <v>0</v>
      </c>
      <c r="I1851">
        <v>0</v>
      </c>
      <c r="K1851">
        <v>120</v>
      </c>
      <c r="L1851">
        <v>13000</v>
      </c>
      <c r="M1851">
        <v>115.63</v>
      </c>
      <c r="N1851">
        <v>12701</v>
      </c>
      <c r="O1851" t="s">
        <v>1226</v>
      </c>
    </row>
    <row r="1852" spans="1:15" x14ac:dyDescent="0.25">
      <c r="A1852" t="s">
        <v>55</v>
      </c>
      <c r="B1852" t="s">
        <v>14</v>
      </c>
      <c r="C1852">
        <v>3.3000000000000002E-2</v>
      </c>
      <c r="D1852">
        <v>0.11001</v>
      </c>
      <c r="E1852">
        <v>1E-4</v>
      </c>
      <c r="F1852" t="s">
        <v>142</v>
      </c>
      <c r="G1852" t="s">
        <v>65</v>
      </c>
      <c r="H1852">
        <v>0</v>
      </c>
      <c r="I1852">
        <v>0</v>
      </c>
      <c r="K1852">
        <v>120</v>
      </c>
      <c r="L1852">
        <v>13000</v>
      </c>
      <c r="M1852">
        <v>119.5</v>
      </c>
      <c r="N1852">
        <v>12676</v>
      </c>
      <c r="O1852" t="s">
        <v>1227</v>
      </c>
    </row>
    <row r="1853" spans="1:15" x14ac:dyDescent="0.25">
      <c r="A1853" t="s">
        <v>55</v>
      </c>
      <c r="B1853" t="s">
        <v>14</v>
      </c>
      <c r="C1853">
        <v>3.3000000000000002E-2</v>
      </c>
      <c r="D1853">
        <v>0.11001</v>
      </c>
      <c r="E1853">
        <v>1E-3</v>
      </c>
      <c r="F1853" t="s">
        <v>142</v>
      </c>
      <c r="G1853" t="s">
        <v>65</v>
      </c>
      <c r="H1853">
        <v>0</v>
      </c>
      <c r="I1853">
        <v>0</v>
      </c>
      <c r="K1853">
        <v>430.99</v>
      </c>
      <c r="L1853">
        <v>10809</v>
      </c>
      <c r="M1853">
        <v>430.28</v>
      </c>
      <c r="N1853">
        <v>10808</v>
      </c>
      <c r="O1853" t="s">
        <v>1228</v>
      </c>
    </row>
    <row r="1854" spans="1:15" x14ac:dyDescent="0.25">
      <c r="A1854" t="s">
        <v>55</v>
      </c>
      <c r="B1854" t="s">
        <v>14</v>
      </c>
      <c r="C1854">
        <v>3.3000000000000002E-2</v>
      </c>
      <c r="D1854">
        <v>0.11001</v>
      </c>
      <c r="E1854">
        <v>0.01</v>
      </c>
      <c r="F1854" t="s">
        <v>142</v>
      </c>
      <c r="G1854" t="s">
        <v>65</v>
      </c>
      <c r="H1854">
        <v>0</v>
      </c>
      <c r="I1854">
        <v>0</v>
      </c>
      <c r="K1854">
        <v>5725.6</v>
      </c>
      <c r="L1854">
        <v>2215.6</v>
      </c>
      <c r="M1854">
        <v>5725.3</v>
      </c>
      <c r="N1854">
        <v>2210.1</v>
      </c>
      <c r="O1854" t="s">
        <v>1229</v>
      </c>
    </row>
    <row r="1855" spans="1:15" x14ac:dyDescent="0.25">
      <c r="A1855" t="s">
        <v>55</v>
      </c>
      <c r="B1855" t="s">
        <v>14</v>
      </c>
      <c r="C1855">
        <v>0.11</v>
      </c>
      <c r="D1855">
        <v>0.1101</v>
      </c>
      <c r="E1855">
        <v>1.0000000000000001E-5</v>
      </c>
      <c r="F1855" t="s">
        <v>142</v>
      </c>
      <c r="G1855" t="s">
        <v>16</v>
      </c>
      <c r="H1855">
        <v>0</v>
      </c>
      <c r="I1855">
        <v>0</v>
      </c>
      <c r="K1855">
        <v>120</v>
      </c>
      <c r="L1855">
        <v>13000</v>
      </c>
      <c r="M1855">
        <v>115.63</v>
      </c>
      <c r="N1855">
        <v>12701</v>
      </c>
      <c r="O1855" t="s">
        <v>1230</v>
      </c>
    </row>
    <row r="1856" spans="1:15" x14ac:dyDescent="0.25">
      <c r="A1856" t="s">
        <v>55</v>
      </c>
      <c r="B1856" t="s">
        <v>14</v>
      </c>
      <c r="C1856">
        <v>0.11</v>
      </c>
      <c r="D1856">
        <v>0.1101</v>
      </c>
      <c r="E1856">
        <v>1E-4</v>
      </c>
      <c r="F1856" t="s">
        <v>142</v>
      </c>
      <c r="G1856" t="s">
        <v>16</v>
      </c>
      <c r="H1856">
        <v>0</v>
      </c>
      <c r="I1856">
        <v>0</v>
      </c>
      <c r="K1856">
        <v>120</v>
      </c>
      <c r="L1856">
        <v>13000</v>
      </c>
      <c r="M1856">
        <v>119.5</v>
      </c>
      <c r="N1856">
        <v>12676</v>
      </c>
      <c r="O1856" t="s">
        <v>1231</v>
      </c>
    </row>
    <row r="1857" spans="1:15" x14ac:dyDescent="0.25">
      <c r="A1857" t="s">
        <v>55</v>
      </c>
      <c r="B1857" t="s">
        <v>14</v>
      </c>
      <c r="C1857">
        <v>0.11</v>
      </c>
      <c r="D1857">
        <v>0.1101</v>
      </c>
      <c r="E1857">
        <v>1E-3</v>
      </c>
      <c r="F1857" t="s">
        <v>142</v>
      </c>
      <c r="G1857" t="s">
        <v>16</v>
      </c>
      <c r="H1857">
        <v>0</v>
      </c>
      <c r="I1857">
        <v>0</v>
      </c>
      <c r="K1857">
        <v>430.99</v>
      </c>
      <c r="L1857">
        <v>10809</v>
      </c>
      <c r="M1857">
        <v>430.28</v>
      </c>
      <c r="N1857">
        <v>10808</v>
      </c>
      <c r="O1857" t="s">
        <v>1232</v>
      </c>
    </row>
    <row r="1858" spans="1:15" x14ac:dyDescent="0.25">
      <c r="A1858" t="s">
        <v>55</v>
      </c>
      <c r="B1858" t="s">
        <v>14</v>
      </c>
      <c r="C1858">
        <v>0.11</v>
      </c>
      <c r="D1858">
        <v>0.1101</v>
      </c>
      <c r="E1858">
        <v>0.01</v>
      </c>
      <c r="F1858" t="s">
        <v>142</v>
      </c>
      <c r="G1858" t="s">
        <v>16</v>
      </c>
      <c r="H1858">
        <v>0</v>
      </c>
      <c r="I1858">
        <v>0</v>
      </c>
      <c r="K1858">
        <v>5725.6</v>
      </c>
      <c r="L1858">
        <v>2215.6</v>
      </c>
      <c r="M1858">
        <v>5725.3</v>
      </c>
      <c r="N1858">
        <v>2210.1</v>
      </c>
      <c r="O1858" t="s">
        <v>1233</v>
      </c>
    </row>
    <row r="1859" spans="1:15" x14ac:dyDescent="0.25">
      <c r="A1859" t="s">
        <v>55</v>
      </c>
      <c r="B1859" t="s">
        <v>93</v>
      </c>
      <c r="C1859">
        <v>-250</v>
      </c>
      <c r="D1859">
        <v>-99.9</v>
      </c>
      <c r="E1859">
        <v>0.1</v>
      </c>
      <c r="F1859" t="s">
        <v>23</v>
      </c>
      <c r="G1859" t="s">
        <v>23</v>
      </c>
      <c r="H1859">
        <v>0</v>
      </c>
      <c r="I1859">
        <v>0</v>
      </c>
      <c r="K1859">
        <v>0.58422842399999997</v>
      </c>
      <c r="L1859">
        <v>0</v>
      </c>
      <c r="M1859">
        <v>0.58257756299999996</v>
      </c>
      <c r="N1859">
        <v>0</v>
      </c>
      <c r="O1859" t="s">
        <v>1152</v>
      </c>
    </row>
    <row r="1860" spans="1:15" x14ac:dyDescent="0.25">
      <c r="A1860" t="s">
        <v>55</v>
      </c>
      <c r="B1860" t="s">
        <v>93</v>
      </c>
      <c r="C1860">
        <v>-250</v>
      </c>
      <c r="D1860">
        <v>-99.9</v>
      </c>
      <c r="E1860">
        <v>1</v>
      </c>
      <c r="F1860" t="s">
        <v>23</v>
      </c>
      <c r="G1860" t="s">
        <v>23</v>
      </c>
      <c r="H1860">
        <v>0</v>
      </c>
      <c r="I1860">
        <v>0</v>
      </c>
      <c r="K1860">
        <v>0.82286180799999997</v>
      </c>
      <c r="L1860">
        <v>0</v>
      </c>
      <c r="M1860">
        <v>0.81816661899999998</v>
      </c>
      <c r="N1860">
        <v>0</v>
      </c>
      <c r="O1860" t="s">
        <v>1153</v>
      </c>
    </row>
    <row r="1861" spans="1:15" x14ac:dyDescent="0.25">
      <c r="A1861" t="s">
        <v>55</v>
      </c>
      <c r="B1861" t="s">
        <v>93</v>
      </c>
      <c r="C1861">
        <v>-100</v>
      </c>
      <c r="D1861">
        <v>-24.9</v>
      </c>
      <c r="E1861">
        <v>0.1</v>
      </c>
      <c r="F1861" t="s">
        <v>23</v>
      </c>
      <c r="G1861" t="s">
        <v>23</v>
      </c>
      <c r="H1861">
        <v>0</v>
      </c>
      <c r="I1861">
        <v>0</v>
      </c>
      <c r="K1861">
        <v>0.198592928</v>
      </c>
      <c r="L1861">
        <v>0</v>
      </c>
      <c r="M1861">
        <v>0.19764767999999999</v>
      </c>
      <c r="N1861">
        <v>0</v>
      </c>
      <c r="O1861" t="s">
        <v>1154</v>
      </c>
    </row>
    <row r="1862" spans="1:15" x14ac:dyDescent="0.25">
      <c r="A1862" t="s">
        <v>55</v>
      </c>
      <c r="B1862" t="s">
        <v>93</v>
      </c>
      <c r="C1862">
        <v>-100</v>
      </c>
      <c r="D1862">
        <v>-24.9</v>
      </c>
      <c r="E1862">
        <v>1</v>
      </c>
      <c r="F1862" t="s">
        <v>23</v>
      </c>
      <c r="G1862" t="s">
        <v>23</v>
      </c>
      <c r="H1862">
        <v>0</v>
      </c>
      <c r="I1862">
        <v>0</v>
      </c>
      <c r="K1862">
        <v>0.60873868600000003</v>
      </c>
      <c r="L1862">
        <v>0</v>
      </c>
      <c r="M1862">
        <v>0.60750687699999995</v>
      </c>
      <c r="N1862">
        <v>0</v>
      </c>
      <c r="O1862" t="s">
        <v>1155</v>
      </c>
    </row>
    <row r="1863" spans="1:15" x14ac:dyDescent="0.25">
      <c r="A1863" t="s">
        <v>55</v>
      </c>
      <c r="B1863" t="s">
        <v>93</v>
      </c>
      <c r="C1863">
        <v>-25</v>
      </c>
      <c r="D1863">
        <v>350.1</v>
      </c>
      <c r="E1863">
        <v>0.1</v>
      </c>
      <c r="F1863" t="s">
        <v>23</v>
      </c>
      <c r="G1863" t="s">
        <v>23</v>
      </c>
      <c r="H1863">
        <v>0</v>
      </c>
      <c r="I1863">
        <v>0</v>
      </c>
      <c r="K1863">
        <v>0.17588372099999999</v>
      </c>
      <c r="L1863">
        <v>0</v>
      </c>
      <c r="M1863">
        <v>0.17481572500000001</v>
      </c>
      <c r="N1863">
        <v>0</v>
      </c>
      <c r="O1863" t="s">
        <v>1156</v>
      </c>
    </row>
    <row r="1864" spans="1:15" x14ac:dyDescent="0.25">
      <c r="A1864" t="s">
        <v>55</v>
      </c>
      <c r="B1864" t="s">
        <v>93</v>
      </c>
      <c r="C1864">
        <v>-25</v>
      </c>
      <c r="D1864">
        <v>350.1</v>
      </c>
      <c r="E1864">
        <v>1</v>
      </c>
      <c r="F1864" t="s">
        <v>23</v>
      </c>
      <c r="G1864" t="s">
        <v>23</v>
      </c>
      <c r="H1864">
        <v>0</v>
      </c>
      <c r="I1864">
        <v>0</v>
      </c>
      <c r="K1864">
        <v>0.60171315400000003</v>
      </c>
      <c r="L1864">
        <v>0</v>
      </c>
      <c r="M1864">
        <v>0.60046693299999998</v>
      </c>
      <c r="N1864">
        <v>0</v>
      </c>
      <c r="O1864" t="s">
        <v>1157</v>
      </c>
    </row>
    <row r="1865" spans="1:15" x14ac:dyDescent="0.25">
      <c r="A1865" t="s">
        <v>55</v>
      </c>
      <c r="B1865" t="s">
        <v>93</v>
      </c>
      <c r="C1865">
        <v>350</v>
      </c>
      <c r="D1865">
        <v>650.1</v>
      </c>
      <c r="E1865">
        <v>0.1</v>
      </c>
      <c r="F1865" t="s">
        <v>23</v>
      </c>
      <c r="G1865" t="s">
        <v>23</v>
      </c>
      <c r="H1865">
        <v>0</v>
      </c>
      <c r="I1865">
        <v>0</v>
      </c>
      <c r="K1865">
        <v>0.19682908399999999</v>
      </c>
      <c r="L1865">
        <v>0</v>
      </c>
      <c r="M1865">
        <v>0.19628464600000001</v>
      </c>
      <c r="N1865">
        <v>0</v>
      </c>
      <c r="O1865" t="s">
        <v>1158</v>
      </c>
    </row>
    <row r="1866" spans="1:15" x14ac:dyDescent="0.25">
      <c r="A1866" t="s">
        <v>55</v>
      </c>
      <c r="B1866" t="s">
        <v>93</v>
      </c>
      <c r="C1866">
        <v>350</v>
      </c>
      <c r="D1866">
        <v>650.1</v>
      </c>
      <c r="E1866">
        <v>1</v>
      </c>
      <c r="F1866" t="s">
        <v>23</v>
      </c>
      <c r="G1866" t="s">
        <v>23</v>
      </c>
      <c r="H1866">
        <v>0</v>
      </c>
      <c r="I1866">
        <v>0</v>
      </c>
      <c r="K1866">
        <v>0.60776950100000005</v>
      </c>
      <c r="L1866">
        <v>0</v>
      </c>
      <c r="M1866">
        <v>0.60706479199999996</v>
      </c>
      <c r="N1866">
        <v>0</v>
      </c>
      <c r="O1866" t="s">
        <v>1159</v>
      </c>
    </row>
    <row r="1867" spans="1:15" x14ac:dyDescent="0.25">
      <c r="A1867" t="s">
        <v>55</v>
      </c>
      <c r="B1867" t="s">
        <v>93</v>
      </c>
      <c r="C1867">
        <v>650</v>
      </c>
      <c r="D1867">
        <v>1000</v>
      </c>
      <c r="E1867">
        <v>0.1</v>
      </c>
      <c r="F1867" t="s">
        <v>23</v>
      </c>
      <c r="G1867" t="s">
        <v>23</v>
      </c>
      <c r="H1867">
        <v>0</v>
      </c>
      <c r="I1867">
        <v>0</v>
      </c>
      <c r="K1867">
        <v>0.25181161499999999</v>
      </c>
      <c r="L1867">
        <v>0</v>
      </c>
      <c r="M1867">
        <v>0.25138628299999999</v>
      </c>
      <c r="N1867">
        <v>0</v>
      </c>
      <c r="O1867" t="s">
        <v>1160</v>
      </c>
    </row>
    <row r="1868" spans="1:15" x14ac:dyDescent="0.25">
      <c r="A1868" t="s">
        <v>55</v>
      </c>
      <c r="B1868" t="s">
        <v>93</v>
      </c>
      <c r="C1868">
        <v>650</v>
      </c>
      <c r="D1868">
        <v>1000</v>
      </c>
      <c r="E1868">
        <v>1</v>
      </c>
      <c r="F1868" t="s">
        <v>23</v>
      </c>
      <c r="G1868" t="s">
        <v>23</v>
      </c>
      <c r="H1868">
        <v>0</v>
      </c>
      <c r="I1868">
        <v>0</v>
      </c>
      <c r="K1868">
        <v>0.62773495000000001</v>
      </c>
      <c r="L1868">
        <v>0</v>
      </c>
      <c r="M1868">
        <v>0.62705268000000003</v>
      </c>
      <c r="N1868">
        <v>0</v>
      </c>
      <c r="O1868" t="s">
        <v>1161</v>
      </c>
    </row>
    <row r="1869" spans="1:15" x14ac:dyDescent="0.25">
      <c r="A1869" t="s">
        <v>55</v>
      </c>
      <c r="B1869" t="s">
        <v>93</v>
      </c>
      <c r="C1869">
        <v>1000</v>
      </c>
      <c r="D1869">
        <v>1000.1</v>
      </c>
      <c r="E1869">
        <v>0.1</v>
      </c>
      <c r="F1869" t="s">
        <v>23</v>
      </c>
      <c r="G1869" t="s">
        <v>23</v>
      </c>
      <c r="H1869">
        <v>0</v>
      </c>
      <c r="I1869">
        <v>0</v>
      </c>
      <c r="K1869">
        <v>0.25181161499999999</v>
      </c>
      <c r="L1869">
        <v>0</v>
      </c>
      <c r="M1869">
        <v>0.25138628299999999</v>
      </c>
      <c r="N1869">
        <v>0</v>
      </c>
      <c r="O1869" t="s">
        <v>1162</v>
      </c>
    </row>
    <row r="1870" spans="1:15" x14ac:dyDescent="0.25">
      <c r="A1870" t="s">
        <v>55</v>
      </c>
      <c r="B1870" t="s">
        <v>93</v>
      </c>
      <c r="C1870">
        <v>1000</v>
      </c>
      <c r="D1870">
        <v>1000.1</v>
      </c>
      <c r="E1870">
        <v>1</v>
      </c>
      <c r="F1870" t="s">
        <v>23</v>
      </c>
      <c r="G1870" t="s">
        <v>23</v>
      </c>
      <c r="H1870">
        <v>0</v>
      </c>
      <c r="I1870">
        <v>0</v>
      </c>
      <c r="K1870">
        <v>0.62773495000000001</v>
      </c>
      <c r="L1870">
        <v>0</v>
      </c>
      <c r="M1870">
        <v>0.62705268000000003</v>
      </c>
      <c r="N1870">
        <v>0</v>
      </c>
      <c r="O1870" t="s">
        <v>1163</v>
      </c>
    </row>
    <row r="1871" spans="1:15" x14ac:dyDescent="0.25">
      <c r="A1871" t="s">
        <v>55</v>
      </c>
      <c r="B1871" t="s">
        <v>92</v>
      </c>
      <c r="C1871">
        <v>-210</v>
      </c>
      <c r="D1871">
        <v>-99.9</v>
      </c>
      <c r="E1871">
        <v>0.1</v>
      </c>
      <c r="F1871" t="s">
        <v>23</v>
      </c>
      <c r="G1871" t="s">
        <v>23</v>
      </c>
      <c r="H1871">
        <v>0</v>
      </c>
      <c r="I1871">
        <v>0</v>
      </c>
      <c r="K1871">
        <v>0.32482492800000001</v>
      </c>
      <c r="L1871">
        <v>0</v>
      </c>
      <c r="M1871">
        <v>0.31951027599999998</v>
      </c>
      <c r="N1871">
        <v>0</v>
      </c>
      <c r="O1871" t="s">
        <v>1140</v>
      </c>
    </row>
    <row r="1872" spans="1:15" x14ac:dyDescent="0.25">
      <c r="A1872" t="s">
        <v>55</v>
      </c>
      <c r="B1872" t="s">
        <v>92</v>
      </c>
      <c r="C1872">
        <v>-210</v>
      </c>
      <c r="D1872">
        <v>-99.9</v>
      </c>
      <c r="E1872">
        <v>1</v>
      </c>
      <c r="F1872" t="s">
        <v>23</v>
      </c>
      <c r="G1872" t="s">
        <v>23</v>
      </c>
      <c r="H1872">
        <v>0</v>
      </c>
      <c r="I1872">
        <v>0</v>
      </c>
      <c r="K1872">
        <v>0.66767094000000005</v>
      </c>
      <c r="L1872">
        <v>0</v>
      </c>
      <c r="M1872">
        <v>0.65733310899999997</v>
      </c>
      <c r="N1872">
        <v>0</v>
      </c>
      <c r="O1872" t="s">
        <v>1141</v>
      </c>
    </row>
    <row r="1873" spans="1:15" x14ac:dyDescent="0.25">
      <c r="A1873" t="s">
        <v>55</v>
      </c>
      <c r="B1873" t="s">
        <v>92</v>
      </c>
      <c r="C1873">
        <v>-100</v>
      </c>
      <c r="D1873">
        <v>-29.9</v>
      </c>
      <c r="E1873">
        <v>0.1</v>
      </c>
      <c r="F1873" t="s">
        <v>23</v>
      </c>
      <c r="G1873" t="s">
        <v>23</v>
      </c>
      <c r="H1873">
        <v>0</v>
      </c>
      <c r="I1873">
        <v>0</v>
      </c>
      <c r="K1873">
        <v>0.20265709500000001</v>
      </c>
      <c r="L1873">
        <v>0</v>
      </c>
      <c r="M1873">
        <v>0.19649070799999999</v>
      </c>
      <c r="N1873">
        <v>0</v>
      </c>
      <c r="O1873" t="s">
        <v>1142</v>
      </c>
    </row>
    <row r="1874" spans="1:15" x14ac:dyDescent="0.25">
      <c r="A1874" t="s">
        <v>55</v>
      </c>
      <c r="B1874" t="s">
        <v>92</v>
      </c>
      <c r="C1874">
        <v>-100</v>
      </c>
      <c r="D1874">
        <v>-29.9</v>
      </c>
      <c r="E1874">
        <v>1</v>
      </c>
      <c r="F1874" t="s">
        <v>23</v>
      </c>
      <c r="G1874" t="s">
        <v>23</v>
      </c>
      <c r="H1874">
        <v>0</v>
      </c>
      <c r="I1874">
        <v>0</v>
      </c>
      <c r="K1874">
        <v>0.61518598599999996</v>
      </c>
      <c r="L1874">
        <v>0</v>
      </c>
      <c r="M1874">
        <v>0.60713145099999999</v>
      </c>
      <c r="N1874">
        <v>0</v>
      </c>
      <c r="O1874" t="s">
        <v>1143</v>
      </c>
    </row>
    <row r="1875" spans="1:15" x14ac:dyDescent="0.25">
      <c r="A1875" t="s">
        <v>55</v>
      </c>
      <c r="B1875" t="s">
        <v>92</v>
      </c>
      <c r="C1875">
        <v>-30</v>
      </c>
      <c r="D1875">
        <v>150.1</v>
      </c>
      <c r="E1875">
        <v>0.1</v>
      </c>
      <c r="F1875" t="s">
        <v>23</v>
      </c>
      <c r="G1875" t="s">
        <v>23</v>
      </c>
      <c r="H1875">
        <v>0</v>
      </c>
      <c r="I1875">
        <v>0</v>
      </c>
      <c r="K1875">
        <v>0.18177460600000001</v>
      </c>
      <c r="L1875">
        <v>0</v>
      </c>
      <c r="M1875">
        <v>0.17487340400000001</v>
      </c>
      <c r="N1875">
        <v>0</v>
      </c>
      <c r="O1875" t="s">
        <v>1144</v>
      </c>
    </row>
    <row r="1876" spans="1:15" x14ac:dyDescent="0.25">
      <c r="A1876" t="s">
        <v>55</v>
      </c>
      <c r="B1876" t="s">
        <v>92</v>
      </c>
      <c r="C1876">
        <v>-30</v>
      </c>
      <c r="D1876">
        <v>150.1</v>
      </c>
      <c r="E1876">
        <v>1</v>
      </c>
      <c r="F1876" t="s">
        <v>23</v>
      </c>
      <c r="G1876" t="s">
        <v>23</v>
      </c>
      <c r="H1876">
        <v>0</v>
      </c>
      <c r="I1876">
        <v>0</v>
      </c>
      <c r="K1876">
        <v>0.60862624499999995</v>
      </c>
      <c r="L1876">
        <v>0</v>
      </c>
      <c r="M1876">
        <v>0.60048372800000005</v>
      </c>
      <c r="N1876">
        <v>0</v>
      </c>
      <c r="O1876" t="s">
        <v>1145</v>
      </c>
    </row>
    <row r="1877" spans="1:15" x14ac:dyDescent="0.25">
      <c r="A1877" t="s">
        <v>55</v>
      </c>
      <c r="B1877" t="s">
        <v>92</v>
      </c>
      <c r="C1877">
        <v>150</v>
      </c>
      <c r="D1877">
        <v>760.1</v>
      </c>
      <c r="E1877">
        <v>0.1</v>
      </c>
      <c r="F1877" t="s">
        <v>23</v>
      </c>
      <c r="G1877" t="s">
        <v>23</v>
      </c>
      <c r="H1877">
        <v>0</v>
      </c>
      <c r="I1877">
        <v>0</v>
      </c>
      <c r="K1877">
        <v>0.208895572</v>
      </c>
      <c r="L1877">
        <v>0</v>
      </c>
      <c r="M1877">
        <v>0.20722397400000001</v>
      </c>
      <c r="N1877">
        <v>0</v>
      </c>
      <c r="O1877" t="s">
        <v>1146</v>
      </c>
    </row>
    <row r="1878" spans="1:15" x14ac:dyDescent="0.25">
      <c r="A1878" t="s">
        <v>55</v>
      </c>
      <c r="B1878" t="s">
        <v>92</v>
      </c>
      <c r="C1878">
        <v>150</v>
      </c>
      <c r="D1878">
        <v>760.1</v>
      </c>
      <c r="E1878">
        <v>1</v>
      </c>
      <c r="F1878" t="s">
        <v>23</v>
      </c>
      <c r="G1878" t="s">
        <v>23</v>
      </c>
      <c r="H1878">
        <v>0</v>
      </c>
      <c r="I1878">
        <v>0</v>
      </c>
      <c r="K1878">
        <v>0.61296338699999997</v>
      </c>
      <c r="L1878">
        <v>0</v>
      </c>
      <c r="M1878">
        <v>0.61068959</v>
      </c>
      <c r="N1878">
        <v>0</v>
      </c>
      <c r="O1878" t="s">
        <v>1147</v>
      </c>
    </row>
    <row r="1879" spans="1:15" x14ac:dyDescent="0.25">
      <c r="A1879" t="s">
        <v>55</v>
      </c>
      <c r="B1879" t="s">
        <v>92</v>
      </c>
      <c r="C1879">
        <v>760</v>
      </c>
      <c r="D1879">
        <v>1200</v>
      </c>
      <c r="E1879">
        <v>0.1</v>
      </c>
      <c r="F1879" t="s">
        <v>23</v>
      </c>
      <c r="G1879" t="s">
        <v>23</v>
      </c>
      <c r="H1879">
        <v>0</v>
      </c>
      <c r="I1879">
        <v>0</v>
      </c>
      <c r="K1879">
        <v>0.27502981300000001</v>
      </c>
      <c r="L1879">
        <v>0</v>
      </c>
      <c r="M1879">
        <v>0.27376233</v>
      </c>
      <c r="N1879">
        <v>0</v>
      </c>
      <c r="O1879" t="s">
        <v>1148</v>
      </c>
    </row>
    <row r="1880" spans="1:15" x14ac:dyDescent="0.25">
      <c r="A1880" t="s">
        <v>55</v>
      </c>
      <c r="B1880" t="s">
        <v>92</v>
      </c>
      <c r="C1880">
        <v>760</v>
      </c>
      <c r="D1880">
        <v>1200</v>
      </c>
      <c r="E1880">
        <v>1</v>
      </c>
      <c r="F1880" t="s">
        <v>23</v>
      </c>
      <c r="G1880" t="s">
        <v>23</v>
      </c>
      <c r="H1880">
        <v>0</v>
      </c>
      <c r="I1880">
        <v>0</v>
      </c>
      <c r="K1880">
        <v>0.63853594400000002</v>
      </c>
      <c r="L1880">
        <v>0</v>
      </c>
      <c r="M1880">
        <v>0.636353528</v>
      </c>
      <c r="N1880">
        <v>0</v>
      </c>
      <c r="O1880" t="s">
        <v>1149</v>
      </c>
    </row>
    <row r="1881" spans="1:15" x14ac:dyDescent="0.25">
      <c r="A1881" t="s">
        <v>55</v>
      </c>
      <c r="B1881" t="s">
        <v>92</v>
      </c>
      <c r="C1881">
        <v>1200</v>
      </c>
      <c r="D1881">
        <v>1200.0999999999999</v>
      </c>
      <c r="E1881">
        <v>0.1</v>
      </c>
      <c r="F1881" t="s">
        <v>23</v>
      </c>
      <c r="G1881" t="s">
        <v>23</v>
      </c>
      <c r="H1881">
        <v>0</v>
      </c>
      <c r="I1881">
        <v>0</v>
      </c>
      <c r="K1881">
        <v>0.27502981300000001</v>
      </c>
      <c r="L1881">
        <v>0</v>
      </c>
      <c r="M1881">
        <v>0.27376233</v>
      </c>
      <c r="N1881">
        <v>0</v>
      </c>
      <c r="O1881" t="s">
        <v>1150</v>
      </c>
    </row>
    <row r="1882" spans="1:15" x14ac:dyDescent="0.25">
      <c r="A1882" t="s">
        <v>55</v>
      </c>
      <c r="B1882" t="s">
        <v>92</v>
      </c>
      <c r="C1882">
        <v>1200</v>
      </c>
      <c r="D1882">
        <v>1200.0999999999999</v>
      </c>
      <c r="E1882">
        <v>1</v>
      </c>
      <c r="F1882" t="s">
        <v>23</v>
      </c>
      <c r="G1882" t="s">
        <v>23</v>
      </c>
      <c r="H1882">
        <v>0</v>
      </c>
      <c r="I1882">
        <v>0</v>
      </c>
      <c r="K1882">
        <v>0.63853594400000002</v>
      </c>
      <c r="L1882">
        <v>0</v>
      </c>
      <c r="M1882">
        <v>0.636353528</v>
      </c>
      <c r="N1882">
        <v>0</v>
      </c>
      <c r="O1882" t="s">
        <v>1151</v>
      </c>
    </row>
    <row r="1883" spans="1:15" x14ac:dyDescent="0.25">
      <c r="A1883" t="s">
        <v>55</v>
      </c>
      <c r="B1883" t="s">
        <v>91</v>
      </c>
      <c r="C1883">
        <v>-200</v>
      </c>
      <c r="D1883">
        <v>-99.9</v>
      </c>
      <c r="E1883">
        <v>0.1</v>
      </c>
      <c r="F1883" t="s">
        <v>23</v>
      </c>
      <c r="G1883" t="s">
        <v>23</v>
      </c>
      <c r="H1883">
        <v>0</v>
      </c>
      <c r="I1883">
        <v>0</v>
      </c>
      <c r="K1883">
        <v>0.39349449399999997</v>
      </c>
      <c r="L1883">
        <v>0</v>
      </c>
      <c r="M1883">
        <v>0.38767236500000002</v>
      </c>
      <c r="N1883">
        <v>0</v>
      </c>
      <c r="O1883" t="s">
        <v>1128</v>
      </c>
    </row>
    <row r="1884" spans="1:15" x14ac:dyDescent="0.25">
      <c r="A1884" t="s">
        <v>55</v>
      </c>
      <c r="B1884" t="s">
        <v>91</v>
      </c>
      <c r="C1884">
        <v>-200</v>
      </c>
      <c r="D1884">
        <v>-99.9</v>
      </c>
      <c r="E1884">
        <v>1</v>
      </c>
      <c r="F1884" t="s">
        <v>23</v>
      </c>
      <c r="G1884" t="s">
        <v>23</v>
      </c>
      <c r="H1884">
        <v>0</v>
      </c>
      <c r="I1884">
        <v>0</v>
      </c>
      <c r="K1884">
        <v>0.70603263199999999</v>
      </c>
      <c r="L1884">
        <v>0</v>
      </c>
      <c r="M1884">
        <v>0.69302948200000003</v>
      </c>
      <c r="N1884">
        <v>0</v>
      </c>
      <c r="O1884" t="s">
        <v>1129</v>
      </c>
    </row>
    <row r="1885" spans="1:15" x14ac:dyDescent="0.25">
      <c r="A1885" t="s">
        <v>55</v>
      </c>
      <c r="B1885" t="s">
        <v>91</v>
      </c>
      <c r="C1885">
        <v>-100</v>
      </c>
      <c r="D1885">
        <v>-24.9</v>
      </c>
      <c r="E1885">
        <v>0.1</v>
      </c>
      <c r="F1885" t="s">
        <v>23</v>
      </c>
      <c r="G1885" t="s">
        <v>23</v>
      </c>
      <c r="H1885">
        <v>0</v>
      </c>
      <c r="I1885">
        <v>0</v>
      </c>
      <c r="K1885">
        <v>0.22869477099999999</v>
      </c>
      <c r="L1885">
        <v>0</v>
      </c>
      <c r="M1885">
        <v>0.218525158</v>
      </c>
      <c r="N1885">
        <v>0</v>
      </c>
      <c r="O1885" t="s">
        <v>1130</v>
      </c>
    </row>
    <row r="1886" spans="1:15" x14ac:dyDescent="0.25">
      <c r="A1886" t="s">
        <v>55</v>
      </c>
      <c r="B1886" t="s">
        <v>91</v>
      </c>
      <c r="C1886">
        <v>-100</v>
      </c>
      <c r="D1886">
        <v>-24.9</v>
      </c>
      <c r="E1886">
        <v>1</v>
      </c>
      <c r="F1886" t="s">
        <v>23</v>
      </c>
      <c r="G1886" t="s">
        <v>23</v>
      </c>
      <c r="H1886">
        <v>0</v>
      </c>
      <c r="I1886">
        <v>0</v>
      </c>
      <c r="K1886">
        <v>0.62924197199999998</v>
      </c>
      <c r="L1886">
        <v>0</v>
      </c>
      <c r="M1886">
        <v>0.61461633900000001</v>
      </c>
      <c r="N1886">
        <v>0</v>
      </c>
      <c r="O1886" t="s">
        <v>1131</v>
      </c>
    </row>
    <row r="1887" spans="1:15" x14ac:dyDescent="0.25">
      <c r="A1887" t="s">
        <v>55</v>
      </c>
      <c r="B1887" t="s">
        <v>91</v>
      </c>
      <c r="C1887">
        <v>-25</v>
      </c>
      <c r="D1887">
        <v>120.1</v>
      </c>
      <c r="E1887">
        <v>0.1</v>
      </c>
      <c r="F1887" t="s">
        <v>23</v>
      </c>
      <c r="G1887" t="s">
        <v>23</v>
      </c>
      <c r="H1887">
        <v>0</v>
      </c>
      <c r="I1887">
        <v>0</v>
      </c>
      <c r="K1887">
        <v>0.204276027</v>
      </c>
      <c r="L1887">
        <v>0</v>
      </c>
      <c r="M1887">
        <v>0.19653324699999999</v>
      </c>
      <c r="N1887">
        <v>0</v>
      </c>
      <c r="O1887" t="s">
        <v>1132</v>
      </c>
    </row>
    <row r="1888" spans="1:15" x14ac:dyDescent="0.25">
      <c r="A1888" t="s">
        <v>55</v>
      </c>
      <c r="B1888" t="s">
        <v>91</v>
      </c>
      <c r="C1888">
        <v>-25</v>
      </c>
      <c r="D1888">
        <v>120.1</v>
      </c>
      <c r="E1888">
        <v>1</v>
      </c>
      <c r="F1888" t="s">
        <v>23</v>
      </c>
      <c r="G1888" t="s">
        <v>23</v>
      </c>
      <c r="H1888">
        <v>0</v>
      </c>
      <c r="I1888">
        <v>0</v>
      </c>
      <c r="K1888">
        <v>0.61728342700000005</v>
      </c>
      <c r="L1888">
        <v>0</v>
      </c>
      <c r="M1888">
        <v>0.60714521899999996</v>
      </c>
      <c r="N1888">
        <v>0</v>
      </c>
      <c r="O1888" t="s">
        <v>1133</v>
      </c>
    </row>
    <row r="1889" spans="1:15" x14ac:dyDescent="0.25">
      <c r="A1889" t="s">
        <v>55</v>
      </c>
      <c r="B1889" t="s">
        <v>91</v>
      </c>
      <c r="C1889">
        <v>120</v>
      </c>
      <c r="D1889">
        <v>1000.1</v>
      </c>
      <c r="E1889">
        <v>0.1</v>
      </c>
      <c r="F1889" t="s">
        <v>23</v>
      </c>
      <c r="G1889" t="s">
        <v>23</v>
      </c>
      <c r="H1889">
        <v>0</v>
      </c>
      <c r="I1889">
        <v>0</v>
      </c>
      <c r="K1889">
        <v>0.31026319299999999</v>
      </c>
      <c r="L1889">
        <v>0</v>
      </c>
      <c r="M1889">
        <v>0.30757852099999999</v>
      </c>
      <c r="N1889">
        <v>0</v>
      </c>
      <c r="O1889" t="s">
        <v>1134</v>
      </c>
    </row>
    <row r="1890" spans="1:15" x14ac:dyDescent="0.25">
      <c r="A1890" t="s">
        <v>55</v>
      </c>
      <c r="B1890" t="s">
        <v>91</v>
      </c>
      <c r="C1890">
        <v>120</v>
      </c>
      <c r="D1890">
        <v>1000.1</v>
      </c>
      <c r="E1890">
        <v>1</v>
      </c>
      <c r="F1890" t="s">
        <v>23</v>
      </c>
      <c r="G1890" t="s">
        <v>23</v>
      </c>
      <c r="H1890">
        <v>0</v>
      </c>
      <c r="I1890">
        <v>0</v>
      </c>
      <c r="K1890">
        <v>0.65668817199999996</v>
      </c>
      <c r="L1890">
        <v>0</v>
      </c>
      <c r="M1890">
        <v>0.65161687099999999</v>
      </c>
      <c r="N1890">
        <v>0</v>
      </c>
      <c r="O1890" t="s">
        <v>1135</v>
      </c>
    </row>
    <row r="1891" spans="1:15" x14ac:dyDescent="0.25">
      <c r="A1891" t="s">
        <v>55</v>
      </c>
      <c r="B1891" t="s">
        <v>91</v>
      </c>
      <c r="C1891">
        <v>1000</v>
      </c>
      <c r="D1891">
        <v>1372</v>
      </c>
      <c r="E1891">
        <v>0.1</v>
      </c>
      <c r="F1891" t="s">
        <v>23</v>
      </c>
      <c r="G1891" t="s">
        <v>23</v>
      </c>
      <c r="H1891">
        <v>0</v>
      </c>
      <c r="I1891">
        <v>0</v>
      </c>
      <c r="K1891">
        <v>0.46917668400000001</v>
      </c>
      <c r="L1891">
        <v>0</v>
      </c>
      <c r="M1891">
        <v>0.466718309</v>
      </c>
      <c r="N1891">
        <v>0</v>
      </c>
      <c r="O1891" t="s">
        <v>1136</v>
      </c>
    </row>
    <row r="1892" spans="1:15" x14ac:dyDescent="0.25">
      <c r="A1892" t="s">
        <v>55</v>
      </c>
      <c r="B1892" t="s">
        <v>91</v>
      </c>
      <c r="C1892">
        <v>1000</v>
      </c>
      <c r="D1892">
        <v>1372</v>
      </c>
      <c r="E1892">
        <v>1</v>
      </c>
      <c r="F1892" t="s">
        <v>23</v>
      </c>
      <c r="G1892" t="s">
        <v>23</v>
      </c>
      <c r="H1892">
        <v>0</v>
      </c>
      <c r="I1892">
        <v>0</v>
      </c>
      <c r="K1892">
        <v>0.74634382200000005</v>
      </c>
      <c r="L1892">
        <v>0</v>
      </c>
      <c r="M1892">
        <v>0.74015267399999995</v>
      </c>
      <c r="N1892">
        <v>0</v>
      </c>
      <c r="O1892" t="s">
        <v>1137</v>
      </c>
    </row>
    <row r="1893" spans="1:15" x14ac:dyDescent="0.25">
      <c r="A1893" t="s">
        <v>55</v>
      </c>
      <c r="B1893" t="s">
        <v>91</v>
      </c>
      <c r="C1893">
        <v>1372</v>
      </c>
      <c r="D1893">
        <v>1372.1</v>
      </c>
      <c r="E1893">
        <v>0.1</v>
      </c>
      <c r="F1893" t="s">
        <v>23</v>
      </c>
      <c r="G1893" t="s">
        <v>23</v>
      </c>
      <c r="H1893">
        <v>0</v>
      </c>
      <c r="I1893">
        <v>0</v>
      </c>
      <c r="K1893">
        <v>0.46917668400000001</v>
      </c>
      <c r="L1893">
        <v>0</v>
      </c>
      <c r="M1893">
        <v>0.466718309</v>
      </c>
      <c r="N1893">
        <v>0</v>
      </c>
      <c r="O1893" t="s">
        <v>1138</v>
      </c>
    </row>
    <row r="1894" spans="1:15" x14ac:dyDescent="0.25">
      <c r="A1894" t="s">
        <v>55</v>
      </c>
      <c r="B1894" t="s">
        <v>91</v>
      </c>
      <c r="C1894">
        <v>1372</v>
      </c>
      <c r="D1894">
        <v>1372.1</v>
      </c>
      <c r="E1894">
        <v>1</v>
      </c>
      <c r="F1894" t="s">
        <v>23</v>
      </c>
      <c r="G1894" t="s">
        <v>23</v>
      </c>
      <c r="H1894">
        <v>0</v>
      </c>
      <c r="I1894">
        <v>0</v>
      </c>
      <c r="K1894">
        <v>0.74634382200000005</v>
      </c>
      <c r="L1894">
        <v>0</v>
      </c>
      <c r="M1894">
        <v>0.74015267399999995</v>
      </c>
      <c r="N1894">
        <v>0</v>
      </c>
      <c r="O1894" t="s">
        <v>1139</v>
      </c>
    </row>
    <row r="1895" spans="1:15" x14ac:dyDescent="0.25">
      <c r="A1895" t="s">
        <v>55</v>
      </c>
      <c r="B1895" t="s">
        <v>94</v>
      </c>
      <c r="C1895">
        <v>-200</v>
      </c>
      <c r="D1895">
        <v>-99.9</v>
      </c>
      <c r="E1895">
        <v>0.1</v>
      </c>
      <c r="F1895" t="s">
        <v>23</v>
      </c>
      <c r="G1895" t="s">
        <v>23</v>
      </c>
      <c r="H1895">
        <v>0</v>
      </c>
      <c r="I1895">
        <v>0</v>
      </c>
      <c r="K1895">
        <v>0.47200850999999999</v>
      </c>
      <c r="L1895">
        <v>0</v>
      </c>
      <c r="M1895">
        <v>0.46682217199999998</v>
      </c>
      <c r="N1895">
        <v>0</v>
      </c>
      <c r="O1895" t="s">
        <v>1116</v>
      </c>
    </row>
    <row r="1896" spans="1:15" x14ac:dyDescent="0.25">
      <c r="A1896" t="s">
        <v>55</v>
      </c>
      <c r="B1896" t="s">
        <v>94</v>
      </c>
      <c r="C1896">
        <v>-200</v>
      </c>
      <c r="D1896">
        <v>-99.9</v>
      </c>
      <c r="E1896">
        <v>1</v>
      </c>
      <c r="F1896" t="s">
        <v>23</v>
      </c>
      <c r="G1896" t="s">
        <v>23</v>
      </c>
      <c r="H1896">
        <v>0</v>
      </c>
      <c r="I1896">
        <v>0</v>
      </c>
      <c r="K1896">
        <v>0.75325912699999997</v>
      </c>
      <c r="L1896">
        <v>0</v>
      </c>
      <c r="M1896">
        <v>0.74021817099999998</v>
      </c>
      <c r="N1896">
        <v>0</v>
      </c>
      <c r="O1896" t="s">
        <v>1117</v>
      </c>
    </row>
    <row r="1897" spans="1:15" x14ac:dyDescent="0.25">
      <c r="A1897" t="s">
        <v>55</v>
      </c>
      <c r="B1897" t="s">
        <v>94</v>
      </c>
      <c r="C1897">
        <v>-100</v>
      </c>
      <c r="D1897">
        <v>-24.9</v>
      </c>
      <c r="E1897">
        <v>0.1</v>
      </c>
      <c r="F1897" t="s">
        <v>23</v>
      </c>
      <c r="G1897" t="s">
        <v>23</v>
      </c>
      <c r="H1897">
        <v>0</v>
      </c>
      <c r="I1897">
        <v>0</v>
      </c>
      <c r="K1897">
        <v>0.26967921099999997</v>
      </c>
      <c r="L1897">
        <v>0</v>
      </c>
      <c r="M1897">
        <v>0.26325360399999997</v>
      </c>
      <c r="N1897">
        <v>0</v>
      </c>
      <c r="O1897" t="s">
        <v>1118</v>
      </c>
    </row>
    <row r="1898" spans="1:15" x14ac:dyDescent="0.25">
      <c r="A1898" t="s">
        <v>55</v>
      </c>
      <c r="B1898" t="s">
        <v>94</v>
      </c>
      <c r="C1898">
        <v>-100</v>
      </c>
      <c r="D1898">
        <v>-24.9</v>
      </c>
      <c r="E1898">
        <v>1</v>
      </c>
      <c r="F1898" t="s">
        <v>23</v>
      </c>
      <c r="G1898" t="s">
        <v>23</v>
      </c>
      <c r="H1898">
        <v>0</v>
      </c>
      <c r="I1898">
        <v>0</v>
      </c>
      <c r="K1898">
        <v>0.64265086000000005</v>
      </c>
      <c r="L1898">
        <v>0</v>
      </c>
      <c r="M1898">
        <v>0.63190383800000005</v>
      </c>
      <c r="N1898">
        <v>0</v>
      </c>
      <c r="O1898" t="s">
        <v>1119</v>
      </c>
    </row>
    <row r="1899" spans="1:15" x14ac:dyDescent="0.25">
      <c r="A1899" t="s">
        <v>55</v>
      </c>
      <c r="B1899" t="s">
        <v>94</v>
      </c>
      <c r="C1899">
        <v>-25</v>
      </c>
      <c r="D1899">
        <v>120.1</v>
      </c>
      <c r="E1899">
        <v>0.1</v>
      </c>
      <c r="F1899" t="s">
        <v>23</v>
      </c>
      <c r="G1899" t="s">
        <v>23</v>
      </c>
      <c r="H1899">
        <v>0</v>
      </c>
      <c r="I1899">
        <v>0</v>
      </c>
      <c r="K1899">
        <v>0.23706429000000001</v>
      </c>
      <c r="L1899">
        <v>0</v>
      </c>
      <c r="M1899">
        <v>0.229728232</v>
      </c>
      <c r="N1899">
        <v>0</v>
      </c>
      <c r="O1899" t="s">
        <v>1120</v>
      </c>
    </row>
    <row r="1900" spans="1:15" x14ac:dyDescent="0.25">
      <c r="A1900" t="s">
        <v>55</v>
      </c>
      <c r="B1900" t="s">
        <v>94</v>
      </c>
      <c r="C1900">
        <v>-25</v>
      </c>
      <c r="D1900">
        <v>120.1</v>
      </c>
      <c r="E1900">
        <v>1</v>
      </c>
      <c r="F1900" t="s">
        <v>23</v>
      </c>
      <c r="G1900" t="s">
        <v>23</v>
      </c>
      <c r="H1900">
        <v>0</v>
      </c>
      <c r="I1900">
        <v>0</v>
      </c>
      <c r="K1900">
        <v>0.62966080400000002</v>
      </c>
      <c r="L1900">
        <v>0</v>
      </c>
      <c r="M1900">
        <v>0.61868817700000001</v>
      </c>
      <c r="N1900">
        <v>0</v>
      </c>
      <c r="O1900" t="s">
        <v>1121</v>
      </c>
    </row>
    <row r="1901" spans="1:15" x14ac:dyDescent="0.25">
      <c r="A1901" t="s">
        <v>55</v>
      </c>
      <c r="B1901" t="s">
        <v>94</v>
      </c>
      <c r="C1901">
        <v>120</v>
      </c>
      <c r="D1901">
        <v>410.1</v>
      </c>
      <c r="E1901">
        <v>0.1</v>
      </c>
      <c r="F1901" t="s">
        <v>23</v>
      </c>
      <c r="G1901" t="s">
        <v>23</v>
      </c>
      <c r="H1901">
        <v>0</v>
      </c>
      <c r="I1901">
        <v>0</v>
      </c>
      <c r="K1901">
        <v>0.22303414499999999</v>
      </c>
      <c r="L1901">
        <v>0</v>
      </c>
      <c r="M1901">
        <v>0.218550883</v>
      </c>
      <c r="N1901">
        <v>0</v>
      </c>
      <c r="O1901" t="s">
        <v>1122</v>
      </c>
    </row>
    <row r="1902" spans="1:15" x14ac:dyDescent="0.25">
      <c r="A1902" t="s">
        <v>55</v>
      </c>
      <c r="B1902" t="s">
        <v>94</v>
      </c>
      <c r="C1902">
        <v>120</v>
      </c>
      <c r="D1902">
        <v>410.1</v>
      </c>
      <c r="E1902">
        <v>1</v>
      </c>
      <c r="F1902" t="s">
        <v>23</v>
      </c>
      <c r="G1902" t="s">
        <v>23</v>
      </c>
      <c r="H1902">
        <v>0</v>
      </c>
      <c r="I1902">
        <v>0</v>
      </c>
      <c r="K1902">
        <v>0.62103417999999999</v>
      </c>
      <c r="L1902">
        <v>0</v>
      </c>
      <c r="M1902">
        <v>0.614625486</v>
      </c>
      <c r="N1902">
        <v>0</v>
      </c>
      <c r="O1902" t="s">
        <v>1123</v>
      </c>
    </row>
    <row r="1903" spans="1:15" x14ac:dyDescent="0.25">
      <c r="A1903" t="s">
        <v>55</v>
      </c>
      <c r="B1903" t="s">
        <v>94</v>
      </c>
      <c r="C1903">
        <v>410</v>
      </c>
      <c r="D1903">
        <v>1300</v>
      </c>
      <c r="E1903">
        <v>0.1</v>
      </c>
      <c r="F1903" t="s">
        <v>23</v>
      </c>
      <c r="G1903" t="s">
        <v>23</v>
      </c>
      <c r="H1903">
        <v>0</v>
      </c>
      <c r="I1903">
        <v>0</v>
      </c>
      <c r="K1903">
        <v>0.321968492</v>
      </c>
      <c r="L1903">
        <v>0</v>
      </c>
      <c r="M1903">
        <v>0.31887923899999998</v>
      </c>
      <c r="N1903">
        <v>0</v>
      </c>
      <c r="O1903" t="s">
        <v>1124</v>
      </c>
    </row>
    <row r="1904" spans="1:15" x14ac:dyDescent="0.25">
      <c r="A1904" t="s">
        <v>55</v>
      </c>
      <c r="B1904" t="s">
        <v>94</v>
      </c>
      <c r="C1904">
        <v>410</v>
      </c>
      <c r="D1904">
        <v>1300</v>
      </c>
      <c r="E1904">
        <v>1</v>
      </c>
      <c r="F1904" t="s">
        <v>23</v>
      </c>
      <c r="G1904" t="s">
        <v>23</v>
      </c>
      <c r="H1904">
        <v>0</v>
      </c>
      <c r="I1904">
        <v>0</v>
      </c>
      <c r="K1904">
        <v>0.66302559000000005</v>
      </c>
      <c r="L1904">
        <v>0</v>
      </c>
      <c r="M1904">
        <v>0.65702661200000001</v>
      </c>
      <c r="N1904">
        <v>0</v>
      </c>
      <c r="O1904" t="s">
        <v>1125</v>
      </c>
    </row>
    <row r="1905" spans="1:15" x14ac:dyDescent="0.25">
      <c r="A1905" t="s">
        <v>55</v>
      </c>
      <c r="B1905" t="s">
        <v>94</v>
      </c>
      <c r="C1905">
        <v>1300</v>
      </c>
      <c r="D1905">
        <v>1300.0999999999999</v>
      </c>
      <c r="E1905">
        <v>0.1</v>
      </c>
      <c r="F1905" t="s">
        <v>23</v>
      </c>
      <c r="G1905" t="s">
        <v>23</v>
      </c>
      <c r="H1905">
        <v>0</v>
      </c>
      <c r="I1905">
        <v>0</v>
      </c>
      <c r="K1905">
        <v>0.321968492</v>
      </c>
      <c r="L1905">
        <v>0</v>
      </c>
      <c r="M1905">
        <v>0.31887923899999998</v>
      </c>
      <c r="N1905">
        <v>0</v>
      </c>
      <c r="O1905" t="s">
        <v>1126</v>
      </c>
    </row>
    <row r="1906" spans="1:15" x14ac:dyDescent="0.25">
      <c r="A1906" t="s">
        <v>55</v>
      </c>
      <c r="B1906" t="s">
        <v>94</v>
      </c>
      <c r="C1906">
        <v>1300</v>
      </c>
      <c r="D1906">
        <v>1300.0999999999999</v>
      </c>
      <c r="E1906">
        <v>1</v>
      </c>
      <c r="F1906" t="s">
        <v>23</v>
      </c>
      <c r="G1906" t="s">
        <v>23</v>
      </c>
      <c r="H1906">
        <v>0</v>
      </c>
      <c r="I1906">
        <v>0</v>
      </c>
      <c r="K1906">
        <v>0.66302559000000005</v>
      </c>
      <c r="L1906">
        <v>0</v>
      </c>
      <c r="M1906">
        <v>0.65702661200000001</v>
      </c>
      <c r="N1906">
        <v>0</v>
      </c>
      <c r="O1906" t="s">
        <v>1127</v>
      </c>
    </row>
    <row r="1907" spans="1:15" x14ac:dyDescent="0.25">
      <c r="A1907" t="s">
        <v>55</v>
      </c>
      <c r="B1907" t="s">
        <v>98</v>
      </c>
      <c r="C1907">
        <v>-200</v>
      </c>
      <c r="D1907">
        <v>0.1</v>
      </c>
      <c r="E1907">
        <v>0.1</v>
      </c>
      <c r="F1907" t="s">
        <v>23</v>
      </c>
      <c r="G1907" t="s">
        <v>23</v>
      </c>
      <c r="H1907">
        <v>0</v>
      </c>
      <c r="I1907">
        <v>0</v>
      </c>
      <c r="K1907">
        <v>0.13102279</v>
      </c>
      <c r="L1907">
        <v>0</v>
      </c>
      <c r="M1907">
        <v>0.116270806</v>
      </c>
      <c r="N1907">
        <v>0</v>
      </c>
      <c r="O1907" t="s">
        <v>1102</v>
      </c>
    </row>
    <row r="1908" spans="1:15" x14ac:dyDescent="0.25">
      <c r="A1908" t="s">
        <v>55</v>
      </c>
      <c r="B1908" t="s">
        <v>98</v>
      </c>
      <c r="C1908">
        <v>-200</v>
      </c>
      <c r="D1908">
        <v>0.1</v>
      </c>
      <c r="E1908">
        <v>1</v>
      </c>
      <c r="F1908" t="s">
        <v>23</v>
      </c>
      <c r="G1908" t="s">
        <v>23</v>
      </c>
      <c r="H1908">
        <v>0</v>
      </c>
      <c r="I1908">
        <v>0</v>
      </c>
      <c r="K1908">
        <v>0.60095134800000005</v>
      </c>
      <c r="L1908">
        <v>0</v>
      </c>
      <c r="M1908">
        <v>0.588685177</v>
      </c>
      <c r="N1908">
        <v>0</v>
      </c>
      <c r="O1908" t="s">
        <v>1103</v>
      </c>
    </row>
    <row r="1909" spans="1:15" x14ac:dyDescent="0.25">
      <c r="A1909" t="s">
        <v>55</v>
      </c>
      <c r="B1909" t="s">
        <v>98</v>
      </c>
      <c r="C1909">
        <v>0</v>
      </c>
      <c r="D1909">
        <v>100.1</v>
      </c>
      <c r="E1909">
        <v>0.1</v>
      </c>
      <c r="F1909" t="s">
        <v>23</v>
      </c>
      <c r="G1909" t="s">
        <v>23</v>
      </c>
      <c r="H1909">
        <v>0</v>
      </c>
      <c r="I1909">
        <v>0</v>
      </c>
      <c r="K1909">
        <v>0.165710737</v>
      </c>
      <c r="L1909">
        <v>0</v>
      </c>
      <c r="M1909">
        <v>0.15431129900000001</v>
      </c>
      <c r="N1909">
        <v>0</v>
      </c>
      <c r="O1909" t="s">
        <v>1104</v>
      </c>
    </row>
    <row r="1910" spans="1:15" x14ac:dyDescent="0.25">
      <c r="A1910" t="s">
        <v>55</v>
      </c>
      <c r="B1910" t="s">
        <v>98</v>
      </c>
      <c r="C1910">
        <v>0</v>
      </c>
      <c r="D1910">
        <v>100.1</v>
      </c>
      <c r="E1910">
        <v>1</v>
      </c>
      <c r="F1910" t="s">
        <v>23</v>
      </c>
      <c r="G1910" t="s">
        <v>23</v>
      </c>
      <c r="H1910">
        <v>0</v>
      </c>
      <c r="I1910">
        <v>0</v>
      </c>
      <c r="K1910">
        <v>0.60945516600000005</v>
      </c>
      <c r="L1910">
        <v>0</v>
      </c>
      <c r="M1910">
        <v>0.59736363699999995</v>
      </c>
      <c r="N1910">
        <v>0</v>
      </c>
      <c r="O1910" t="s">
        <v>1105</v>
      </c>
    </row>
    <row r="1911" spans="1:15" x14ac:dyDescent="0.25">
      <c r="A1911" t="s">
        <v>55</v>
      </c>
      <c r="B1911" t="s">
        <v>98</v>
      </c>
      <c r="C1911">
        <v>100</v>
      </c>
      <c r="D1911">
        <v>300.10000000000002</v>
      </c>
      <c r="E1911">
        <v>0.1</v>
      </c>
      <c r="F1911" t="s">
        <v>23</v>
      </c>
      <c r="G1911" t="s">
        <v>23</v>
      </c>
      <c r="H1911">
        <v>0</v>
      </c>
      <c r="I1911">
        <v>0</v>
      </c>
      <c r="K1911">
        <v>0.165710737</v>
      </c>
      <c r="L1911">
        <v>0</v>
      </c>
      <c r="M1911">
        <v>0.15431129900000001</v>
      </c>
      <c r="N1911">
        <v>0</v>
      </c>
      <c r="O1911" t="s">
        <v>1106</v>
      </c>
    </row>
    <row r="1912" spans="1:15" x14ac:dyDescent="0.25">
      <c r="A1912" t="s">
        <v>55</v>
      </c>
      <c r="B1912" t="s">
        <v>98</v>
      </c>
      <c r="C1912">
        <v>100</v>
      </c>
      <c r="D1912">
        <v>300.10000000000002</v>
      </c>
      <c r="E1912">
        <v>1</v>
      </c>
      <c r="F1912" t="s">
        <v>23</v>
      </c>
      <c r="G1912" t="s">
        <v>23</v>
      </c>
      <c r="H1912">
        <v>0</v>
      </c>
      <c r="I1912">
        <v>0</v>
      </c>
      <c r="K1912">
        <v>0.60945516600000005</v>
      </c>
      <c r="L1912">
        <v>0</v>
      </c>
      <c r="M1912">
        <v>0.59736363699999995</v>
      </c>
      <c r="N1912">
        <v>0</v>
      </c>
      <c r="O1912" t="s">
        <v>1107</v>
      </c>
    </row>
    <row r="1913" spans="1:15" x14ac:dyDescent="0.25">
      <c r="A1913" t="s">
        <v>55</v>
      </c>
      <c r="B1913" t="s">
        <v>98</v>
      </c>
      <c r="C1913">
        <v>300</v>
      </c>
      <c r="D1913">
        <v>400.1</v>
      </c>
      <c r="E1913">
        <v>0.1</v>
      </c>
      <c r="F1913" t="s">
        <v>23</v>
      </c>
      <c r="G1913" t="s">
        <v>23</v>
      </c>
      <c r="H1913">
        <v>0</v>
      </c>
      <c r="I1913">
        <v>0</v>
      </c>
      <c r="K1913">
        <v>0.22203263600000001</v>
      </c>
      <c r="L1913">
        <v>0</v>
      </c>
      <c r="M1913">
        <v>0.21365959000000001</v>
      </c>
      <c r="N1913">
        <v>0</v>
      </c>
      <c r="O1913" t="s">
        <v>1108</v>
      </c>
    </row>
    <row r="1914" spans="1:15" x14ac:dyDescent="0.25">
      <c r="A1914" t="s">
        <v>55</v>
      </c>
      <c r="B1914" t="s">
        <v>98</v>
      </c>
      <c r="C1914">
        <v>300</v>
      </c>
      <c r="D1914">
        <v>400.1</v>
      </c>
      <c r="E1914">
        <v>1</v>
      </c>
      <c r="F1914" t="s">
        <v>23</v>
      </c>
      <c r="G1914" t="s">
        <v>23</v>
      </c>
      <c r="H1914">
        <v>0</v>
      </c>
      <c r="I1914">
        <v>0</v>
      </c>
      <c r="K1914">
        <v>0.62711565300000005</v>
      </c>
      <c r="L1914">
        <v>0</v>
      </c>
      <c r="M1914">
        <v>0.61537123599999999</v>
      </c>
      <c r="N1914">
        <v>0</v>
      </c>
      <c r="O1914" t="s">
        <v>1109</v>
      </c>
    </row>
    <row r="1915" spans="1:15" x14ac:dyDescent="0.25">
      <c r="A1915" t="s">
        <v>55</v>
      </c>
      <c r="B1915" t="s">
        <v>98</v>
      </c>
      <c r="C1915">
        <v>400</v>
      </c>
      <c r="D1915">
        <v>630.1</v>
      </c>
      <c r="E1915">
        <v>0.1</v>
      </c>
      <c r="F1915" t="s">
        <v>23</v>
      </c>
      <c r="G1915" t="s">
        <v>23</v>
      </c>
      <c r="H1915">
        <v>0</v>
      </c>
      <c r="I1915">
        <v>0</v>
      </c>
      <c r="K1915">
        <v>0.259995115</v>
      </c>
      <c r="L1915">
        <v>0</v>
      </c>
      <c r="M1915">
        <v>0.25288216299999999</v>
      </c>
      <c r="N1915">
        <v>0</v>
      </c>
      <c r="O1915" t="s">
        <v>1110</v>
      </c>
    </row>
    <row r="1916" spans="1:15" x14ac:dyDescent="0.25">
      <c r="A1916" t="s">
        <v>55</v>
      </c>
      <c r="B1916" t="s">
        <v>98</v>
      </c>
      <c r="C1916">
        <v>400</v>
      </c>
      <c r="D1916">
        <v>630.1</v>
      </c>
      <c r="E1916">
        <v>1</v>
      </c>
      <c r="F1916" t="s">
        <v>23</v>
      </c>
      <c r="G1916" t="s">
        <v>23</v>
      </c>
      <c r="H1916">
        <v>0</v>
      </c>
      <c r="I1916">
        <v>0</v>
      </c>
      <c r="K1916">
        <v>0.64153956300000003</v>
      </c>
      <c r="L1916">
        <v>0</v>
      </c>
      <c r="M1916">
        <v>0.63006406500000001</v>
      </c>
      <c r="N1916">
        <v>0</v>
      </c>
      <c r="O1916" t="s">
        <v>1111</v>
      </c>
    </row>
    <row r="1917" spans="1:15" x14ac:dyDescent="0.25">
      <c r="A1917" t="s">
        <v>55</v>
      </c>
      <c r="B1917" t="s">
        <v>98</v>
      </c>
      <c r="C1917">
        <v>630</v>
      </c>
      <c r="D1917">
        <v>800</v>
      </c>
      <c r="E1917">
        <v>0.1</v>
      </c>
      <c r="F1917" t="s">
        <v>23</v>
      </c>
      <c r="G1917" t="s">
        <v>23</v>
      </c>
      <c r="H1917">
        <v>0</v>
      </c>
      <c r="I1917">
        <v>0</v>
      </c>
      <c r="K1917">
        <v>0.43496643800000001</v>
      </c>
      <c r="L1917">
        <v>0</v>
      </c>
      <c r="M1917">
        <v>0.43075251799999997</v>
      </c>
      <c r="N1917">
        <v>0</v>
      </c>
      <c r="O1917" t="s">
        <v>1112</v>
      </c>
    </row>
    <row r="1918" spans="1:15" x14ac:dyDescent="0.25">
      <c r="A1918" t="s">
        <v>55</v>
      </c>
      <c r="B1918" t="s">
        <v>98</v>
      </c>
      <c r="C1918">
        <v>630</v>
      </c>
      <c r="D1918">
        <v>800</v>
      </c>
      <c r="E1918">
        <v>1</v>
      </c>
      <c r="F1918" t="s">
        <v>23</v>
      </c>
      <c r="G1918" t="s">
        <v>23</v>
      </c>
      <c r="H1918">
        <v>0</v>
      </c>
      <c r="I1918">
        <v>0</v>
      </c>
      <c r="K1918">
        <v>0.73018583500000001</v>
      </c>
      <c r="L1918">
        <v>0</v>
      </c>
      <c r="M1918">
        <v>0.72012434299999994</v>
      </c>
      <c r="N1918">
        <v>0</v>
      </c>
      <c r="O1918" t="s">
        <v>1113</v>
      </c>
    </row>
    <row r="1919" spans="1:15" x14ac:dyDescent="0.25">
      <c r="A1919" t="s">
        <v>55</v>
      </c>
      <c r="B1919" t="s">
        <v>98</v>
      </c>
      <c r="C1919">
        <v>800</v>
      </c>
      <c r="D1919">
        <v>800.1</v>
      </c>
      <c r="E1919">
        <v>0.1</v>
      </c>
      <c r="F1919" t="s">
        <v>23</v>
      </c>
      <c r="G1919" t="s">
        <v>23</v>
      </c>
      <c r="H1919">
        <v>0</v>
      </c>
      <c r="I1919">
        <v>0</v>
      </c>
      <c r="K1919">
        <v>0.43496643800000001</v>
      </c>
      <c r="L1919">
        <v>0</v>
      </c>
      <c r="M1919">
        <v>0.43075251799999997</v>
      </c>
      <c r="N1919">
        <v>0</v>
      </c>
      <c r="O1919" t="s">
        <v>1114</v>
      </c>
    </row>
    <row r="1920" spans="1:15" x14ac:dyDescent="0.25">
      <c r="A1920" t="s">
        <v>55</v>
      </c>
      <c r="B1920" t="s">
        <v>98</v>
      </c>
      <c r="C1920">
        <v>800</v>
      </c>
      <c r="D1920">
        <v>800.1</v>
      </c>
      <c r="E1920">
        <v>1</v>
      </c>
      <c r="F1920" t="s">
        <v>23</v>
      </c>
      <c r="G1920" t="s">
        <v>23</v>
      </c>
      <c r="H1920">
        <v>0</v>
      </c>
      <c r="I1920">
        <v>0</v>
      </c>
      <c r="K1920">
        <v>0.73018583500000001</v>
      </c>
      <c r="L1920">
        <v>0</v>
      </c>
      <c r="M1920">
        <v>0.72012434299999994</v>
      </c>
      <c r="N1920">
        <v>0</v>
      </c>
      <c r="O1920" t="s">
        <v>1115</v>
      </c>
    </row>
    <row r="1921" spans="1:15" x14ac:dyDescent="0.25">
      <c r="A1921" t="s">
        <v>55</v>
      </c>
      <c r="B1921" t="s">
        <v>99</v>
      </c>
      <c r="C1921">
        <v>-200</v>
      </c>
      <c r="D1921">
        <v>0.1</v>
      </c>
      <c r="E1921">
        <v>0.1</v>
      </c>
      <c r="F1921" t="s">
        <v>23</v>
      </c>
      <c r="G1921" t="s">
        <v>23</v>
      </c>
      <c r="H1921">
        <v>0</v>
      </c>
      <c r="I1921">
        <v>0</v>
      </c>
      <c r="K1921">
        <v>0.103093619</v>
      </c>
      <c r="L1921">
        <v>0</v>
      </c>
      <c r="M1921">
        <v>8.3547729000000001E-2</v>
      </c>
      <c r="N1921">
        <v>0</v>
      </c>
      <c r="O1921" t="s">
        <v>1086</v>
      </c>
    </row>
    <row r="1922" spans="1:15" x14ac:dyDescent="0.25">
      <c r="A1922" t="s">
        <v>55</v>
      </c>
      <c r="B1922" t="s">
        <v>99</v>
      </c>
      <c r="C1922">
        <v>-200</v>
      </c>
      <c r="D1922">
        <v>0.1</v>
      </c>
      <c r="E1922">
        <v>1</v>
      </c>
      <c r="F1922" t="s">
        <v>23</v>
      </c>
      <c r="G1922" t="s">
        <v>23</v>
      </c>
      <c r="H1922">
        <v>0</v>
      </c>
      <c r="I1922">
        <v>0</v>
      </c>
      <c r="K1922">
        <v>0.59548622600000001</v>
      </c>
      <c r="L1922">
        <v>0</v>
      </c>
      <c r="M1922">
        <v>0.58310510299999996</v>
      </c>
      <c r="N1922">
        <v>0</v>
      </c>
      <c r="O1922" t="s">
        <v>1087</v>
      </c>
    </row>
    <row r="1923" spans="1:15" x14ac:dyDescent="0.25">
      <c r="A1923" t="s">
        <v>55</v>
      </c>
      <c r="B1923" t="s">
        <v>99</v>
      </c>
      <c r="C1923">
        <v>0</v>
      </c>
      <c r="D1923">
        <v>100.1</v>
      </c>
      <c r="E1923">
        <v>0.1</v>
      </c>
      <c r="F1923" t="s">
        <v>23</v>
      </c>
      <c r="G1923" t="s">
        <v>23</v>
      </c>
      <c r="H1923">
        <v>0</v>
      </c>
      <c r="I1923">
        <v>0</v>
      </c>
      <c r="K1923">
        <v>0.117069308</v>
      </c>
      <c r="L1923">
        <v>0</v>
      </c>
      <c r="M1923">
        <v>0.10028535099999999</v>
      </c>
      <c r="N1923">
        <v>0</v>
      </c>
      <c r="O1923" t="s">
        <v>1088</v>
      </c>
    </row>
    <row r="1924" spans="1:15" x14ac:dyDescent="0.25">
      <c r="A1924" t="s">
        <v>55</v>
      </c>
      <c r="B1924" t="s">
        <v>99</v>
      </c>
      <c r="C1924">
        <v>0</v>
      </c>
      <c r="D1924">
        <v>100.1</v>
      </c>
      <c r="E1924">
        <v>1</v>
      </c>
      <c r="F1924" t="s">
        <v>23</v>
      </c>
      <c r="G1924" t="s">
        <v>23</v>
      </c>
      <c r="H1924">
        <v>0</v>
      </c>
      <c r="I1924">
        <v>0</v>
      </c>
      <c r="K1924">
        <v>0.59806418900000002</v>
      </c>
      <c r="L1924">
        <v>0</v>
      </c>
      <c r="M1924">
        <v>0.58573755999999999</v>
      </c>
      <c r="N1924">
        <v>0</v>
      </c>
      <c r="O1924" t="s">
        <v>1089</v>
      </c>
    </row>
    <row r="1925" spans="1:15" x14ac:dyDescent="0.25">
      <c r="A1925" t="s">
        <v>55</v>
      </c>
      <c r="B1925" t="s">
        <v>99</v>
      </c>
      <c r="C1925">
        <v>100</v>
      </c>
      <c r="D1925">
        <v>260.10000000000002</v>
      </c>
      <c r="E1925">
        <v>0.1</v>
      </c>
      <c r="F1925" t="s">
        <v>23</v>
      </c>
      <c r="G1925" t="s">
        <v>23</v>
      </c>
      <c r="H1925">
        <v>0</v>
      </c>
      <c r="I1925">
        <v>0</v>
      </c>
      <c r="K1925">
        <v>0.117069308</v>
      </c>
      <c r="L1925">
        <v>0</v>
      </c>
      <c r="M1925">
        <v>0.10028535099999999</v>
      </c>
      <c r="N1925">
        <v>0</v>
      </c>
      <c r="O1925" t="s">
        <v>1090</v>
      </c>
    </row>
    <row r="1926" spans="1:15" x14ac:dyDescent="0.25">
      <c r="A1926" t="s">
        <v>55</v>
      </c>
      <c r="B1926" t="s">
        <v>99</v>
      </c>
      <c r="C1926">
        <v>100</v>
      </c>
      <c r="D1926">
        <v>260.10000000000002</v>
      </c>
      <c r="E1926">
        <v>1</v>
      </c>
      <c r="F1926" t="s">
        <v>23</v>
      </c>
      <c r="G1926" t="s">
        <v>23</v>
      </c>
      <c r="H1926">
        <v>0</v>
      </c>
      <c r="I1926">
        <v>0</v>
      </c>
      <c r="K1926">
        <v>0.59806418900000002</v>
      </c>
      <c r="L1926">
        <v>0</v>
      </c>
      <c r="M1926">
        <v>0.58573755999999999</v>
      </c>
      <c r="N1926">
        <v>0</v>
      </c>
      <c r="O1926" t="s">
        <v>1091</v>
      </c>
    </row>
    <row r="1927" spans="1:15" x14ac:dyDescent="0.25">
      <c r="A1927" t="s">
        <v>55</v>
      </c>
      <c r="B1927" t="s">
        <v>99</v>
      </c>
      <c r="C1927">
        <v>260</v>
      </c>
      <c r="D1927">
        <v>300.10000000000002</v>
      </c>
      <c r="E1927">
        <v>0.1</v>
      </c>
      <c r="F1927" t="s">
        <v>23</v>
      </c>
      <c r="G1927" t="s">
        <v>23</v>
      </c>
      <c r="H1927">
        <v>0</v>
      </c>
      <c r="I1927">
        <v>0</v>
      </c>
      <c r="K1927">
        <v>0.15328217499999999</v>
      </c>
      <c r="L1927">
        <v>0</v>
      </c>
      <c r="M1927">
        <v>0.140880637</v>
      </c>
      <c r="N1927">
        <v>0</v>
      </c>
      <c r="O1927" t="s">
        <v>1092</v>
      </c>
    </row>
    <row r="1928" spans="1:15" x14ac:dyDescent="0.25">
      <c r="A1928" t="s">
        <v>55</v>
      </c>
      <c r="B1928" t="s">
        <v>99</v>
      </c>
      <c r="C1928">
        <v>260</v>
      </c>
      <c r="D1928">
        <v>300.10000000000002</v>
      </c>
      <c r="E1928">
        <v>1</v>
      </c>
      <c r="F1928" t="s">
        <v>23</v>
      </c>
      <c r="G1928" t="s">
        <v>23</v>
      </c>
      <c r="H1928">
        <v>0</v>
      </c>
      <c r="I1928">
        <v>0</v>
      </c>
      <c r="K1928">
        <v>0.60619384399999998</v>
      </c>
      <c r="L1928">
        <v>0</v>
      </c>
      <c r="M1928">
        <v>0.59403593399999999</v>
      </c>
      <c r="N1928">
        <v>0</v>
      </c>
      <c r="O1928" t="s">
        <v>1093</v>
      </c>
    </row>
    <row r="1929" spans="1:15" x14ac:dyDescent="0.25">
      <c r="A1929" t="s">
        <v>55</v>
      </c>
      <c r="B1929" t="s">
        <v>99</v>
      </c>
      <c r="C1929">
        <v>300</v>
      </c>
      <c r="D1929">
        <v>400.1</v>
      </c>
      <c r="E1929">
        <v>0.1</v>
      </c>
      <c r="F1929" t="s">
        <v>23</v>
      </c>
      <c r="G1929" t="s">
        <v>23</v>
      </c>
      <c r="H1929">
        <v>0</v>
      </c>
      <c r="I1929">
        <v>0</v>
      </c>
      <c r="K1929">
        <v>0.16999556299999999</v>
      </c>
      <c r="L1929">
        <v>0</v>
      </c>
      <c r="M1929">
        <v>0.15890380900000001</v>
      </c>
      <c r="N1929">
        <v>0</v>
      </c>
      <c r="O1929" t="s">
        <v>1094</v>
      </c>
    </row>
    <row r="1930" spans="1:15" x14ac:dyDescent="0.25">
      <c r="A1930" t="s">
        <v>55</v>
      </c>
      <c r="B1930" t="s">
        <v>99</v>
      </c>
      <c r="C1930">
        <v>300</v>
      </c>
      <c r="D1930">
        <v>400.1</v>
      </c>
      <c r="E1930">
        <v>1</v>
      </c>
      <c r="F1930" t="s">
        <v>23</v>
      </c>
      <c r="G1930" t="s">
        <v>23</v>
      </c>
      <c r="H1930">
        <v>0</v>
      </c>
      <c r="I1930">
        <v>0</v>
      </c>
      <c r="K1930">
        <v>0.61063413099999997</v>
      </c>
      <c r="L1930">
        <v>0</v>
      </c>
      <c r="M1930">
        <v>0.59856641899999996</v>
      </c>
      <c r="N1930">
        <v>0</v>
      </c>
      <c r="O1930" t="s">
        <v>1095</v>
      </c>
    </row>
    <row r="1931" spans="1:15" x14ac:dyDescent="0.25">
      <c r="A1931" t="s">
        <v>55</v>
      </c>
      <c r="B1931" t="s">
        <v>99</v>
      </c>
      <c r="C1931">
        <v>400</v>
      </c>
      <c r="D1931">
        <v>600.1</v>
      </c>
      <c r="E1931">
        <v>0.1</v>
      </c>
      <c r="F1931" t="s">
        <v>23</v>
      </c>
      <c r="G1931" t="s">
        <v>23</v>
      </c>
      <c r="H1931">
        <v>0</v>
      </c>
      <c r="I1931">
        <v>0</v>
      </c>
      <c r="K1931">
        <v>0.17203912299999999</v>
      </c>
      <c r="L1931">
        <v>0</v>
      </c>
      <c r="M1931">
        <v>0.16108813899999999</v>
      </c>
      <c r="N1931">
        <v>0</v>
      </c>
      <c r="O1931" t="s">
        <v>1096</v>
      </c>
    </row>
    <row r="1932" spans="1:15" x14ac:dyDescent="0.25">
      <c r="A1932" t="s">
        <v>55</v>
      </c>
      <c r="B1932" t="s">
        <v>99</v>
      </c>
      <c r="C1932">
        <v>400</v>
      </c>
      <c r="D1932">
        <v>600.1</v>
      </c>
      <c r="E1932">
        <v>1</v>
      </c>
      <c r="F1932" t="s">
        <v>23</v>
      </c>
      <c r="G1932" t="s">
        <v>23</v>
      </c>
      <c r="H1932">
        <v>0</v>
      </c>
      <c r="I1932">
        <v>0</v>
      </c>
      <c r="K1932">
        <v>0.61120619300000001</v>
      </c>
      <c r="L1932">
        <v>0</v>
      </c>
      <c r="M1932">
        <v>0.59915000299999999</v>
      </c>
      <c r="N1932">
        <v>0</v>
      </c>
      <c r="O1932" t="s">
        <v>1097</v>
      </c>
    </row>
    <row r="1933" spans="1:15" x14ac:dyDescent="0.25">
      <c r="A1933" t="s">
        <v>55</v>
      </c>
      <c r="B1933" t="s">
        <v>99</v>
      </c>
      <c r="C1933">
        <v>600</v>
      </c>
      <c r="D1933">
        <v>630</v>
      </c>
      <c r="E1933">
        <v>0.1</v>
      </c>
      <c r="F1933" t="s">
        <v>23</v>
      </c>
      <c r="G1933" t="s">
        <v>23</v>
      </c>
      <c r="H1933">
        <v>0</v>
      </c>
      <c r="I1933">
        <v>0</v>
      </c>
      <c r="K1933">
        <v>0.47301427699999998</v>
      </c>
      <c r="L1933">
        <v>0</v>
      </c>
      <c r="M1933">
        <v>0.46914223399999999</v>
      </c>
      <c r="N1933">
        <v>0</v>
      </c>
      <c r="O1933" t="s">
        <v>1098</v>
      </c>
    </row>
    <row r="1934" spans="1:15" x14ac:dyDescent="0.25">
      <c r="A1934" t="s">
        <v>55</v>
      </c>
      <c r="B1934" t="s">
        <v>99</v>
      </c>
      <c r="C1934">
        <v>600</v>
      </c>
      <c r="D1934">
        <v>630</v>
      </c>
      <c r="E1934">
        <v>1</v>
      </c>
      <c r="F1934" t="s">
        <v>23</v>
      </c>
      <c r="G1934" t="s">
        <v>23</v>
      </c>
      <c r="H1934">
        <v>0</v>
      </c>
      <c r="I1934">
        <v>0</v>
      </c>
      <c r="K1934">
        <v>0.75347067499999998</v>
      </c>
      <c r="L1934">
        <v>0</v>
      </c>
      <c r="M1934">
        <v>0.74372425900000005</v>
      </c>
      <c r="N1934">
        <v>0</v>
      </c>
      <c r="O1934" t="s">
        <v>1099</v>
      </c>
    </row>
    <row r="1935" spans="1:15" x14ac:dyDescent="0.25">
      <c r="A1935" t="s">
        <v>55</v>
      </c>
      <c r="B1935" t="s">
        <v>99</v>
      </c>
      <c r="C1935">
        <v>630</v>
      </c>
      <c r="D1935">
        <v>630.1</v>
      </c>
      <c r="E1935">
        <v>0.1</v>
      </c>
      <c r="F1935" t="s">
        <v>23</v>
      </c>
      <c r="G1935" t="s">
        <v>23</v>
      </c>
      <c r="H1935">
        <v>0</v>
      </c>
      <c r="I1935">
        <v>0</v>
      </c>
      <c r="K1935">
        <v>0.47301427699999998</v>
      </c>
      <c r="L1935">
        <v>0</v>
      </c>
      <c r="M1935">
        <v>0.46914223399999999</v>
      </c>
      <c r="N1935">
        <v>0</v>
      </c>
      <c r="O1935" t="s">
        <v>1100</v>
      </c>
    </row>
    <row r="1936" spans="1:15" x14ac:dyDescent="0.25">
      <c r="A1936" t="s">
        <v>55</v>
      </c>
      <c r="B1936" t="s">
        <v>99</v>
      </c>
      <c r="C1936">
        <v>630</v>
      </c>
      <c r="D1936">
        <v>630.1</v>
      </c>
      <c r="E1936">
        <v>1</v>
      </c>
      <c r="F1936" t="s">
        <v>23</v>
      </c>
      <c r="G1936" t="s">
        <v>23</v>
      </c>
      <c r="H1936">
        <v>0</v>
      </c>
      <c r="I1936">
        <v>0</v>
      </c>
      <c r="K1936">
        <v>0.75347067499999998</v>
      </c>
      <c r="L1936">
        <v>0</v>
      </c>
      <c r="M1936">
        <v>0.74372425900000005</v>
      </c>
      <c r="N1936">
        <v>0</v>
      </c>
      <c r="O1936" t="s">
        <v>1101</v>
      </c>
    </row>
    <row r="1937" spans="1:15" x14ac:dyDescent="0.25">
      <c r="A1937" t="s">
        <v>55</v>
      </c>
      <c r="B1937" t="s">
        <v>95</v>
      </c>
      <c r="C1937">
        <v>0</v>
      </c>
      <c r="D1937">
        <v>250.1</v>
      </c>
      <c r="E1937">
        <v>0.1</v>
      </c>
      <c r="F1937" t="s">
        <v>23</v>
      </c>
      <c r="G1937" t="s">
        <v>23</v>
      </c>
      <c r="H1937">
        <v>0</v>
      </c>
      <c r="I1937">
        <v>0</v>
      </c>
      <c r="K1937">
        <v>0.66952654300000003</v>
      </c>
      <c r="L1937">
        <v>0</v>
      </c>
      <c r="M1937">
        <v>0.66592057000000004</v>
      </c>
      <c r="N1937">
        <v>0</v>
      </c>
      <c r="O1937" t="s">
        <v>1076</v>
      </c>
    </row>
    <row r="1938" spans="1:15" x14ac:dyDescent="0.25">
      <c r="A1938" t="s">
        <v>55</v>
      </c>
      <c r="B1938" t="s">
        <v>95</v>
      </c>
      <c r="C1938">
        <v>0</v>
      </c>
      <c r="D1938">
        <v>250.1</v>
      </c>
      <c r="E1938">
        <v>1</v>
      </c>
      <c r="F1938" t="s">
        <v>23</v>
      </c>
      <c r="G1938" t="s">
        <v>23</v>
      </c>
      <c r="H1938">
        <v>0</v>
      </c>
      <c r="I1938">
        <v>0</v>
      </c>
      <c r="K1938">
        <v>0.89034406399999999</v>
      </c>
      <c r="L1938">
        <v>0</v>
      </c>
      <c r="M1938">
        <v>0.87946017899999995</v>
      </c>
      <c r="N1938">
        <v>0</v>
      </c>
      <c r="O1938" t="s">
        <v>1077</v>
      </c>
    </row>
    <row r="1939" spans="1:15" x14ac:dyDescent="0.25">
      <c r="A1939" t="s">
        <v>55</v>
      </c>
      <c r="B1939" t="s">
        <v>95</v>
      </c>
      <c r="C1939">
        <v>250</v>
      </c>
      <c r="D1939">
        <v>400.1</v>
      </c>
      <c r="E1939">
        <v>0.1</v>
      </c>
      <c r="F1939" t="s">
        <v>23</v>
      </c>
      <c r="G1939" t="s">
        <v>23</v>
      </c>
      <c r="H1939">
        <v>0</v>
      </c>
      <c r="I1939">
        <v>0</v>
      </c>
      <c r="K1939">
        <v>0.41654469300000002</v>
      </c>
      <c r="L1939">
        <v>0</v>
      </c>
      <c r="M1939">
        <v>0.41163453</v>
      </c>
      <c r="N1939">
        <v>0</v>
      </c>
      <c r="O1939" t="s">
        <v>1078</v>
      </c>
    </row>
    <row r="1940" spans="1:15" x14ac:dyDescent="0.25">
      <c r="A1940" t="s">
        <v>55</v>
      </c>
      <c r="B1940" t="s">
        <v>95</v>
      </c>
      <c r="C1940">
        <v>250</v>
      </c>
      <c r="D1940">
        <v>400.1</v>
      </c>
      <c r="E1940">
        <v>1</v>
      </c>
      <c r="F1940" t="s">
        <v>23</v>
      </c>
      <c r="G1940" t="s">
        <v>23</v>
      </c>
      <c r="H1940">
        <v>0</v>
      </c>
      <c r="I1940">
        <v>0</v>
      </c>
      <c r="K1940">
        <v>0.71812879500000004</v>
      </c>
      <c r="L1940">
        <v>0</v>
      </c>
      <c r="M1940">
        <v>0.70671280299999995</v>
      </c>
      <c r="N1940">
        <v>0</v>
      </c>
      <c r="O1940" t="s">
        <v>1079</v>
      </c>
    </row>
    <row r="1941" spans="1:15" x14ac:dyDescent="0.25">
      <c r="A1941" t="s">
        <v>55</v>
      </c>
      <c r="B1941" t="s">
        <v>95</v>
      </c>
      <c r="C1941">
        <v>400</v>
      </c>
      <c r="D1941">
        <v>1000.1</v>
      </c>
      <c r="E1941">
        <v>0.1</v>
      </c>
      <c r="F1941" t="s">
        <v>23</v>
      </c>
      <c r="G1941" t="s">
        <v>23</v>
      </c>
      <c r="H1941">
        <v>0</v>
      </c>
      <c r="I1941">
        <v>0</v>
      </c>
      <c r="K1941">
        <v>0.39416654600000001</v>
      </c>
      <c r="L1941">
        <v>0</v>
      </c>
      <c r="M1941">
        <v>0.38897399700000002</v>
      </c>
      <c r="N1941">
        <v>0</v>
      </c>
      <c r="O1941" t="s">
        <v>1080</v>
      </c>
    </row>
    <row r="1942" spans="1:15" x14ac:dyDescent="0.25">
      <c r="A1942" t="s">
        <v>55</v>
      </c>
      <c r="B1942" t="s">
        <v>95</v>
      </c>
      <c r="C1942">
        <v>400</v>
      </c>
      <c r="D1942">
        <v>1000.1</v>
      </c>
      <c r="E1942">
        <v>1</v>
      </c>
      <c r="F1942" t="s">
        <v>23</v>
      </c>
      <c r="G1942" t="s">
        <v>23</v>
      </c>
      <c r="H1942">
        <v>0</v>
      </c>
      <c r="I1942">
        <v>0</v>
      </c>
      <c r="K1942">
        <v>0.70538411599999995</v>
      </c>
      <c r="L1942">
        <v>0</v>
      </c>
      <c r="M1942">
        <v>0.69375843800000003</v>
      </c>
      <c r="N1942">
        <v>0</v>
      </c>
      <c r="O1942" t="s">
        <v>1081</v>
      </c>
    </row>
    <row r="1943" spans="1:15" x14ac:dyDescent="0.25">
      <c r="A1943" t="s">
        <v>55</v>
      </c>
      <c r="B1943" t="s">
        <v>95</v>
      </c>
      <c r="C1943">
        <v>1000</v>
      </c>
      <c r="D1943">
        <v>1767</v>
      </c>
      <c r="E1943">
        <v>0.1</v>
      </c>
      <c r="F1943" t="s">
        <v>23</v>
      </c>
      <c r="G1943" t="s">
        <v>23</v>
      </c>
      <c r="H1943">
        <v>0</v>
      </c>
      <c r="I1943">
        <v>0</v>
      </c>
      <c r="K1943">
        <v>0.53997687599999999</v>
      </c>
      <c r="L1943">
        <v>0</v>
      </c>
      <c r="M1943">
        <v>0.53619821999999995</v>
      </c>
      <c r="N1943">
        <v>0</v>
      </c>
      <c r="O1943" t="s">
        <v>1082</v>
      </c>
    </row>
    <row r="1944" spans="1:15" x14ac:dyDescent="0.25">
      <c r="A1944" t="s">
        <v>55</v>
      </c>
      <c r="B1944" t="s">
        <v>95</v>
      </c>
      <c r="C1944">
        <v>1000</v>
      </c>
      <c r="D1944">
        <v>1767</v>
      </c>
      <c r="E1944">
        <v>1</v>
      </c>
      <c r="F1944" t="s">
        <v>23</v>
      </c>
      <c r="G1944" t="s">
        <v>23</v>
      </c>
      <c r="H1944">
        <v>0</v>
      </c>
      <c r="I1944">
        <v>0</v>
      </c>
      <c r="K1944">
        <v>0.79609956199999998</v>
      </c>
      <c r="L1944">
        <v>0</v>
      </c>
      <c r="M1944">
        <v>0.78581710999999999</v>
      </c>
      <c r="N1944">
        <v>0</v>
      </c>
      <c r="O1944" t="s">
        <v>1083</v>
      </c>
    </row>
    <row r="1945" spans="1:15" x14ac:dyDescent="0.25">
      <c r="A1945" t="s">
        <v>55</v>
      </c>
      <c r="B1945" t="s">
        <v>95</v>
      </c>
      <c r="C1945">
        <v>1767</v>
      </c>
      <c r="D1945">
        <v>1767.1</v>
      </c>
      <c r="E1945">
        <v>0.1</v>
      </c>
      <c r="F1945" t="s">
        <v>23</v>
      </c>
      <c r="G1945" t="s">
        <v>23</v>
      </c>
      <c r="H1945">
        <v>0</v>
      </c>
      <c r="I1945">
        <v>0</v>
      </c>
      <c r="K1945">
        <v>0.53997687599999999</v>
      </c>
      <c r="L1945">
        <v>0</v>
      </c>
      <c r="M1945">
        <v>0.53619821999999995</v>
      </c>
      <c r="N1945">
        <v>0</v>
      </c>
      <c r="O1945" t="s">
        <v>1084</v>
      </c>
    </row>
    <row r="1946" spans="1:15" x14ac:dyDescent="0.25">
      <c r="A1946" t="s">
        <v>55</v>
      </c>
      <c r="B1946" t="s">
        <v>95</v>
      </c>
      <c r="C1946">
        <v>1767</v>
      </c>
      <c r="D1946">
        <v>1767.1</v>
      </c>
      <c r="E1946">
        <v>1</v>
      </c>
      <c r="F1946" t="s">
        <v>23</v>
      </c>
      <c r="G1946" t="s">
        <v>23</v>
      </c>
      <c r="H1946">
        <v>0</v>
      </c>
      <c r="I1946">
        <v>0</v>
      </c>
      <c r="K1946">
        <v>0.79609956199999998</v>
      </c>
      <c r="L1946">
        <v>0</v>
      </c>
      <c r="M1946">
        <v>0.78581710999999999</v>
      </c>
      <c r="N1946">
        <v>0</v>
      </c>
      <c r="O1946" t="s">
        <v>1085</v>
      </c>
    </row>
    <row r="1947" spans="1:15" x14ac:dyDescent="0.25">
      <c r="A1947" t="s">
        <v>55</v>
      </c>
      <c r="B1947" t="s">
        <v>96</v>
      </c>
      <c r="C1947">
        <v>0</v>
      </c>
      <c r="D1947">
        <v>250.1</v>
      </c>
      <c r="E1947">
        <v>0.1</v>
      </c>
      <c r="F1947" t="s">
        <v>23</v>
      </c>
      <c r="G1947" t="s">
        <v>23</v>
      </c>
      <c r="H1947">
        <v>0</v>
      </c>
      <c r="I1947">
        <v>0</v>
      </c>
      <c r="K1947">
        <v>0.55632015300000004</v>
      </c>
      <c r="L1947">
        <v>0</v>
      </c>
      <c r="M1947">
        <v>0.55207204200000004</v>
      </c>
      <c r="N1947">
        <v>0</v>
      </c>
      <c r="O1947" t="s">
        <v>1066</v>
      </c>
    </row>
    <row r="1948" spans="1:15" x14ac:dyDescent="0.25">
      <c r="A1948" t="s">
        <v>55</v>
      </c>
      <c r="B1948" t="s">
        <v>96</v>
      </c>
      <c r="C1948">
        <v>0</v>
      </c>
      <c r="D1948">
        <v>250.1</v>
      </c>
      <c r="E1948">
        <v>1</v>
      </c>
      <c r="F1948" t="s">
        <v>23</v>
      </c>
      <c r="G1948" t="s">
        <v>23</v>
      </c>
      <c r="H1948">
        <v>0</v>
      </c>
      <c r="I1948">
        <v>0</v>
      </c>
      <c r="K1948">
        <v>0.808466346</v>
      </c>
      <c r="L1948">
        <v>0</v>
      </c>
      <c r="M1948">
        <v>0.79673304099999998</v>
      </c>
      <c r="N1948">
        <v>0</v>
      </c>
      <c r="O1948" t="s">
        <v>1067</v>
      </c>
    </row>
    <row r="1949" spans="1:15" x14ac:dyDescent="0.25">
      <c r="A1949" t="s">
        <v>55</v>
      </c>
      <c r="B1949" t="s">
        <v>96</v>
      </c>
      <c r="C1949">
        <v>250</v>
      </c>
      <c r="D1949">
        <v>1000.1</v>
      </c>
      <c r="E1949">
        <v>0.1</v>
      </c>
      <c r="F1949" t="s">
        <v>23</v>
      </c>
      <c r="G1949" t="s">
        <v>23</v>
      </c>
      <c r="H1949">
        <v>0</v>
      </c>
      <c r="I1949">
        <v>0</v>
      </c>
      <c r="K1949">
        <v>0.42875922700000002</v>
      </c>
      <c r="L1949">
        <v>0</v>
      </c>
      <c r="M1949">
        <v>0.42399054200000003</v>
      </c>
      <c r="N1949">
        <v>0</v>
      </c>
      <c r="O1949" t="s">
        <v>1068</v>
      </c>
    </row>
    <row r="1950" spans="1:15" x14ac:dyDescent="0.25">
      <c r="A1950" t="s">
        <v>55</v>
      </c>
      <c r="B1950" t="s">
        <v>96</v>
      </c>
      <c r="C1950">
        <v>250</v>
      </c>
      <c r="D1950">
        <v>1000.1</v>
      </c>
      <c r="E1950">
        <v>1</v>
      </c>
      <c r="F1950" t="s">
        <v>23</v>
      </c>
      <c r="G1950" t="s">
        <v>23</v>
      </c>
      <c r="H1950">
        <v>0</v>
      </c>
      <c r="I1950">
        <v>0</v>
      </c>
      <c r="K1950">
        <v>0.72528198700000002</v>
      </c>
      <c r="L1950">
        <v>0</v>
      </c>
      <c r="M1950">
        <v>0.71398037800000003</v>
      </c>
      <c r="N1950">
        <v>0</v>
      </c>
      <c r="O1950" t="s">
        <v>1069</v>
      </c>
    </row>
    <row r="1951" spans="1:15" x14ac:dyDescent="0.25">
      <c r="A1951" t="s">
        <v>55</v>
      </c>
      <c r="B1951" t="s">
        <v>96</v>
      </c>
      <c r="C1951">
        <v>1000</v>
      </c>
      <c r="D1951">
        <v>1400.1</v>
      </c>
      <c r="E1951">
        <v>0.1</v>
      </c>
      <c r="F1951" t="s">
        <v>23</v>
      </c>
      <c r="G1951" t="s">
        <v>23</v>
      </c>
      <c r="H1951">
        <v>0</v>
      </c>
      <c r="I1951">
        <v>0</v>
      </c>
      <c r="K1951">
        <v>0.438600078</v>
      </c>
      <c r="L1951">
        <v>0</v>
      </c>
      <c r="M1951">
        <v>0.43393955000000001</v>
      </c>
      <c r="N1951">
        <v>0</v>
      </c>
      <c r="O1951" t="s">
        <v>1070</v>
      </c>
    </row>
    <row r="1952" spans="1:15" x14ac:dyDescent="0.25">
      <c r="A1952" t="s">
        <v>55</v>
      </c>
      <c r="B1952" t="s">
        <v>96</v>
      </c>
      <c r="C1952">
        <v>1000</v>
      </c>
      <c r="D1952">
        <v>1400.1</v>
      </c>
      <c r="E1952">
        <v>1</v>
      </c>
      <c r="F1952" t="s">
        <v>23</v>
      </c>
      <c r="G1952" t="s">
        <v>23</v>
      </c>
      <c r="H1952">
        <v>0</v>
      </c>
      <c r="I1952">
        <v>0</v>
      </c>
      <c r="K1952">
        <v>0.73114260799999997</v>
      </c>
      <c r="L1952">
        <v>0</v>
      </c>
      <c r="M1952">
        <v>0.71993300599999999</v>
      </c>
      <c r="N1952">
        <v>0</v>
      </c>
      <c r="O1952" t="s">
        <v>1071</v>
      </c>
    </row>
    <row r="1953" spans="1:15" x14ac:dyDescent="0.25">
      <c r="A1953" t="s">
        <v>55</v>
      </c>
      <c r="B1953" t="s">
        <v>96</v>
      </c>
      <c r="C1953">
        <v>1400</v>
      </c>
      <c r="D1953">
        <v>1767</v>
      </c>
      <c r="E1953">
        <v>0.1</v>
      </c>
      <c r="F1953" t="s">
        <v>23</v>
      </c>
      <c r="G1953" t="s">
        <v>23</v>
      </c>
      <c r="H1953">
        <v>0</v>
      </c>
      <c r="I1953">
        <v>0</v>
      </c>
      <c r="K1953">
        <v>0.54056503099999997</v>
      </c>
      <c r="L1953">
        <v>0</v>
      </c>
      <c r="M1953">
        <v>0.53679051499999997</v>
      </c>
      <c r="N1953">
        <v>0</v>
      </c>
      <c r="O1953" t="s">
        <v>1072</v>
      </c>
    </row>
    <row r="1954" spans="1:15" x14ac:dyDescent="0.25">
      <c r="A1954" t="s">
        <v>55</v>
      </c>
      <c r="B1954" t="s">
        <v>96</v>
      </c>
      <c r="C1954">
        <v>1400</v>
      </c>
      <c r="D1954">
        <v>1767</v>
      </c>
      <c r="E1954">
        <v>1</v>
      </c>
      <c r="F1954" t="s">
        <v>23</v>
      </c>
      <c r="G1954" t="s">
        <v>23</v>
      </c>
      <c r="H1954">
        <v>0</v>
      </c>
      <c r="I1954">
        <v>0</v>
      </c>
      <c r="K1954">
        <v>0.79649861099999997</v>
      </c>
      <c r="L1954">
        <v>0</v>
      </c>
      <c r="M1954">
        <v>0.786221379</v>
      </c>
      <c r="N1954">
        <v>0</v>
      </c>
      <c r="O1954" t="s">
        <v>1073</v>
      </c>
    </row>
    <row r="1955" spans="1:15" x14ac:dyDescent="0.25">
      <c r="A1955" t="s">
        <v>55</v>
      </c>
      <c r="B1955" t="s">
        <v>96</v>
      </c>
      <c r="C1955">
        <v>1767</v>
      </c>
      <c r="D1955">
        <v>1767.1</v>
      </c>
      <c r="E1955">
        <v>0.1</v>
      </c>
      <c r="F1955" t="s">
        <v>23</v>
      </c>
      <c r="G1955" t="s">
        <v>23</v>
      </c>
      <c r="H1955">
        <v>0</v>
      </c>
      <c r="I1955">
        <v>0</v>
      </c>
      <c r="K1955">
        <v>0.54056503099999997</v>
      </c>
      <c r="L1955">
        <v>0</v>
      </c>
      <c r="M1955">
        <v>0.53679051499999997</v>
      </c>
      <c r="N1955">
        <v>0</v>
      </c>
      <c r="O1955" t="s">
        <v>1074</v>
      </c>
    </row>
    <row r="1956" spans="1:15" x14ac:dyDescent="0.25">
      <c r="A1956" t="s">
        <v>55</v>
      </c>
      <c r="B1956" t="s">
        <v>96</v>
      </c>
      <c r="C1956">
        <v>1767</v>
      </c>
      <c r="D1956">
        <v>1767.1</v>
      </c>
      <c r="E1956">
        <v>1</v>
      </c>
      <c r="F1956" t="s">
        <v>23</v>
      </c>
      <c r="G1956" t="s">
        <v>23</v>
      </c>
      <c r="H1956">
        <v>0</v>
      </c>
      <c r="I1956">
        <v>0</v>
      </c>
      <c r="K1956">
        <v>0.79649861099999997</v>
      </c>
      <c r="L1956">
        <v>0</v>
      </c>
      <c r="M1956">
        <v>0.786221379</v>
      </c>
      <c r="N1956">
        <v>0</v>
      </c>
      <c r="O1956" t="s">
        <v>1075</v>
      </c>
    </row>
    <row r="1957" spans="1:15" x14ac:dyDescent="0.25">
      <c r="A1957" t="s">
        <v>55</v>
      </c>
      <c r="B1957" t="s">
        <v>97</v>
      </c>
      <c r="C1957">
        <v>-250</v>
      </c>
      <c r="D1957">
        <v>-149.9</v>
      </c>
      <c r="E1957">
        <v>0.1</v>
      </c>
      <c r="F1957" t="s">
        <v>23</v>
      </c>
      <c r="G1957" t="s">
        <v>23</v>
      </c>
      <c r="H1957">
        <v>0</v>
      </c>
      <c r="I1957">
        <v>0</v>
      </c>
      <c r="K1957">
        <v>0.55536480200000005</v>
      </c>
      <c r="L1957">
        <v>0</v>
      </c>
      <c r="M1957">
        <v>0.55057507900000002</v>
      </c>
      <c r="N1957">
        <v>0</v>
      </c>
      <c r="O1957" t="s">
        <v>1056</v>
      </c>
    </row>
    <row r="1958" spans="1:15" x14ac:dyDescent="0.25">
      <c r="A1958" t="s">
        <v>55</v>
      </c>
      <c r="B1958" t="s">
        <v>97</v>
      </c>
      <c r="C1958">
        <v>-250</v>
      </c>
      <c r="D1958">
        <v>-149.9</v>
      </c>
      <c r="E1958">
        <v>1</v>
      </c>
      <c r="F1958" t="s">
        <v>23</v>
      </c>
      <c r="G1958" t="s">
        <v>23</v>
      </c>
      <c r="H1958">
        <v>0</v>
      </c>
      <c r="I1958">
        <v>0</v>
      </c>
      <c r="K1958">
        <v>0.80890141400000004</v>
      </c>
      <c r="L1958">
        <v>0</v>
      </c>
      <c r="M1958">
        <v>0.79569649899999995</v>
      </c>
      <c r="N1958">
        <v>0</v>
      </c>
      <c r="O1958" t="s">
        <v>1057</v>
      </c>
    </row>
    <row r="1959" spans="1:15" x14ac:dyDescent="0.25">
      <c r="A1959" t="s">
        <v>55</v>
      </c>
      <c r="B1959" t="s">
        <v>97</v>
      </c>
      <c r="C1959">
        <v>-150</v>
      </c>
      <c r="D1959">
        <v>0.1</v>
      </c>
      <c r="E1959">
        <v>0.1</v>
      </c>
      <c r="F1959" t="s">
        <v>23</v>
      </c>
      <c r="G1959" t="s">
        <v>23</v>
      </c>
      <c r="H1959">
        <v>0</v>
      </c>
      <c r="I1959">
        <v>0</v>
      </c>
      <c r="K1959">
        <v>0.29307530900000001</v>
      </c>
      <c r="L1959">
        <v>0</v>
      </c>
      <c r="M1959">
        <v>0.28549186100000001</v>
      </c>
      <c r="N1959">
        <v>0</v>
      </c>
      <c r="O1959" t="s">
        <v>1058</v>
      </c>
    </row>
    <row r="1960" spans="1:15" x14ac:dyDescent="0.25">
      <c r="A1960" t="s">
        <v>55</v>
      </c>
      <c r="B1960" t="s">
        <v>97</v>
      </c>
      <c r="C1960">
        <v>-150</v>
      </c>
      <c r="D1960">
        <v>0.1</v>
      </c>
      <c r="E1960">
        <v>1</v>
      </c>
      <c r="F1960" t="s">
        <v>23</v>
      </c>
      <c r="G1960" t="s">
        <v>23</v>
      </c>
      <c r="H1960">
        <v>0</v>
      </c>
      <c r="I1960">
        <v>0</v>
      </c>
      <c r="K1960">
        <v>0.65502346499999997</v>
      </c>
      <c r="L1960">
        <v>0</v>
      </c>
      <c r="M1960">
        <v>0.64148702499999999</v>
      </c>
      <c r="N1960">
        <v>0</v>
      </c>
      <c r="O1960" t="s">
        <v>1059</v>
      </c>
    </row>
    <row r="1961" spans="1:15" x14ac:dyDescent="0.25">
      <c r="A1961" t="s">
        <v>55</v>
      </c>
      <c r="B1961" t="s">
        <v>97</v>
      </c>
      <c r="C1961">
        <v>0</v>
      </c>
      <c r="D1961">
        <v>120.1</v>
      </c>
      <c r="E1961">
        <v>0.1</v>
      </c>
      <c r="F1961" t="s">
        <v>23</v>
      </c>
      <c r="G1961" t="s">
        <v>23</v>
      </c>
      <c r="H1961">
        <v>0</v>
      </c>
      <c r="I1961">
        <v>0</v>
      </c>
      <c r="K1961">
        <v>0.20014928100000001</v>
      </c>
      <c r="L1961">
        <v>0</v>
      </c>
      <c r="M1961">
        <v>0.19650714699999999</v>
      </c>
      <c r="N1961">
        <v>0</v>
      </c>
      <c r="O1961" t="s">
        <v>1060</v>
      </c>
    </row>
    <row r="1962" spans="1:15" x14ac:dyDescent="0.25">
      <c r="A1962" t="s">
        <v>55</v>
      </c>
      <c r="B1962" t="s">
        <v>97</v>
      </c>
      <c r="C1962">
        <v>0</v>
      </c>
      <c r="D1962">
        <v>120.1</v>
      </c>
      <c r="E1962">
        <v>1</v>
      </c>
      <c r="F1962" t="s">
        <v>23</v>
      </c>
      <c r="G1962" t="s">
        <v>23</v>
      </c>
      <c r="H1962">
        <v>0</v>
      </c>
      <c r="I1962">
        <v>0</v>
      </c>
      <c r="K1962">
        <v>0.61187724499999996</v>
      </c>
      <c r="L1962">
        <v>0</v>
      </c>
      <c r="M1962">
        <v>0.60713677099999996</v>
      </c>
      <c r="N1962">
        <v>0</v>
      </c>
      <c r="O1962" t="s">
        <v>1061</v>
      </c>
    </row>
    <row r="1963" spans="1:15" x14ac:dyDescent="0.25">
      <c r="A1963" t="s">
        <v>55</v>
      </c>
      <c r="B1963" t="s">
        <v>97</v>
      </c>
      <c r="C1963">
        <v>120</v>
      </c>
      <c r="D1963">
        <v>400</v>
      </c>
      <c r="E1963">
        <v>0.1</v>
      </c>
      <c r="F1963" t="s">
        <v>23</v>
      </c>
      <c r="G1963" t="s">
        <v>23</v>
      </c>
      <c r="H1963">
        <v>0</v>
      </c>
      <c r="I1963">
        <v>0</v>
      </c>
      <c r="K1963">
        <v>0.17895368</v>
      </c>
      <c r="L1963">
        <v>0</v>
      </c>
      <c r="M1963">
        <v>0.17487064799999999</v>
      </c>
      <c r="N1963">
        <v>0</v>
      </c>
      <c r="O1963" t="s">
        <v>1062</v>
      </c>
    </row>
    <row r="1964" spans="1:15" x14ac:dyDescent="0.25">
      <c r="A1964" t="s">
        <v>55</v>
      </c>
      <c r="B1964" t="s">
        <v>97</v>
      </c>
      <c r="C1964">
        <v>120</v>
      </c>
      <c r="D1964">
        <v>400</v>
      </c>
      <c r="E1964">
        <v>1</v>
      </c>
      <c r="F1964" t="s">
        <v>23</v>
      </c>
      <c r="G1964" t="s">
        <v>23</v>
      </c>
      <c r="H1964">
        <v>0</v>
      </c>
      <c r="I1964">
        <v>0</v>
      </c>
      <c r="K1964">
        <v>0.60527551300000004</v>
      </c>
      <c r="L1964">
        <v>0</v>
      </c>
      <c r="M1964">
        <v>0.600482925</v>
      </c>
      <c r="N1964">
        <v>0</v>
      </c>
      <c r="O1964" t="s">
        <v>1063</v>
      </c>
    </row>
    <row r="1965" spans="1:15" x14ac:dyDescent="0.25">
      <c r="A1965" t="s">
        <v>55</v>
      </c>
      <c r="B1965" t="s">
        <v>97</v>
      </c>
      <c r="C1965">
        <v>400</v>
      </c>
      <c r="D1965">
        <v>400.1</v>
      </c>
      <c r="E1965">
        <v>0.1</v>
      </c>
      <c r="F1965" t="s">
        <v>23</v>
      </c>
      <c r="G1965" t="s">
        <v>23</v>
      </c>
      <c r="H1965">
        <v>0</v>
      </c>
      <c r="I1965">
        <v>0</v>
      </c>
      <c r="K1965">
        <v>0.17895368</v>
      </c>
      <c r="L1965">
        <v>0</v>
      </c>
      <c r="M1965">
        <v>0.17487064799999999</v>
      </c>
      <c r="N1965">
        <v>0</v>
      </c>
      <c r="O1965" t="s">
        <v>1064</v>
      </c>
    </row>
    <row r="1966" spans="1:15" x14ac:dyDescent="0.25">
      <c r="A1966" t="s">
        <v>55</v>
      </c>
      <c r="B1966" t="s">
        <v>97</v>
      </c>
      <c r="C1966">
        <v>400</v>
      </c>
      <c r="D1966">
        <v>400.1</v>
      </c>
      <c r="E1966">
        <v>1</v>
      </c>
      <c r="F1966" t="s">
        <v>23</v>
      </c>
      <c r="G1966" t="s">
        <v>23</v>
      </c>
      <c r="H1966">
        <v>0</v>
      </c>
      <c r="I1966">
        <v>0</v>
      </c>
      <c r="K1966">
        <v>0.60527551300000004</v>
      </c>
      <c r="L1966">
        <v>0</v>
      </c>
      <c r="M1966">
        <v>0.600482925</v>
      </c>
      <c r="N1966">
        <v>0</v>
      </c>
      <c r="O1966" t="s">
        <v>1065</v>
      </c>
    </row>
    <row r="1967" spans="1:15" x14ac:dyDescent="0.25">
      <c r="A1967" t="s">
        <v>55</v>
      </c>
      <c r="B1967" t="s">
        <v>46</v>
      </c>
      <c r="C1967">
        <v>0</v>
      </c>
      <c r="D1967">
        <v>3.3000999999999999E-4</v>
      </c>
      <c r="E1967">
        <v>1.0000000000000001E-9</v>
      </c>
      <c r="F1967" t="s">
        <v>13</v>
      </c>
      <c r="G1967" t="s">
        <v>11</v>
      </c>
      <c r="H1967">
        <v>0</v>
      </c>
      <c r="I1967">
        <v>0</v>
      </c>
      <c r="K1967">
        <v>2.4E-2</v>
      </c>
      <c r="L1967">
        <v>180</v>
      </c>
      <c r="M1967">
        <v>2.3106999999999999E-2</v>
      </c>
      <c r="N1967">
        <v>175.06</v>
      </c>
      <c r="O1967" t="s">
        <v>1015</v>
      </c>
    </row>
    <row r="1968" spans="1:15" x14ac:dyDescent="0.25">
      <c r="A1968" t="s">
        <v>55</v>
      </c>
      <c r="B1968" t="s">
        <v>46</v>
      </c>
      <c r="C1968">
        <v>0</v>
      </c>
      <c r="D1968">
        <v>3.3000999999999999E-4</v>
      </c>
      <c r="E1968">
        <v>1E-8</v>
      </c>
      <c r="F1968" t="s">
        <v>13</v>
      </c>
      <c r="G1968" t="s">
        <v>11</v>
      </c>
      <c r="H1968">
        <v>0</v>
      </c>
      <c r="I1968">
        <v>0</v>
      </c>
      <c r="K1968">
        <v>2.4E-2</v>
      </c>
      <c r="L1968">
        <v>173.53</v>
      </c>
      <c r="M1968">
        <v>2.3813999999999998E-2</v>
      </c>
      <c r="N1968">
        <v>173.54</v>
      </c>
      <c r="O1968" t="s">
        <v>1016</v>
      </c>
    </row>
    <row r="1969" spans="1:15" x14ac:dyDescent="0.25">
      <c r="A1969" t="s">
        <v>55</v>
      </c>
      <c r="B1969" t="s">
        <v>46</v>
      </c>
      <c r="C1969">
        <v>0</v>
      </c>
      <c r="D1969">
        <v>3.3000999999999999E-4</v>
      </c>
      <c r="E1969">
        <v>9.9999999999999995E-8</v>
      </c>
      <c r="F1969" t="s">
        <v>13</v>
      </c>
      <c r="G1969" t="s">
        <v>11</v>
      </c>
      <c r="H1969">
        <v>0</v>
      </c>
      <c r="I1969">
        <v>0</v>
      </c>
      <c r="K1969">
        <v>6.2453000000000002E-2</v>
      </c>
      <c r="L1969">
        <v>113</v>
      </c>
      <c r="M1969">
        <v>6.2384000000000002E-2</v>
      </c>
      <c r="N1969">
        <v>113</v>
      </c>
      <c r="O1969" t="s">
        <v>1017</v>
      </c>
    </row>
    <row r="1970" spans="1:15" x14ac:dyDescent="0.25">
      <c r="A1970" t="s">
        <v>55</v>
      </c>
      <c r="B1970" t="s">
        <v>46</v>
      </c>
      <c r="C1970">
        <v>0</v>
      </c>
      <c r="D1970">
        <v>3.3000999999999999E-4</v>
      </c>
      <c r="E1970">
        <v>9.9999999999999995E-7</v>
      </c>
      <c r="F1970" t="s">
        <v>13</v>
      </c>
      <c r="G1970" t="s">
        <v>11</v>
      </c>
      <c r="H1970">
        <v>0</v>
      </c>
      <c r="I1970">
        <v>0</v>
      </c>
      <c r="K1970">
        <v>0.58048</v>
      </c>
      <c r="L1970">
        <v>15.8</v>
      </c>
      <c r="M1970">
        <v>0.58045000000000002</v>
      </c>
      <c r="N1970">
        <v>15.6</v>
      </c>
      <c r="O1970" t="s">
        <v>1018</v>
      </c>
    </row>
    <row r="1971" spans="1:15" x14ac:dyDescent="0.25">
      <c r="A1971" t="s">
        <v>55</v>
      </c>
      <c r="B1971" t="s">
        <v>46</v>
      </c>
      <c r="C1971">
        <v>0</v>
      </c>
      <c r="D1971">
        <v>3.3000999999999999E-4</v>
      </c>
      <c r="E1971">
        <v>1.0000000000000001E-5</v>
      </c>
      <c r="F1971" t="s">
        <v>13</v>
      </c>
      <c r="G1971" t="s">
        <v>11</v>
      </c>
      <c r="H1971">
        <v>0</v>
      </c>
      <c r="I1971">
        <v>0</v>
      </c>
      <c r="K1971">
        <v>5.8000999999999996</v>
      </c>
      <c r="L1971">
        <v>1.6500999999999999</v>
      </c>
      <c r="M1971">
        <v>5.8000999999999996</v>
      </c>
      <c r="N1971">
        <v>1.5718000000000001</v>
      </c>
      <c r="O1971" t="s">
        <v>1019</v>
      </c>
    </row>
    <row r="1972" spans="1:15" x14ac:dyDescent="0.25">
      <c r="A1972" t="s">
        <v>55</v>
      </c>
      <c r="B1972" t="s">
        <v>46</v>
      </c>
      <c r="C1972">
        <v>0</v>
      </c>
      <c r="D1972">
        <v>3.3000999999999999E-4</v>
      </c>
      <c r="E1972">
        <v>1E-4</v>
      </c>
      <c r="F1972" t="s">
        <v>13</v>
      </c>
      <c r="G1972" t="s">
        <v>11</v>
      </c>
      <c r="H1972">
        <v>0</v>
      </c>
      <c r="I1972">
        <v>0</v>
      </c>
      <c r="K1972">
        <v>58</v>
      </c>
      <c r="L1972">
        <v>0.18851999999999999</v>
      </c>
      <c r="M1972">
        <v>58</v>
      </c>
      <c r="N1972">
        <v>0.15719</v>
      </c>
      <c r="O1972" t="s">
        <v>1020</v>
      </c>
    </row>
    <row r="1973" spans="1:15" x14ac:dyDescent="0.25">
      <c r="A1973" t="s">
        <v>55</v>
      </c>
      <c r="B1973" t="s">
        <v>46</v>
      </c>
      <c r="C1973">
        <v>0</v>
      </c>
      <c r="D1973">
        <v>3.3000999999999999E-4</v>
      </c>
      <c r="E1973">
        <v>1E-3</v>
      </c>
      <c r="F1973" t="s">
        <v>13</v>
      </c>
      <c r="G1973" t="s">
        <v>11</v>
      </c>
      <c r="H1973">
        <v>0</v>
      </c>
      <c r="I1973">
        <v>0</v>
      </c>
      <c r="K1973">
        <v>580</v>
      </c>
      <c r="L1973">
        <v>2.8251999999999999E-2</v>
      </c>
      <c r="M1973">
        <v>580</v>
      </c>
      <c r="N1973">
        <v>1.5719E-2</v>
      </c>
      <c r="O1973" t="s">
        <v>1021</v>
      </c>
    </row>
    <row r="1974" spans="1:15" x14ac:dyDescent="0.25">
      <c r="A1974" t="s">
        <v>55</v>
      </c>
      <c r="B1974" t="s">
        <v>46</v>
      </c>
      <c r="C1974">
        <v>0</v>
      </c>
      <c r="D1974">
        <v>3.3000999999999999E-4</v>
      </c>
      <c r="E1974">
        <v>0.01</v>
      </c>
      <c r="F1974" t="s">
        <v>13</v>
      </c>
      <c r="G1974" t="s">
        <v>12</v>
      </c>
      <c r="H1974">
        <v>0</v>
      </c>
      <c r="I1974">
        <v>0</v>
      </c>
      <c r="K1974">
        <v>5.8</v>
      </c>
      <c r="L1974">
        <v>6.5850999999999999E-6</v>
      </c>
      <c r="M1974">
        <v>5.8</v>
      </c>
      <c r="N1974">
        <v>1.5718999999999999E-6</v>
      </c>
      <c r="O1974" t="s">
        <v>1022</v>
      </c>
    </row>
    <row r="1975" spans="1:15" x14ac:dyDescent="0.25">
      <c r="A1975" t="s">
        <v>55</v>
      </c>
      <c r="B1975" t="s">
        <v>46</v>
      </c>
      <c r="C1975">
        <v>0</v>
      </c>
      <c r="D1975">
        <v>3.3000999999999999E-4</v>
      </c>
      <c r="E1975">
        <v>0.1</v>
      </c>
      <c r="F1975" t="s">
        <v>13</v>
      </c>
      <c r="G1975" t="s">
        <v>12</v>
      </c>
      <c r="H1975">
        <v>0</v>
      </c>
      <c r="I1975">
        <v>0</v>
      </c>
      <c r="K1975">
        <v>58</v>
      </c>
      <c r="L1975">
        <v>2.1625E-6</v>
      </c>
      <c r="M1975">
        <v>58</v>
      </c>
      <c r="N1975">
        <v>1.572E-7</v>
      </c>
      <c r="O1975" t="s">
        <v>1023</v>
      </c>
    </row>
    <row r="1976" spans="1:15" x14ac:dyDescent="0.25">
      <c r="A1976" t="s">
        <v>55</v>
      </c>
      <c r="B1976" t="s">
        <v>46</v>
      </c>
      <c r="C1976">
        <v>3.3E-4</v>
      </c>
      <c r="D1976">
        <v>3.3000999999999998E-3</v>
      </c>
      <c r="E1976">
        <v>1E-8</v>
      </c>
      <c r="F1976" t="s">
        <v>13</v>
      </c>
      <c r="G1976" t="s">
        <v>11</v>
      </c>
      <c r="H1976">
        <v>0</v>
      </c>
      <c r="I1976">
        <v>0</v>
      </c>
      <c r="K1976">
        <v>6.8000000000000005E-2</v>
      </c>
      <c r="L1976">
        <v>150</v>
      </c>
      <c r="M1976">
        <v>5.7598000000000003E-2</v>
      </c>
      <c r="N1976">
        <v>152.88999999999999</v>
      </c>
      <c r="O1976" t="s">
        <v>1024</v>
      </c>
    </row>
    <row r="1977" spans="1:15" x14ac:dyDescent="0.25">
      <c r="A1977" t="s">
        <v>55</v>
      </c>
      <c r="B1977" t="s">
        <v>46</v>
      </c>
      <c r="C1977">
        <v>3.3E-4</v>
      </c>
      <c r="D1977">
        <v>3.3000999999999998E-3</v>
      </c>
      <c r="E1977">
        <v>9.9999999999999995E-8</v>
      </c>
      <c r="F1977" t="s">
        <v>13</v>
      </c>
      <c r="G1977" t="s">
        <v>11</v>
      </c>
      <c r="H1977">
        <v>0</v>
      </c>
      <c r="I1977">
        <v>0</v>
      </c>
      <c r="K1977">
        <v>7.6187000000000005E-2</v>
      </c>
      <c r="L1977">
        <v>148.47</v>
      </c>
      <c r="M1977">
        <v>7.3319999999999996E-2</v>
      </c>
      <c r="N1977">
        <v>149.02000000000001</v>
      </c>
      <c r="O1977" t="s">
        <v>1025</v>
      </c>
    </row>
    <row r="1978" spans="1:15" x14ac:dyDescent="0.25">
      <c r="A1978" t="s">
        <v>55</v>
      </c>
      <c r="B1978" t="s">
        <v>46</v>
      </c>
      <c r="C1978">
        <v>3.3E-4</v>
      </c>
      <c r="D1978">
        <v>3.3000999999999998E-3</v>
      </c>
      <c r="E1978">
        <v>9.9999999999999995E-7</v>
      </c>
      <c r="F1978" t="s">
        <v>13</v>
      </c>
      <c r="G1978" t="s">
        <v>11</v>
      </c>
      <c r="H1978">
        <v>0</v>
      </c>
      <c r="I1978">
        <v>0</v>
      </c>
      <c r="K1978">
        <v>0.56791999999999998</v>
      </c>
      <c r="L1978">
        <v>73.551000000000002</v>
      </c>
      <c r="M1978">
        <v>0.56576000000000004</v>
      </c>
      <c r="N1978">
        <v>73.311999999999998</v>
      </c>
      <c r="O1978" t="s">
        <v>1026</v>
      </c>
    </row>
    <row r="1979" spans="1:15" x14ac:dyDescent="0.25">
      <c r="A1979" t="s">
        <v>55</v>
      </c>
      <c r="B1979" t="s">
        <v>46</v>
      </c>
      <c r="C1979">
        <v>3.3E-4</v>
      </c>
      <c r="D1979">
        <v>3.3000999999999998E-3</v>
      </c>
      <c r="E1979">
        <v>1.0000000000000001E-5</v>
      </c>
      <c r="F1979" t="s">
        <v>13</v>
      </c>
      <c r="G1979" t="s">
        <v>11</v>
      </c>
      <c r="H1979">
        <v>0</v>
      </c>
      <c r="I1979">
        <v>0</v>
      </c>
      <c r="K1979">
        <v>5.7988999999999997</v>
      </c>
      <c r="L1979">
        <v>9.0556999999999999</v>
      </c>
      <c r="M1979">
        <v>5.7980999999999998</v>
      </c>
      <c r="N1979">
        <v>8.8116000000000003</v>
      </c>
      <c r="O1979" t="s">
        <v>1027</v>
      </c>
    </row>
    <row r="1980" spans="1:15" x14ac:dyDescent="0.25">
      <c r="A1980" t="s">
        <v>55</v>
      </c>
      <c r="B1980" t="s">
        <v>46</v>
      </c>
      <c r="C1980">
        <v>3.3E-4</v>
      </c>
      <c r="D1980">
        <v>3.3000999999999998E-3</v>
      </c>
      <c r="E1980">
        <v>1E-4</v>
      </c>
      <c r="F1980" t="s">
        <v>13</v>
      </c>
      <c r="G1980" t="s">
        <v>11</v>
      </c>
      <c r="H1980">
        <v>0</v>
      </c>
      <c r="I1980">
        <v>0</v>
      </c>
      <c r="K1980">
        <v>58</v>
      </c>
      <c r="L1980">
        <v>0.98192000000000002</v>
      </c>
      <c r="M1980">
        <v>58</v>
      </c>
      <c r="N1980">
        <v>0.88327999999999995</v>
      </c>
      <c r="O1980" t="s">
        <v>1028</v>
      </c>
    </row>
    <row r="1981" spans="1:15" x14ac:dyDescent="0.25">
      <c r="A1981" t="s">
        <v>55</v>
      </c>
      <c r="B1981" t="s">
        <v>46</v>
      </c>
      <c r="C1981">
        <v>3.3E-3</v>
      </c>
      <c r="D1981">
        <v>3.3001000000000003E-2</v>
      </c>
      <c r="E1981">
        <v>9.9999999999999995E-8</v>
      </c>
      <c r="F1981" t="s">
        <v>13</v>
      </c>
      <c r="G1981" t="s">
        <v>11</v>
      </c>
      <c r="H1981">
        <v>0</v>
      </c>
      <c r="I1981">
        <v>0</v>
      </c>
      <c r="K1981">
        <v>0.21</v>
      </c>
      <c r="L1981">
        <v>150</v>
      </c>
      <c r="M1981">
        <v>0.20100000000000001</v>
      </c>
      <c r="N1981">
        <v>145.79</v>
      </c>
      <c r="O1981" t="s">
        <v>1029</v>
      </c>
    </row>
    <row r="1982" spans="1:15" x14ac:dyDescent="0.25">
      <c r="A1982" t="s">
        <v>55</v>
      </c>
      <c r="B1982" t="s">
        <v>46</v>
      </c>
      <c r="C1982">
        <v>3.3E-3</v>
      </c>
      <c r="D1982">
        <v>3.3001000000000003E-2</v>
      </c>
      <c r="E1982">
        <v>9.9999999999999995E-7</v>
      </c>
      <c r="F1982" t="s">
        <v>13</v>
      </c>
      <c r="G1982" t="s">
        <v>11</v>
      </c>
      <c r="H1982">
        <v>0</v>
      </c>
      <c r="I1982">
        <v>0</v>
      </c>
      <c r="K1982">
        <v>0.44201000000000001</v>
      </c>
      <c r="L1982">
        <v>139.58000000000001</v>
      </c>
      <c r="M1982">
        <v>0.43215999999999999</v>
      </c>
      <c r="N1982">
        <v>139.79</v>
      </c>
      <c r="O1982" t="s">
        <v>1030</v>
      </c>
    </row>
    <row r="1983" spans="1:15" x14ac:dyDescent="0.25">
      <c r="A1983" t="s">
        <v>55</v>
      </c>
      <c r="B1983" t="s">
        <v>46</v>
      </c>
      <c r="C1983">
        <v>3.3E-3</v>
      </c>
      <c r="D1983">
        <v>3.3001000000000003E-2</v>
      </c>
      <c r="E1983">
        <v>1.0000000000000001E-5</v>
      </c>
      <c r="F1983" t="s">
        <v>13</v>
      </c>
      <c r="G1983" t="s">
        <v>11</v>
      </c>
      <c r="H1983">
        <v>0</v>
      </c>
      <c r="I1983">
        <v>0</v>
      </c>
      <c r="K1983">
        <v>5.6421999999999999</v>
      </c>
      <c r="L1983">
        <v>61.543999999999997</v>
      </c>
      <c r="M1983">
        <v>5.6368999999999998</v>
      </c>
      <c r="N1983">
        <v>61.47</v>
      </c>
      <c r="O1983" t="s">
        <v>1031</v>
      </c>
    </row>
    <row r="1984" spans="1:15" x14ac:dyDescent="0.25">
      <c r="A1984" t="s">
        <v>55</v>
      </c>
      <c r="B1984" t="s">
        <v>46</v>
      </c>
      <c r="C1984">
        <v>3.3E-3</v>
      </c>
      <c r="D1984">
        <v>3.3001000000000003E-2</v>
      </c>
      <c r="E1984">
        <v>1E-4</v>
      </c>
      <c r="F1984" t="s">
        <v>13</v>
      </c>
      <c r="G1984" t="s">
        <v>11</v>
      </c>
      <c r="H1984">
        <v>0</v>
      </c>
      <c r="I1984">
        <v>0</v>
      </c>
      <c r="K1984">
        <v>57.982999999999997</v>
      </c>
      <c r="L1984">
        <v>7.2053000000000003</v>
      </c>
      <c r="M1984">
        <v>57.981000000000002</v>
      </c>
      <c r="N1984">
        <v>7.1429999999999998</v>
      </c>
      <c r="O1984" t="s">
        <v>1032</v>
      </c>
    </row>
    <row r="1985" spans="1:15" x14ac:dyDescent="0.25">
      <c r="A1985" t="s">
        <v>55</v>
      </c>
      <c r="B1985" t="s">
        <v>46</v>
      </c>
      <c r="C1985">
        <v>3.3E-3</v>
      </c>
      <c r="D1985">
        <v>3.3001000000000003E-2</v>
      </c>
      <c r="E1985">
        <v>1E-3</v>
      </c>
      <c r="F1985" t="s">
        <v>13</v>
      </c>
      <c r="G1985" t="s">
        <v>11</v>
      </c>
      <c r="H1985">
        <v>0</v>
      </c>
      <c r="I1985">
        <v>0</v>
      </c>
      <c r="K1985">
        <v>580</v>
      </c>
      <c r="L1985">
        <v>0.74075999999999997</v>
      </c>
      <c r="M1985">
        <v>580</v>
      </c>
      <c r="N1985">
        <v>0.71564000000000005</v>
      </c>
      <c r="O1985" t="s">
        <v>1033</v>
      </c>
    </row>
    <row r="1986" spans="1:15" x14ac:dyDescent="0.25">
      <c r="A1986" t="s">
        <v>55</v>
      </c>
      <c r="B1986" t="s">
        <v>46</v>
      </c>
      <c r="C1986">
        <v>3.3000000000000002E-2</v>
      </c>
      <c r="D1986">
        <v>0.33001000000000003</v>
      </c>
      <c r="E1986">
        <v>9.9999999999999995E-7</v>
      </c>
      <c r="F1986" t="s">
        <v>13</v>
      </c>
      <c r="G1986" t="s">
        <v>11</v>
      </c>
      <c r="H1986">
        <v>0</v>
      </c>
      <c r="I1986">
        <v>0</v>
      </c>
      <c r="K1986">
        <v>3</v>
      </c>
      <c r="L1986">
        <v>120</v>
      </c>
      <c r="M1986">
        <v>2.9413999999999998</v>
      </c>
      <c r="N1986">
        <v>115.33</v>
      </c>
      <c r="O1986" t="s">
        <v>1034</v>
      </c>
    </row>
    <row r="1987" spans="1:15" x14ac:dyDescent="0.25">
      <c r="A1987" t="s">
        <v>55</v>
      </c>
      <c r="B1987" t="s">
        <v>46</v>
      </c>
      <c r="C1987">
        <v>3.3000000000000002E-2</v>
      </c>
      <c r="D1987">
        <v>0.33001000000000003</v>
      </c>
      <c r="E1987">
        <v>1.0000000000000001E-5</v>
      </c>
      <c r="F1987" t="s">
        <v>13</v>
      </c>
      <c r="G1987" t="s">
        <v>11</v>
      </c>
      <c r="H1987">
        <v>0</v>
      </c>
      <c r="I1987">
        <v>0</v>
      </c>
      <c r="K1987">
        <v>5.2853000000000003</v>
      </c>
      <c r="L1987">
        <v>109.48</v>
      </c>
      <c r="M1987">
        <v>5.266</v>
      </c>
      <c r="N1987">
        <v>109.51</v>
      </c>
      <c r="O1987" t="s">
        <v>1035</v>
      </c>
    </row>
    <row r="1988" spans="1:15" x14ac:dyDescent="0.25">
      <c r="A1988" t="s">
        <v>55</v>
      </c>
      <c r="B1988" t="s">
        <v>46</v>
      </c>
      <c r="C1988">
        <v>3.3000000000000002E-2</v>
      </c>
      <c r="D1988">
        <v>0.33001000000000003</v>
      </c>
      <c r="E1988">
        <v>1E-4</v>
      </c>
      <c r="F1988" t="s">
        <v>13</v>
      </c>
      <c r="G1988" t="s">
        <v>11</v>
      </c>
      <c r="H1988">
        <v>0</v>
      </c>
      <c r="I1988">
        <v>0</v>
      </c>
      <c r="K1988">
        <v>56.994999999999997</v>
      </c>
      <c r="L1988">
        <v>42.585000000000001</v>
      </c>
      <c r="M1988">
        <v>56.984000000000002</v>
      </c>
      <c r="N1988">
        <v>42.551000000000002</v>
      </c>
      <c r="O1988" t="s">
        <v>1036</v>
      </c>
    </row>
    <row r="1989" spans="1:15" x14ac:dyDescent="0.25">
      <c r="A1989" t="s">
        <v>55</v>
      </c>
      <c r="B1989" t="s">
        <v>46</v>
      </c>
      <c r="C1989">
        <v>3.3000000000000002E-2</v>
      </c>
      <c r="D1989">
        <v>0.33001000000000003</v>
      </c>
      <c r="E1989">
        <v>1E-3</v>
      </c>
      <c r="F1989" t="s">
        <v>13</v>
      </c>
      <c r="G1989" t="s">
        <v>11</v>
      </c>
      <c r="H1989">
        <v>0</v>
      </c>
      <c r="I1989">
        <v>0</v>
      </c>
      <c r="K1989">
        <v>579.89</v>
      </c>
      <c r="L1989">
        <v>4.7610000000000001</v>
      </c>
      <c r="M1989">
        <v>579.88</v>
      </c>
      <c r="N1989">
        <v>4.7411000000000003</v>
      </c>
      <c r="O1989" t="s">
        <v>1037</v>
      </c>
    </row>
    <row r="1990" spans="1:15" x14ac:dyDescent="0.25">
      <c r="A1990" t="s">
        <v>55</v>
      </c>
      <c r="B1990" t="s">
        <v>46</v>
      </c>
      <c r="C1990">
        <v>3.3000000000000002E-2</v>
      </c>
      <c r="D1990">
        <v>0.33001000000000003</v>
      </c>
      <c r="E1990">
        <v>0.01</v>
      </c>
      <c r="F1990" t="s">
        <v>13</v>
      </c>
      <c r="G1990" t="s">
        <v>11</v>
      </c>
      <c r="H1990">
        <v>0</v>
      </c>
      <c r="I1990">
        <v>0</v>
      </c>
      <c r="K1990">
        <v>5800</v>
      </c>
      <c r="L1990">
        <v>0.48270000000000002</v>
      </c>
      <c r="M1990">
        <v>5800</v>
      </c>
      <c r="N1990">
        <v>0.47471000000000002</v>
      </c>
      <c r="O1990" t="s">
        <v>1038</v>
      </c>
    </row>
    <row r="1991" spans="1:15" x14ac:dyDescent="0.25">
      <c r="A1991" t="s">
        <v>55</v>
      </c>
      <c r="B1991" t="s">
        <v>46</v>
      </c>
      <c r="C1991">
        <v>0.33</v>
      </c>
      <c r="D1991">
        <v>3.0001000000000002</v>
      </c>
      <c r="E1991">
        <v>1.0000000000000001E-5</v>
      </c>
      <c r="F1991" t="s">
        <v>13</v>
      </c>
      <c r="G1991" t="s">
        <v>12</v>
      </c>
      <c r="H1991">
        <v>0</v>
      </c>
      <c r="I1991">
        <v>0</v>
      </c>
      <c r="K1991">
        <v>5.1999999999999998E-2</v>
      </c>
      <c r="L1991">
        <v>0.44</v>
      </c>
      <c r="M1991">
        <v>5.0999999999999997E-2</v>
      </c>
      <c r="N1991">
        <v>0.43873000000000001</v>
      </c>
      <c r="O1991" t="s">
        <v>1039</v>
      </c>
    </row>
    <row r="1992" spans="1:15" x14ac:dyDescent="0.25">
      <c r="A1992" t="s">
        <v>55</v>
      </c>
      <c r="B1992" t="s">
        <v>46</v>
      </c>
      <c r="C1992">
        <v>0.33</v>
      </c>
      <c r="D1992">
        <v>3.0001000000000002</v>
      </c>
      <c r="E1992">
        <v>1E-4</v>
      </c>
      <c r="F1992" t="s">
        <v>13</v>
      </c>
      <c r="G1992" t="s">
        <v>12</v>
      </c>
      <c r="H1992">
        <v>0</v>
      </c>
      <c r="I1992">
        <v>0</v>
      </c>
      <c r="K1992">
        <v>6.0248999999999997E-2</v>
      </c>
      <c r="L1992">
        <v>0.43614000000000003</v>
      </c>
      <c r="M1992">
        <v>6.0204000000000001E-2</v>
      </c>
      <c r="N1992">
        <v>0.43607000000000001</v>
      </c>
      <c r="O1992" t="s">
        <v>1040</v>
      </c>
    </row>
    <row r="1993" spans="1:15" x14ac:dyDescent="0.25">
      <c r="A1993" t="s">
        <v>55</v>
      </c>
      <c r="B1993" t="s">
        <v>46</v>
      </c>
      <c r="C1993">
        <v>0.33</v>
      </c>
      <c r="D1993">
        <v>3.0001000000000002</v>
      </c>
      <c r="E1993">
        <v>1E-3</v>
      </c>
      <c r="F1993" t="s">
        <v>13</v>
      </c>
      <c r="G1993" t="s">
        <v>12</v>
      </c>
      <c r="H1993">
        <v>0</v>
      </c>
      <c r="I1993">
        <v>0</v>
      </c>
      <c r="K1993">
        <v>0.50421000000000005</v>
      </c>
      <c r="L1993">
        <v>0.32729000000000003</v>
      </c>
      <c r="M1993">
        <v>0.50424000000000002</v>
      </c>
      <c r="N1993">
        <v>0.32695999999999997</v>
      </c>
      <c r="O1993" t="s">
        <v>1041</v>
      </c>
    </row>
    <row r="1994" spans="1:15" x14ac:dyDescent="0.25">
      <c r="A1994" t="s">
        <v>55</v>
      </c>
      <c r="B1994" t="s">
        <v>46</v>
      </c>
      <c r="C1994">
        <v>0.33</v>
      </c>
      <c r="D1994">
        <v>3.0001000000000002</v>
      </c>
      <c r="E1994">
        <v>0.01</v>
      </c>
      <c r="F1994" t="s">
        <v>13</v>
      </c>
      <c r="G1994" t="s">
        <v>12</v>
      </c>
      <c r="H1994">
        <v>0</v>
      </c>
      <c r="I1994">
        <v>0</v>
      </c>
      <c r="K1994">
        <v>5.7839999999999998</v>
      </c>
      <c r="L1994">
        <v>5.8643000000000001E-2</v>
      </c>
      <c r="M1994">
        <v>5.7840999999999996</v>
      </c>
      <c r="N1994">
        <v>5.8298999999999997E-2</v>
      </c>
      <c r="O1994" t="s">
        <v>1042</v>
      </c>
    </row>
    <row r="1995" spans="1:15" x14ac:dyDescent="0.25">
      <c r="A1995" t="s">
        <v>55</v>
      </c>
      <c r="B1995" t="s">
        <v>46</v>
      </c>
      <c r="C1995">
        <v>0.33</v>
      </c>
      <c r="D1995">
        <v>3.0001000000000002</v>
      </c>
      <c r="E1995">
        <v>0.1</v>
      </c>
      <c r="F1995" t="s">
        <v>13</v>
      </c>
      <c r="G1995" t="s">
        <v>12</v>
      </c>
      <c r="H1995">
        <v>0</v>
      </c>
      <c r="I1995">
        <v>0</v>
      </c>
      <c r="K1995">
        <v>57.997999999999998</v>
      </c>
      <c r="L1995">
        <v>6.0523E-3</v>
      </c>
      <c r="M1995">
        <v>57.997999999999998</v>
      </c>
      <c r="N1995">
        <v>5.9106000000000002E-3</v>
      </c>
      <c r="O1995" t="s">
        <v>1043</v>
      </c>
    </row>
    <row r="1996" spans="1:15" x14ac:dyDescent="0.25">
      <c r="A1996" t="s">
        <v>55</v>
      </c>
      <c r="B1996" t="s">
        <v>46</v>
      </c>
      <c r="C1996">
        <v>3</v>
      </c>
      <c r="D1996">
        <v>11.000999999999999</v>
      </c>
      <c r="E1996">
        <v>1E-4</v>
      </c>
      <c r="F1996" t="s">
        <v>13</v>
      </c>
      <c r="G1996" t="s">
        <v>12</v>
      </c>
      <c r="H1996">
        <v>0</v>
      </c>
      <c r="I1996">
        <v>0</v>
      </c>
      <c r="K1996">
        <v>-2.4E-2</v>
      </c>
      <c r="L1996">
        <v>0.92</v>
      </c>
      <c r="M1996">
        <v>-2.4618999999999999E-2</v>
      </c>
      <c r="N1996">
        <v>0.91522999999999999</v>
      </c>
      <c r="O1996" t="s">
        <v>1044</v>
      </c>
    </row>
    <row r="1997" spans="1:15" x14ac:dyDescent="0.25">
      <c r="A1997" t="s">
        <v>55</v>
      </c>
      <c r="B1997" t="s">
        <v>46</v>
      </c>
      <c r="C1997">
        <v>3</v>
      </c>
      <c r="D1997">
        <v>11.000999999999999</v>
      </c>
      <c r="E1997">
        <v>1E-3</v>
      </c>
      <c r="F1997" t="s">
        <v>13</v>
      </c>
      <c r="G1997" t="s">
        <v>12</v>
      </c>
      <c r="H1997">
        <v>0</v>
      </c>
      <c r="I1997">
        <v>0</v>
      </c>
      <c r="K1997">
        <v>5.5271000000000001E-2</v>
      </c>
      <c r="L1997">
        <v>0.90973000000000004</v>
      </c>
      <c r="M1997">
        <v>5.2344000000000002E-2</v>
      </c>
      <c r="N1997">
        <v>0.90973999999999999</v>
      </c>
      <c r="O1997" t="s">
        <v>1045</v>
      </c>
    </row>
    <row r="1998" spans="1:15" x14ac:dyDescent="0.25">
      <c r="A1998" t="s">
        <v>55</v>
      </c>
      <c r="B1998" t="s">
        <v>46</v>
      </c>
      <c r="C1998">
        <v>3</v>
      </c>
      <c r="D1998">
        <v>11.000999999999999</v>
      </c>
      <c r="E1998">
        <v>0.01</v>
      </c>
      <c r="F1998" t="s">
        <v>13</v>
      </c>
      <c r="G1998" t="s">
        <v>12</v>
      </c>
      <c r="H1998">
        <v>0</v>
      </c>
      <c r="I1998">
        <v>0</v>
      </c>
      <c r="K1998">
        <v>4.4629000000000003</v>
      </c>
      <c r="L1998">
        <v>0.64946999999999999</v>
      </c>
      <c r="M1998">
        <v>4.4596999999999998</v>
      </c>
      <c r="N1998">
        <v>0.64886999999999995</v>
      </c>
      <c r="O1998" t="s">
        <v>1046</v>
      </c>
    </row>
    <row r="1999" spans="1:15" x14ac:dyDescent="0.25">
      <c r="A1999" t="s">
        <v>55</v>
      </c>
      <c r="B1999" t="s">
        <v>46</v>
      </c>
      <c r="C1999">
        <v>3</v>
      </c>
      <c r="D1999">
        <v>11.000999999999999</v>
      </c>
      <c r="E1999">
        <v>0.1</v>
      </c>
      <c r="F1999" t="s">
        <v>13</v>
      </c>
      <c r="G1999" t="s">
        <v>12</v>
      </c>
      <c r="H1999">
        <v>0</v>
      </c>
      <c r="I1999">
        <v>0</v>
      </c>
      <c r="K1999">
        <v>57.764000000000003</v>
      </c>
      <c r="L1999">
        <v>0.10059999999999999</v>
      </c>
      <c r="M1999">
        <v>57.764000000000003</v>
      </c>
      <c r="N1999">
        <v>9.9908999999999998E-2</v>
      </c>
      <c r="O1999" t="s">
        <v>1047</v>
      </c>
    </row>
    <row r="2000" spans="1:15" x14ac:dyDescent="0.25">
      <c r="A2000" t="s">
        <v>55</v>
      </c>
      <c r="B2000" t="s">
        <v>46</v>
      </c>
      <c r="C2000">
        <v>11</v>
      </c>
      <c r="D2000">
        <v>20.5</v>
      </c>
      <c r="E2000">
        <v>1E-4</v>
      </c>
      <c r="F2000" t="s">
        <v>13</v>
      </c>
      <c r="G2000" t="s">
        <v>12</v>
      </c>
      <c r="H2000">
        <v>0</v>
      </c>
      <c r="I2000">
        <v>0</v>
      </c>
      <c r="K2000">
        <v>2.7</v>
      </c>
      <c r="L2000">
        <v>1.1000000000000001</v>
      </c>
      <c r="M2000">
        <v>2.6473</v>
      </c>
      <c r="N2000">
        <v>1.1008</v>
      </c>
      <c r="O2000" t="s">
        <v>1048</v>
      </c>
    </row>
    <row r="2001" spans="1:15" x14ac:dyDescent="0.25">
      <c r="A2001" t="s">
        <v>55</v>
      </c>
      <c r="B2001" t="s">
        <v>46</v>
      </c>
      <c r="C2001">
        <v>11</v>
      </c>
      <c r="D2001">
        <v>20.5</v>
      </c>
      <c r="E2001">
        <v>1E-3</v>
      </c>
      <c r="F2001" t="s">
        <v>13</v>
      </c>
      <c r="G2001" t="s">
        <v>12</v>
      </c>
      <c r="H2001">
        <v>0</v>
      </c>
      <c r="I2001">
        <v>0</v>
      </c>
      <c r="K2001">
        <v>2.7</v>
      </c>
      <c r="L2001">
        <v>1.1006</v>
      </c>
      <c r="M2001">
        <v>2.6625999999999999</v>
      </c>
      <c r="N2001">
        <v>1.1004</v>
      </c>
      <c r="O2001" t="s">
        <v>1049</v>
      </c>
    </row>
    <row r="2002" spans="1:15" x14ac:dyDescent="0.25">
      <c r="A2002" t="s">
        <v>55</v>
      </c>
      <c r="B2002" t="s">
        <v>46</v>
      </c>
      <c r="C2002">
        <v>11</v>
      </c>
      <c r="D2002">
        <v>20.5</v>
      </c>
      <c r="E2002">
        <v>0.01</v>
      </c>
      <c r="F2002" t="s">
        <v>13</v>
      </c>
      <c r="G2002" t="s">
        <v>12</v>
      </c>
      <c r="H2002">
        <v>0</v>
      </c>
      <c r="I2002">
        <v>0</v>
      </c>
      <c r="K2002">
        <v>4.2515999999999998</v>
      </c>
      <c r="L2002">
        <v>1.0555000000000001</v>
      </c>
      <c r="M2002">
        <v>4.2550999999999997</v>
      </c>
      <c r="N2002">
        <v>1.0545</v>
      </c>
      <c r="O2002" t="s">
        <v>1050</v>
      </c>
    </row>
    <row r="2003" spans="1:15" x14ac:dyDescent="0.25">
      <c r="A2003" t="s">
        <v>55</v>
      </c>
      <c r="B2003" t="s">
        <v>46</v>
      </c>
      <c r="C2003">
        <v>11</v>
      </c>
      <c r="D2003">
        <v>20.5</v>
      </c>
      <c r="E2003">
        <v>0.1</v>
      </c>
      <c r="F2003" t="s">
        <v>13</v>
      </c>
      <c r="G2003" t="s">
        <v>12</v>
      </c>
      <c r="H2003">
        <v>0</v>
      </c>
      <c r="I2003">
        <v>0</v>
      </c>
      <c r="K2003">
        <v>55.899000000000001</v>
      </c>
      <c r="L2003">
        <v>0.35962</v>
      </c>
      <c r="M2003">
        <v>55.915999999999997</v>
      </c>
      <c r="N2003">
        <v>0.35746</v>
      </c>
      <c r="O2003" t="s">
        <v>1051</v>
      </c>
    </row>
    <row r="2004" spans="1:15" x14ac:dyDescent="0.25">
      <c r="A2004" t="s">
        <v>55</v>
      </c>
      <c r="B2004" t="s">
        <v>46</v>
      </c>
      <c r="C2004">
        <v>20.5</v>
      </c>
      <c r="D2004">
        <v>20.6</v>
      </c>
      <c r="E2004">
        <v>1E-4</v>
      </c>
      <c r="F2004" t="s">
        <v>13</v>
      </c>
      <c r="G2004" t="s">
        <v>12</v>
      </c>
      <c r="H2004">
        <v>0</v>
      </c>
      <c r="I2004">
        <v>0</v>
      </c>
      <c r="K2004">
        <v>2.7</v>
      </c>
      <c r="L2004">
        <v>1.1000000000000001</v>
      </c>
      <c r="M2004">
        <v>2.6473</v>
      </c>
      <c r="N2004">
        <v>1.1008</v>
      </c>
      <c r="O2004" t="s">
        <v>1052</v>
      </c>
    </row>
    <row r="2005" spans="1:15" x14ac:dyDescent="0.25">
      <c r="A2005" t="s">
        <v>55</v>
      </c>
      <c r="B2005" t="s">
        <v>46</v>
      </c>
      <c r="C2005">
        <v>20.5</v>
      </c>
      <c r="D2005">
        <v>20.6</v>
      </c>
      <c r="E2005">
        <v>1E-3</v>
      </c>
      <c r="F2005" t="s">
        <v>13</v>
      </c>
      <c r="G2005" t="s">
        <v>12</v>
      </c>
      <c r="H2005">
        <v>0</v>
      </c>
      <c r="I2005">
        <v>0</v>
      </c>
      <c r="K2005">
        <v>2.7</v>
      </c>
      <c r="L2005">
        <v>1.1006</v>
      </c>
      <c r="M2005">
        <v>2.6625999999999999</v>
      </c>
      <c r="N2005">
        <v>1.1004</v>
      </c>
      <c r="O2005" t="s">
        <v>1053</v>
      </c>
    </row>
    <row r="2006" spans="1:15" x14ac:dyDescent="0.25">
      <c r="A2006" t="s">
        <v>55</v>
      </c>
      <c r="B2006" t="s">
        <v>46</v>
      </c>
      <c r="C2006">
        <v>20.5</v>
      </c>
      <c r="D2006">
        <v>20.6</v>
      </c>
      <c r="E2006">
        <v>0.01</v>
      </c>
      <c r="F2006" t="s">
        <v>13</v>
      </c>
      <c r="G2006" t="s">
        <v>12</v>
      </c>
      <c r="H2006">
        <v>0</v>
      </c>
      <c r="I2006">
        <v>0</v>
      </c>
      <c r="K2006">
        <v>4.2515999999999998</v>
      </c>
      <c r="L2006">
        <v>1.0555000000000001</v>
      </c>
      <c r="M2006">
        <v>4.2550999999999997</v>
      </c>
      <c r="N2006">
        <v>1.0545</v>
      </c>
      <c r="O2006" t="s">
        <v>1054</v>
      </c>
    </row>
    <row r="2007" spans="1:15" x14ac:dyDescent="0.25">
      <c r="A2007" t="s">
        <v>55</v>
      </c>
      <c r="B2007" t="s">
        <v>46</v>
      </c>
      <c r="C2007">
        <v>20.5</v>
      </c>
      <c r="D2007">
        <v>20.6</v>
      </c>
      <c r="E2007">
        <v>0.1</v>
      </c>
      <c r="F2007" t="s">
        <v>13</v>
      </c>
      <c r="G2007" t="s">
        <v>12</v>
      </c>
      <c r="H2007">
        <v>0</v>
      </c>
      <c r="I2007">
        <v>0</v>
      </c>
      <c r="K2007">
        <v>55.899000000000001</v>
      </c>
      <c r="L2007">
        <v>0.35962</v>
      </c>
      <c r="M2007">
        <v>55.915999999999997</v>
      </c>
      <c r="N2007">
        <v>0.35746</v>
      </c>
      <c r="O2007" t="s">
        <v>1055</v>
      </c>
    </row>
    <row r="2008" spans="1:15" x14ac:dyDescent="0.25">
      <c r="A2008" t="s">
        <v>55</v>
      </c>
      <c r="B2008" t="s">
        <v>59</v>
      </c>
      <c r="C2008">
        <v>1</v>
      </c>
      <c r="D2008">
        <v>11.000999999999999</v>
      </c>
      <c r="E2008">
        <v>1E-4</v>
      </c>
      <c r="F2008" t="s">
        <v>13</v>
      </c>
      <c r="G2008" t="s">
        <v>12</v>
      </c>
      <c r="H2008">
        <v>0</v>
      </c>
      <c r="I2008">
        <v>0</v>
      </c>
      <c r="K2008">
        <v>8.2000000000000003E-2</v>
      </c>
      <c r="L2008">
        <v>2</v>
      </c>
      <c r="M2008">
        <v>8.0875000000000002E-2</v>
      </c>
      <c r="N2008">
        <v>1.9946999999999999</v>
      </c>
      <c r="O2008" t="s">
        <v>989</v>
      </c>
    </row>
    <row r="2009" spans="1:15" x14ac:dyDescent="0.25">
      <c r="A2009" t="s">
        <v>55</v>
      </c>
      <c r="B2009" t="s">
        <v>59</v>
      </c>
      <c r="C2009">
        <v>1</v>
      </c>
      <c r="D2009">
        <v>11.000999999999999</v>
      </c>
      <c r="E2009">
        <v>1E-3</v>
      </c>
      <c r="F2009" t="s">
        <v>13</v>
      </c>
      <c r="G2009" t="s">
        <v>12</v>
      </c>
      <c r="H2009">
        <v>0</v>
      </c>
      <c r="I2009">
        <v>0</v>
      </c>
      <c r="K2009">
        <v>0.16836000000000001</v>
      </c>
      <c r="L2009">
        <v>1.9875</v>
      </c>
      <c r="M2009">
        <v>0.16627</v>
      </c>
      <c r="N2009">
        <v>1.9876</v>
      </c>
      <c r="O2009" t="s">
        <v>990</v>
      </c>
    </row>
    <row r="2010" spans="1:15" x14ac:dyDescent="0.25">
      <c r="A2010" t="s">
        <v>55</v>
      </c>
      <c r="B2010" t="s">
        <v>59</v>
      </c>
      <c r="C2010">
        <v>1</v>
      </c>
      <c r="D2010">
        <v>11.000999999999999</v>
      </c>
      <c r="E2010">
        <v>0.01</v>
      </c>
      <c r="F2010" t="s">
        <v>13</v>
      </c>
      <c r="G2010" t="s">
        <v>12</v>
      </c>
      <c r="H2010">
        <v>0</v>
      </c>
      <c r="I2010">
        <v>0</v>
      </c>
      <c r="K2010">
        <v>4.4751000000000003</v>
      </c>
      <c r="L2010">
        <v>1.6631</v>
      </c>
      <c r="M2010">
        <v>4.4718</v>
      </c>
      <c r="N2010">
        <v>1.6632</v>
      </c>
      <c r="O2010" t="s">
        <v>991</v>
      </c>
    </row>
    <row r="2011" spans="1:15" x14ac:dyDescent="0.25">
      <c r="A2011" t="s">
        <v>55</v>
      </c>
      <c r="B2011" t="s">
        <v>59</v>
      </c>
      <c r="C2011">
        <v>1</v>
      </c>
      <c r="D2011">
        <v>11.000999999999999</v>
      </c>
      <c r="E2011">
        <v>0.1</v>
      </c>
      <c r="F2011" t="s">
        <v>13</v>
      </c>
      <c r="G2011" t="s">
        <v>12</v>
      </c>
      <c r="H2011">
        <v>0</v>
      </c>
      <c r="I2011">
        <v>0</v>
      </c>
      <c r="K2011">
        <v>57.372</v>
      </c>
      <c r="L2011">
        <v>0.40227000000000002</v>
      </c>
      <c r="M2011">
        <v>57.371000000000002</v>
      </c>
      <c r="N2011">
        <v>0.40201999999999999</v>
      </c>
      <c r="O2011" t="s">
        <v>992</v>
      </c>
    </row>
    <row r="2012" spans="1:15" x14ac:dyDescent="0.25">
      <c r="A2012" t="s">
        <v>55</v>
      </c>
      <c r="B2012" t="s">
        <v>59</v>
      </c>
      <c r="C2012">
        <v>1</v>
      </c>
      <c r="D2012">
        <v>11.000999999999999</v>
      </c>
      <c r="E2012">
        <v>1</v>
      </c>
      <c r="F2012" t="s">
        <v>13</v>
      </c>
      <c r="G2012" t="s">
        <v>12</v>
      </c>
      <c r="H2012">
        <v>0</v>
      </c>
      <c r="I2012">
        <v>0</v>
      </c>
      <c r="K2012">
        <v>577.32000000000005</v>
      </c>
      <c r="L2012">
        <v>4.1721000000000001E-2</v>
      </c>
      <c r="M2012">
        <v>577.32000000000005</v>
      </c>
      <c r="N2012">
        <v>4.1612999999999997E-2</v>
      </c>
      <c r="O2012" t="s">
        <v>993</v>
      </c>
    </row>
    <row r="2013" spans="1:15" x14ac:dyDescent="0.25">
      <c r="A2013" t="s">
        <v>55</v>
      </c>
      <c r="B2013" t="s">
        <v>59</v>
      </c>
      <c r="C2013">
        <v>11</v>
      </c>
      <c r="D2013">
        <v>30.001000000000001</v>
      </c>
      <c r="E2013">
        <v>1E-3</v>
      </c>
      <c r="F2013" t="s">
        <v>13</v>
      </c>
      <c r="G2013" t="s">
        <v>12</v>
      </c>
      <c r="H2013">
        <v>0</v>
      </c>
      <c r="I2013">
        <v>0</v>
      </c>
      <c r="K2013">
        <v>1.6</v>
      </c>
      <c r="L2013">
        <v>2</v>
      </c>
      <c r="M2013">
        <v>0.12764</v>
      </c>
      <c r="N2013">
        <v>2.0470999999999999</v>
      </c>
      <c r="O2013" t="s">
        <v>994</v>
      </c>
    </row>
    <row r="2014" spans="1:15" x14ac:dyDescent="0.25">
      <c r="A2014" t="s">
        <v>55</v>
      </c>
      <c r="B2014" t="s">
        <v>59</v>
      </c>
      <c r="C2014">
        <v>11</v>
      </c>
      <c r="D2014">
        <v>30.001000000000001</v>
      </c>
      <c r="E2014">
        <v>0.01</v>
      </c>
      <c r="F2014" t="s">
        <v>13</v>
      </c>
      <c r="G2014" t="s">
        <v>12</v>
      </c>
      <c r="H2014">
        <v>0</v>
      </c>
      <c r="I2014">
        <v>0</v>
      </c>
      <c r="K2014">
        <v>1.6</v>
      </c>
      <c r="L2014">
        <v>2.0127000000000002</v>
      </c>
      <c r="M2014">
        <v>1.1037999999999999</v>
      </c>
      <c r="N2014">
        <v>2.0234999999999999</v>
      </c>
      <c r="O2014" t="s">
        <v>995</v>
      </c>
    </row>
    <row r="2015" spans="1:15" x14ac:dyDescent="0.25">
      <c r="A2015" t="s">
        <v>55</v>
      </c>
      <c r="B2015" t="s">
        <v>59</v>
      </c>
      <c r="C2015">
        <v>11</v>
      </c>
      <c r="D2015">
        <v>30.001000000000001</v>
      </c>
      <c r="E2015">
        <v>0.1</v>
      </c>
      <c r="F2015" t="s">
        <v>13</v>
      </c>
      <c r="G2015" t="s">
        <v>12</v>
      </c>
      <c r="H2015">
        <v>0</v>
      </c>
      <c r="I2015">
        <v>0</v>
      </c>
      <c r="K2015">
        <v>49.094000000000001</v>
      </c>
      <c r="L2015">
        <v>1.1796</v>
      </c>
      <c r="M2015">
        <v>49.066000000000003</v>
      </c>
      <c r="N2015">
        <v>1.1772</v>
      </c>
      <c r="O2015" t="s">
        <v>996</v>
      </c>
    </row>
    <row r="2016" spans="1:15" x14ac:dyDescent="0.25">
      <c r="A2016" t="s">
        <v>55</v>
      </c>
      <c r="B2016" t="s">
        <v>59</v>
      </c>
      <c r="C2016">
        <v>11</v>
      </c>
      <c r="D2016">
        <v>30.001000000000001</v>
      </c>
      <c r="E2016">
        <v>1</v>
      </c>
      <c r="F2016" t="s">
        <v>13</v>
      </c>
      <c r="G2016" t="s">
        <v>12</v>
      </c>
      <c r="H2016">
        <v>0</v>
      </c>
      <c r="I2016">
        <v>0</v>
      </c>
      <c r="K2016">
        <v>576.16999999999996</v>
      </c>
      <c r="L2016">
        <v>0.15057999999999999</v>
      </c>
      <c r="M2016">
        <v>576.16</v>
      </c>
      <c r="N2016">
        <v>0.14877000000000001</v>
      </c>
      <c r="O2016" t="s">
        <v>997</v>
      </c>
    </row>
    <row r="2017" spans="1:15" x14ac:dyDescent="0.25">
      <c r="A2017" t="s">
        <v>55</v>
      </c>
      <c r="B2017" t="s">
        <v>59</v>
      </c>
      <c r="C2017">
        <v>11</v>
      </c>
      <c r="D2017">
        <v>30.001000000000001</v>
      </c>
      <c r="E2017">
        <v>10</v>
      </c>
      <c r="F2017" t="s">
        <v>13</v>
      </c>
      <c r="G2017" t="s">
        <v>12</v>
      </c>
      <c r="H2017">
        <v>0</v>
      </c>
      <c r="I2017">
        <v>0</v>
      </c>
      <c r="K2017">
        <v>5773.4</v>
      </c>
      <c r="L2017">
        <v>1.5656E-2</v>
      </c>
      <c r="M2017">
        <v>5773.4</v>
      </c>
      <c r="N2017">
        <v>1.4925000000000001E-2</v>
      </c>
      <c r="O2017" t="s">
        <v>998</v>
      </c>
    </row>
    <row r="2018" spans="1:15" x14ac:dyDescent="0.25">
      <c r="A2018" t="s">
        <v>55</v>
      </c>
      <c r="B2018" t="s">
        <v>59</v>
      </c>
      <c r="C2018">
        <v>11</v>
      </c>
      <c r="D2018">
        <v>30.001000000000001</v>
      </c>
      <c r="E2018">
        <v>100</v>
      </c>
      <c r="F2018" t="s">
        <v>13</v>
      </c>
      <c r="G2018" t="s">
        <v>12</v>
      </c>
      <c r="H2018">
        <v>0</v>
      </c>
      <c r="I2018">
        <v>0</v>
      </c>
      <c r="K2018">
        <v>57736</v>
      </c>
      <c r="L2018">
        <v>1.7851E-3</v>
      </c>
      <c r="M2018">
        <v>57735</v>
      </c>
      <c r="N2018">
        <v>1.4924999999999999E-3</v>
      </c>
      <c r="O2018" t="s">
        <v>999</v>
      </c>
    </row>
    <row r="2019" spans="1:15" x14ac:dyDescent="0.25">
      <c r="A2019" t="s">
        <v>55</v>
      </c>
      <c r="B2019" t="s">
        <v>59</v>
      </c>
      <c r="C2019">
        <v>30</v>
      </c>
      <c r="D2019">
        <v>110.01</v>
      </c>
      <c r="E2019">
        <v>0.01</v>
      </c>
      <c r="F2019" t="s">
        <v>13</v>
      </c>
      <c r="G2019" t="s">
        <v>12</v>
      </c>
      <c r="H2019">
        <v>0</v>
      </c>
      <c r="I2019">
        <v>0</v>
      </c>
      <c r="K2019">
        <v>4</v>
      </c>
      <c r="L2019">
        <v>2.1</v>
      </c>
      <c r="M2019">
        <v>2.5089999999999999</v>
      </c>
      <c r="N2019">
        <v>2.1122000000000001</v>
      </c>
      <c r="O2019" t="s">
        <v>1000</v>
      </c>
    </row>
    <row r="2020" spans="1:15" x14ac:dyDescent="0.25">
      <c r="A2020" t="s">
        <v>55</v>
      </c>
      <c r="B2020" t="s">
        <v>59</v>
      </c>
      <c r="C2020">
        <v>30</v>
      </c>
      <c r="D2020">
        <v>110.01</v>
      </c>
      <c r="E2020">
        <v>0.1</v>
      </c>
      <c r="F2020" t="s">
        <v>13</v>
      </c>
      <c r="G2020" t="s">
        <v>12</v>
      </c>
      <c r="H2020">
        <v>0</v>
      </c>
      <c r="I2020">
        <v>0</v>
      </c>
      <c r="K2020">
        <v>29.550999999999998</v>
      </c>
      <c r="L2020">
        <v>1.93</v>
      </c>
      <c r="M2020">
        <v>29.510999999999999</v>
      </c>
      <c r="N2020">
        <v>1.9297</v>
      </c>
      <c r="O2020" t="s">
        <v>1001</v>
      </c>
    </row>
    <row r="2021" spans="1:15" x14ac:dyDescent="0.25">
      <c r="A2021" t="s">
        <v>55</v>
      </c>
      <c r="B2021" t="s">
        <v>59</v>
      </c>
      <c r="C2021">
        <v>30</v>
      </c>
      <c r="D2021">
        <v>110.01</v>
      </c>
      <c r="E2021">
        <v>1</v>
      </c>
      <c r="F2021" t="s">
        <v>13</v>
      </c>
      <c r="G2021" t="s">
        <v>12</v>
      </c>
      <c r="H2021">
        <v>0</v>
      </c>
      <c r="I2021">
        <v>0</v>
      </c>
      <c r="K2021">
        <v>565.25</v>
      </c>
      <c r="L2021">
        <v>0.52854000000000001</v>
      </c>
      <c r="M2021">
        <v>565.25</v>
      </c>
      <c r="N2021">
        <v>0.52742999999999995</v>
      </c>
      <c r="O2021" t="s">
        <v>1002</v>
      </c>
    </row>
    <row r="2022" spans="1:15" x14ac:dyDescent="0.25">
      <c r="A2022" t="s">
        <v>55</v>
      </c>
      <c r="B2022" t="s">
        <v>59</v>
      </c>
      <c r="C2022">
        <v>30</v>
      </c>
      <c r="D2022">
        <v>110.01</v>
      </c>
      <c r="E2022">
        <v>10</v>
      </c>
      <c r="F2022" t="s">
        <v>13</v>
      </c>
      <c r="G2022" t="s">
        <v>12</v>
      </c>
      <c r="H2022">
        <v>0</v>
      </c>
      <c r="I2022">
        <v>0</v>
      </c>
      <c r="K2022">
        <v>5772.3</v>
      </c>
      <c r="L2022">
        <v>5.5474999999999997E-2</v>
      </c>
      <c r="M2022">
        <v>5772.3</v>
      </c>
      <c r="N2022">
        <v>5.4984999999999999E-2</v>
      </c>
      <c r="O2022" t="s">
        <v>1003</v>
      </c>
    </row>
    <row r="2023" spans="1:15" x14ac:dyDescent="0.25">
      <c r="A2023" t="s">
        <v>55</v>
      </c>
      <c r="B2023" t="s">
        <v>59</v>
      </c>
      <c r="C2023">
        <v>30</v>
      </c>
      <c r="D2023">
        <v>110.01</v>
      </c>
      <c r="E2023">
        <v>100</v>
      </c>
      <c r="F2023" t="s">
        <v>13</v>
      </c>
      <c r="G2023" t="s">
        <v>12</v>
      </c>
      <c r="H2023">
        <v>0</v>
      </c>
      <c r="I2023">
        <v>0</v>
      </c>
      <c r="K2023">
        <v>57735</v>
      </c>
      <c r="L2023">
        <v>5.6968000000000001E-3</v>
      </c>
      <c r="M2023">
        <v>57735</v>
      </c>
      <c r="N2023">
        <v>5.5009999999999998E-3</v>
      </c>
      <c r="O2023" t="s">
        <v>1004</v>
      </c>
    </row>
    <row r="2024" spans="1:15" x14ac:dyDescent="0.25">
      <c r="A2024" t="s">
        <v>55</v>
      </c>
      <c r="B2024" t="s">
        <v>59</v>
      </c>
      <c r="C2024">
        <v>110</v>
      </c>
      <c r="D2024">
        <v>205</v>
      </c>
      <c r="E2024">
        <v>0.01</v>
      </c>
      <c r="F2024" t="s">
        <v>13</v>
      </c>
      <c r="G2024" t="s">
        <v>12</v>
      </c>
      <c r="H2024">
        <v>0</v>
      </c>
      <c r="I2024">
        <v>0</v>
      </c>
      <c r="K2024">
        <v>6.5</v>
      </c>
      <c r="L2024">
        <v>2.2999999999999998</v>
      </c>
      <c r="M2024">
        <v>4.5922000000000001</v>
      </c>
      <c r="N2024">
        <v>2.3086000000000002</v>
      </c>
      <c r="O2024" t="s">
        <v>1005</v>
      </c>
    </row>
    <row r="2025" spans="1:15" x14ac:dyDescent="0.25">
      <c r="A2025" t="s">
        <v>55</v>
      </c>
      <c r="B2025" t="s">
        <v>59</v>
      </c>
      <c r="C2025">
        <v>110</v>
      </c>
      <c r="D2025">
        <v>205</v>
      </c>
      <c r="E2025">
        <v>0.1</v>
      </c>
      <c r="F2025" t="s">
        <v>13</v>
      </c>
      <c r="G2025" t="s">
        <v>12</v>
      </c>
      <c r="H2025">
        <v>0</v>
      </c>
      <c r="I2025">
        <v>0</v>
      </c>
      <c r="K2025">
        <v>14.301</v>
      </c>
      <c r="L2025">
        <v>2.2787999999999999</v>
      </c>
      <c r="M2025">
        <v>14.221</v>
      </c>
      <c r="N2025">
        <v>2.2784</v>
      </c>
      <c r="O2025" t="s">
        <v>1006</v>
      </c>
    </row>
    <row r="2026" spans="1:15" x14ac:dyDescent="0.25">
      <c r="A2026" t="s">
        <v>55</v>
      </c>
      <c r="B2026" t="s">
        <v>59</v>
      </c>
      <c r="C2026">
        <v>110</v>
      </c>
      <c r="D2026">
        <v>205</v>
      </c>
      <c r="E2026">
        <v>1</v>
      </c>
      <c r="F2026" t="s">
        <v>13</v>
      </c>
      <c r="G2026" t="s">
        <v>12</v>
      </c>
      <c r="H2026">
        <v>0</v>
      </c>
      <c r="I2026">
        <v>0</v>
      </c>
      <c r="K2026">
        <v>497.21</v>
      </c>
      <c r="L2026">
        <v>1.2323999999999999</v>
      </c>
      <c r="M2026">
        <v>497.26</v>
      </c>
      <c r="N2026">
        <v>1.2301</v>
      </c>
      <c r="O2026" t="s">
        <v>1007</v>
      </c>
    </row>
    <row r="2027" spans="1:15" x14ac:dyDescent="0.25">
      <c r="A2027" t="s">
        <v>55</v>
      </c>
      <c r="B2027" t="s">
        <v>59</v>
      </c>
      <c r="C2027">
        <v>110</v>
      </c>
      <c r="D2027">
        <v>205</v>
      </c>
      <c r="E2027">
        <v>10</v>
      </c>
      <c r="F2027" t="s">
        <v>13</v>
      </c>
      <c r="G2027" t="s">
        <v>12</v>
      </c>
      <c r="H2027">
        <v>0</v>
      </c>
      <c r="I2027">
        <v>0</v>
      </c>
      <c r="K2027">
        <v>5763.1</v>
      </c>
      <c r="L2027">
        <v>0.14824000000000001</v>
      </c>
      <c r="M2027">
        <v>5763.2</v>
      </c>
      <c r="N2027">
        <v>0.1469</v>
      </c>
      <c r="O2027" t="s">
        <v>1008</v>
      </c>
    </row>
    <row r="2028" spans="1:15" x14ac:dyDescent="0.25">
      <c r="A2028" t="s">
        <v>55</v>
      </c>
      <c r="B2028" t="s">
        <v>59</v>
      </c>
      <c r="C2028">
        <v>110</v>
      </c>
      <c r="D2028">
        <v>205</v>
      </c>
      <c r="E2028">
        <v>100</v>
      </c>
      <c r="F2028" t="s">
        <v>13</v>
      </c>
      <c r="G2028" t="s">
        <v>12</v>
      </c>
      <c r="H2028">
        <v>0</v>
      </c>
      <c r="I2028">
        <v>0</v>
      </c>
      <c r="K2028">
        <v>57734</v>
      </c>
      <c r="L2028">
        <v>1.5259999999999999E-2</v>
      </c>
      <c r="M2028">
        <v>57734</v>
      </c>
      <c r="N2028">
        <v>1.4722000000000001E-2</v>
      </c>
      <c r="O2028" t="s">
        <v>1009</v>
      </c>
    </row>
    <row r="2029" spans="1:15" x14ac:dyDescent="0.25">
      <c r="A2029" t="s">
        <v>55</v>
      </c>
      <c r="B2029" t="s">
        <v>59</v>
      </c>
      <c r="C2029">
        <v>205</v>
      </c>
      <c r="D2029">
        <v>206</v>
      </c>
      <c r="E2029">
        <v>0.01</v>
      </c>
      <c r="F2029" t="s">
        <v>13</v>
      </c>
      <c r="G2029" t="s">
        <v>12</v>
      </c>
      <c r="H2029">
        <v>0</v>
      </c>
      <c r="I2029">
        <v>0</v>
      </c>
      <c r="K2029">
        <v>6.5</v>
      </c>
      <c r="L2029">
        <v>2.2999999999999998</v>
      </c>
      <c r="M2029">
        <v>4.5922000000000001</v>
      </c>
      <c r="N2029">
        <v>2.3086000000000002</v>
      </c>
      <c r="O2029" t="s">
        <v>1010</v>
      </c>
    </row>
    <row r="2030" spans="1:15" x14ac:dyDescent="0.25">
      <c r="A2030" t="s">
        <v>55</v>
      </c>
      <c r="B2030" t="s">
        <v>59</v>
      </c>
      <c r="C2030">
        <v>205</v>
      </c>
      <c r="D2030">
        <v>206</v>
      </c>
      <c r="E2030">
        <v>0.1</v>
      </c>
      <c r="F2030" t="s">
        <v>13</v>
      </c>
      <c r="G2030" t="s">
        <v>12</v>
      </c>
      <c r="H2030">
        <v>0</v>
      </c>
      <c r="I2030">
        <v>0</v>
      </c>
      <c r="K2030">
        <v>14.301</v>
      </c>
      <c r="L2030">
        <v>2.2787999999999999</v>
      </c>
      <c r="M2030">
        <v>14.221</v>
      </c>
      <c r="N2030">
        <v>2.2784</v>
      </c>
      <c r="O2030" t="s">
        <v>1011</v>
      </c>
    </row>
    <row r="2031" spans="1:15" x14ac:dyDescent="0.25">
      <c r="A2031" t="s">
        <v>55</v>
      </c>
      <c r="B2031" t="s">
        <v>59</v>
      </c>
      <c r="C2031">
        <v>205</v>
      </c>
      <c r="D2031">
        <v>206</v>
      </c>
      <c r="E2031">
        <v>1</v>
      </c>
      <c r="F2031" t="s">
        <v>13</v>
      </c>
      <c r="G2031" t="s">
        <v>12</v>
      </c>
      <c r="H2031">
        <v>0</v>
      </c>
      <c r="I2031">
        <v>0</v>
      </c>
      <c r="K2031">
        <v>497.21</v>
      </c>
      <c r="L2031">
        <v>1.2323999999999999</v>
      </c>
      <c r="M2031">
        <v>497.26</v>
      </c>
      <c r="N2031">
        <v>1.2301</v>
      </c>
      <c r="O2031" t="s">
        <v>1012</v>
      </c>
    </row>
    <row r="2032" spans="1:15" x14ac:dyDescent="0.25">
      <c r="A2032" t="s">
        <v>55</v>
      </c>
      <c r="B2032" t="s">
        <v>59</v>
      </c>
      <c r="C2032">
        <v>205</v>
      </c>
      <c r="D2032">
        <v>206</v>
      </c>
      <c r="E2032">
        <v>10</v>
      </c>
      <c r="F2032" t="s">
        <v>13</v>
      </c>
      <c r="G2032" t="s">
        <v>12</v>
      </c>
      <c r="H2032">
        <v>0</v>
      </c>
      <c r="I2032">
        <v>0</v>
      </c>
      <c r="K2032">
        <v>5763.1</v>
      </c>
      <c r="L2032">
        <v>0.14824000000000001</v>
      </c>
      <c r="M2032">
        <v>5763.2</v>
      </c>
      <c r="N2032">
        <v>0.1469</v>
      </c>
      <c r="O2032" t="s">
        <v>1013</v>
      </c>
    </row>
    <row r="2033" spans="1:15" x14ac:dyDescent="0.25">
      <c r="A2033" t="s">
        <v>55</v>
      </c>
      <c r="B2033" t="s">
        <v>59</v>
      </c>
      <c r="C2033">
        <v>205</v>
      </c>
      <c r="D2033">
        <v>206</v>
      </c>
      <c r="E2033">
        <v>100</v>
      </c>
      <c r="F2033" t="s">
        <v>13</v>
      </c>
      <c r="G2033" t="s">
        <v>12</v>
      </c>
      <c r="H2033">
        <v>0</v>
      </c>
      <c r="I2033">
        <v>0</v>
      </c>
      <c r="K2033">
        <v>57734</v>
      </c>
      <c r="L2033">
        <v>1.5259999999999999E-2</v>
      </c>
      <c r="M2033">
        <v>57734</v>
      </c>
      <c r="N2033">
        <v>1.4722000000000001E-2</v>
      </c>
      <c r="O2033" t="s">
        <v>1014</v>
      </c>
    </row>
    <row r="2034" spans="1:15" x14ac:dyDescent="0.25">
      <c r="A2034" t="s">
        <v>55</v>
      </c>
      <c r="B2034" t="s">
        <v>60</v>
      </c>
      <c r="C2034">
        <v>20</v>
      </c>
      <c r="D2034">
        <v>60.01</v>
      </c>
      <c r="E2034">
        <v>1E-3</v>
      </c>
      <c r="F2034" t="s">
        <v>13</v>
      </c>
      <c r="G2034" t="s">
        <v>12</v>
      </c>
      <c r="H2034">
        <v>0</v>
      </c>
      <c r="I2034">
        <v>0</v>
      </c>
      <c r="K2034">
        <v>3.9</v>
      </c>
      <c r="L2034">
        <v>2.1</v>
      </c>
      <c r="M2034">
        <v>0.23927999999999999</v>
      </c>
      <c r="N2034">
        <v>2.0472999999999999</v>
      </c>
      <c r="O2034" t="s">
        <v>967</v>
      </c>
    </row>
    <row r="2035" spans="1:15" x14ac:dyDescent="0.25">
      <c r="A2035" t="s">
        <v>55</v>
      </c>
      <c r="B2035" t="s">
        <v>60</v>
      </c>
      <c r="C2035">
        <v>20</v>
      </c>
      <c r="D2035">
        <v>60.01</v>
      </c>
      <c r="E2035">
        <v>0.01</v>
      </c>
      <c r="F2035" t="s">
        <v>13</v>
      </c>
      <c r="G2035" t="s">
        <v>12</v>
      </c>
      <c r="H2035">
        <v>0</v>
      </c>
      <c r="I2035">
        <v>0</v>
      </c>
      <c r="K2035">
        <v>3.9</v>
      </c>
      <c r="L2035">
        <v>2.1</v>
      </c>
      <c r="M2035">
        <v>0.76998</v>
      </c>
      <c r="N2035">
        <v>2.0407000000000002</v>
      </c>
      <c r="O2035" t="s">
        <v>968</v>
      </c>
    </row>
    <row r="2036" spans="1:15" x14ac:dyDescent="0.25">
      <c r="A2036" t="s">
        <v>55</v>
      </c>
      <c r="B2036" t="s">
        <v>60</v>
      </c>
      <c r="C2036">
        <v>20</v>
      </c>
      <c r="D2036">
        <v>60.01</v>
      </c>
      <c r="E2036">
        <v>0.1</v>
      </c>
      <c r="F2036" t="s">
        <v>13</v>
      </c>
      <c r="G2036" t="s">
        <v>12</v>
      </c>
      <c r="H2036">
        <v>0</v>
      </c>
      <c r="I2036">
        <v>0</v>
      </c>
      <c r="K2036">
        <v>38.447000000000003</v>
      </c>
      <c r="L2036">
        <v>1.6259999999999999</v>
      </c>
      <c r="M2036">
        <v>38.404000000000003</v>
      </c>
      <c r="N2036">
        <v>1.6256999999999999</v>
      </c>
      <c r="O2036" t="s">
        <v>969</v>
      </c>
    </row>
    <row r="2037" spans="1:15" x14ac:dyDescent="0.25">
      <c r="A2037" t="s">
        <v>55</v>
      </c>
      <c r="B2037" t="s">
        <v>60</v>
      </c>
      <c r="C2037">
        <v>20</v>
      </c>
      <c r="D2037">
        <v>60.01</v>
      </c>
      <c r="E2037">
        <v>1</v>
      </c>
      <c r="F2037" t="s">
        <v>13</v>
      </c>
      <c r="G2037" t="s">
        <v>12</v>
      </c>
      <c r="H2037">
        <v>0</v>
      </c>
      <c r="I2037">
        <v>0</v>
      </c>
      <c r="K2037">
        <v>573.08000000000004</v>
      </c>
      <c r="L2037">
        <v>0.28848000000000001</v>
      </c>
      <c r="M2037">
        <v>573.07000000000005</v>
      </c>
      <c r="N2037">
        <v>0.28764000000000001</v>
      </c>
      <c r="O2037" t="s">
        <v>970</v>
      </c>
    </row>
    <row r="2038" spans="1:15" x14ac:dyDescent="0.25">
      <c r="A2038" t="s">
        <v>55</v>
      </c>
      <c r="B2038" t="s">
        <v>60</v>
      </c>
      <c r="C2038">
        <v>20</v>
      </c>
      <c r="D2038">
        <v>60.01</v>
      </c>
      <c r="E2038">
        <v>10</v>
      </c>
      <c r="F2038" t="s">
        <v>13</v>
      </c>
      <c r="G2038" t="s">
        <v>12</v>
      </c>
      <c r="H2038">
        <v>0</v>
      </c>
      <c r="I2038">
        <v>0</v>
      </c>
      <c r="K2038">
        <v>5773.1</v>
      </c>
      <c r="L2038">
        <v>2.9468000000000001E-2</v>
      </c>
      <c r="M2038">
        <v>5773.1</v>
      </c>
      <c r="N2038">
        <v>2.912E-2</v>
      </c>
      <c r="O2038" t="s">
        <v>971</v>
      </c>
    </row>
    <row r="2039" spans="1:15" x14ac:dyDescent="0.25">
      <c r="A2039" t="s">
        <v>55</v>
      </c>
      <c r="B2039" t="s">
        <v>60</v>
      </c>
      <c r="C2039">
        <v>20</v>
      </c>
      <c r="D2039">
        <v>60.01</v>
      </c>
      <c r="E2039">
        <v>100</v>
      </c>
      <c r="F2039" t="s">
        <v>13</v>
      </c>
      <c r="G2039" t="s">
        <v>12</v>
      </c>
      <c r="H2039">
        <v>0</v>
      </c>
      <c r="I2039">
        <v>0</v>
      </c>
      <c r="K2039">
        <v>57735</v>
      </c>
      <c r="L2039">
        <v>3.0514000000000001E-3</v>
      </c>
      <c r="M2039">
        <v>57735</v>
      </c>
      <c r="N2039">
        <v>2.9123999999999999E-3</v>
      </c>
      <c r="O2039" t="s">
        <v>972</v>
      </c>
    </row>
    <row r="2040" spans="1:15" x14ac:dyDescent="0.25">
      <c r="A2040" t="s">
        <v>55</v>
      </c>
      <c r="B2040" t="s">
        <v>60</v>
      </c>
      <c r="C2040">
        <v>60</v>
      </c>
      <c r="D2040">
        <v>220.01</v>
      </c>
      <c r="E2040">
        <v>1E-3</v>
      </c>
      <c r="F2040" t="s">
        <v>13</v>
      </c>
      <c r="G2040" t="s">
        <v>12</v>
      </c>
      <c r="H2040">
        <v>0</v>
      </c>
      <c r="I2040">
        <v>0</v>
      </c>
      <c r="K2040">
        <v>19</v>
      </c>
      <c r="L2040">
        <v>2.2000000000000002</v>
      </c>
      <c r="M2040">
        <v>4.5221</v>
      </c>
      <c r="N2040">
        <v>2.1139999999999999</v>
      </c>
      <c r="O2040" t="s">
        <v>973</v>
      </c>
    </row>
    <row r="2041" spans="1:15" x14ac:dyDescent="0.25">
      <c r="A2041" t="s">
        <v>55</v>
      </c>
      <c r="B2041" t="s">
        <v>60</v>
      </c>
      <c r="C2041">
        <v>60</v>
      </c>
      <c r="D2041">
        <v>220.01</v>
      </c>
      <c r="E2041">
        <v>0.01</v>
      </c>
      <c r="F2041" t="s">
        <v>13</v>
      </c>
      <c r="G2041" t="s">
        <v>12</v>
      </c>
      <c r="H2041">
        <v>0</v>
      </c>
      <c r="I2041">
        <v>0</v>
      </c>
      <c r="K2041">
        <v>19</v>
      </c>
      <c r="L2041">
        <v>2.2000000000000002</v>
      </c>
      <c r="M2041">
        <v>19.725999999999999</v>
      </c>
      <c r="N2041">
        <v>2.0608</v>
      </c>
      <c r="O2041" t="s">
        <v>974</v>
      </c>
    </row>
    <row r="2042" spans="1:15" x14ac:dyDescent="0.25">
      <c r="A2042" t="s">
        <v>55</v>
      </c>
      <c r="B2042" t="s">
        <v>60</v>
      </c>
      <c r="C2042">
        <v>60</v>
      </c>
      <c r="D2042">
        <v>220.01</v>
      </c>
      <c r="E2042">
        <v>0.1</v>
      </c>
      <c r="F2042" t="s">
        <v>13</v>
      </c>
      <c r="G2042" t="s">
        <v>12</v>
      </c>
      <c r="H2042">
        <v>0</v>
      </c>
      <c r="I2042">
        <v>0</v>
      </c>
      <c r="K2042">
        <v>535.04</v>
      </c>
      <c r="L2042">
        <v>0.95226</v>
      </c>
      <c r="M2042">
        <v>535.04</v>
      </c>
      <c r="N2042">
        <v>0.95071000000000006</v>
      </c>
      <c r="O2042" t="s">
        <v>975</v>
      </c>
    </row>
    <row r="2043" spans="1:15" x14ac:dyDescent="0.25">
      <c r="A2043" t="s">
        <v>55</v>
      </c>
      <c r="B2043" t="s">
        <v>60</v>
      </c>
      <c r="C2043">
        <v>60</v>
      </c>
      <c r="D2043">
        <v>220.01</v>
      </c>
      <c r="E2043">
        <v>1</v>
      </c>
      <c r="F2043" t="s">
        <v>13</v>
      </c>
      <c r="G2043" t="s">
        <v>12</v>
      </c>
      <c r="H2043">
        <v>0</v>
      </c>
      <c r="I2043">
        <v>0</v>
      </c>
      <c r="K2043">
        <v>5768.4</v>
      </c>
      <c r="L2043">
        <v>0.11068</v>
      </c>
      <c r="M2043">
        <v>5768.5</v>
      </c>
      <c r="N2043">
        <v>0.10982</v>
      </c>
      <c r="O2043" t="s">
        <v>976</v>
      </c>
    </row>
    <row r="2044" spans="1:15" x14ac:dyDescent="0.25">
      <c r="A2044" t="s">
        <v>55</v>
      </c>
      <c r="B2044" t="s">
        <v>60</v>
      </c>
      <c r="C2044">
        <v>60</v>
      </c>
      <c r="D2044">
        <v>220.01</v>
      </c>
      <c r="E2044">
        <v>10</v>
      </c>
      <c r="F2044" t="s">
        <v>13</v>
      </c>
      <c r="G2044" t="s">
        <v>12</v>
      </c>
      <c r="H2044">
        <v>0</v>
      </c>
      <c r="I2044">
        <v>0</v>
      </c>
      <c r="K2044">
        <v>57735</v>
      </c>
      <c r="L2044">
        <v>1.1346999999999999E-2</v>
      </c>
      <c r="M2044">
        <v>57735</v>
      </c>
      <c r="N2044">
        <v>1.1002E-2</v>
      </c>
      <c r="O2044" t="s">
        <v>977</v>
      </c>
    </row>
    <row r="2045" spans="1:15" x14ac:dyDescent="0.25">
      <c r="A2045" t="s">
        <v>55</v>
      </c>
      <c r="B2045" t="s">
        <v>60</v>
      </c>
      <c r="C2045">
        <v>60</v>
      </c>
      <c r="D2045">
        <v>220.01</v>
      </c>
      <c r="E2045">
        <v>100</v>
      </c>
      <c r="F2045" t="s">
        <v>13</v>
      </c>
      <c r="G2045" t="s">
        <v>12</v>
      </c>
      <c r="H2045">
        <v>0</v>
      </c>
      <c r="I2045">
        <v>0</v>
      </c>
      <c r="K2045">
        <v>577360</v>
      </c>
      <c r="L2045">
        <v>1.2382000000000001E-3</v>
      </c>
      <c r="M2045">
        <v>577350</v>
      </c>
      <c r="N2045">
        <v>1.1002E-3</v>
      </c>
      <c r="O2045" t="s">
        <v>978</v>
      </c>
    </row>
    <row r="2046" spans="1:15" x14ac:dyDescent="0.25">
      <c r="A2046" t="s">
        <v>55</v>
      </c>
      <c r="B2046" t="s">
        <v>60</v>
      </c>
      <c r="C2046">
        <v>220</v>
      </c>
      <c r="D2046">
        <v>410</v>
      </c>
      <c r="E2046">
        <v>0.01</v>
      </c>
      <c r="F2046" t="s">
        <v>13</v>
      </c>
      <c r="G2046" t="s">
        <v>12</v>
      </c>
      <c r="H2046">
        <v>0</v>
      </c>
      <c r="I2046">
        <v>0</v>
      </c>
      <c r="K2046">
        <v>13</v>
      </c>
      <c r="L2046">
        <v>2.2999999999999998</v>
      </c>
      <c r="M2046">
        <v>9.0436999999999994</v>
      </c>
      <c r="N2046">
        <v>2.3088000000000002</v>
      </c>
      <c r="O2046" t="s">
        <v>979</v>
      </c>
    </row>
    <row r="2047" spans="1:15" x14ac:dyDescent="0.25">
      <c r="A2047" t="s">
        <v>55</v>
      </c>
      <c r="B2047" t="s">
        <v>60</v>
      </c>
      <c r="C2047">
        <v>220</v>
      </c>
      <c r="D2047">
        <v>410</v>
      </c>
      <c r="E2047">
        <v>0.1</v>
      </c>
      <c r="F2047" t="s">
        <v>13</v>
      </c>
      <c r="G2047" t="s">
        <v>12</v>
      </c>
      <c r="H2047">
        <v>0</v>
      </c>
      <c r="I2047">
        <v>0</v>
      </c>
      <c r="K2047">
        <v>13.978</v>
      </c>
      <c r="L2047">
        <v>2.3014000000000001</v>
      </c>
      <c r="M2047">
        <v>13.925000000000001</v>
      </c>
      <c r="N2047">
        <v>2.3010999999999999</v>
      </c>
      <c r="O2047" t="s">
        <v>980</v>
      </c>
    </row>
    <row r="2048" spans="1:15" x14ac:dyDescent="0.25">
      <c r="A2048" t="s">
        <v>55</v>
      </c>
      <c r="B2048" t="s">
        <v>60</v>
      </c>
      <c r="C2048">
        <v>220</v>
      </c>
      <c r="D2048">
        <v>410</v>
      </c>
      <c r="E2048">
        <v>1</v>
      </c>
      <c r="F2048" t="s">
        <v>13</v>
      </c>
      <c r="G2048" t="s">
        <v>12</v>
      </c>
      <c r="H2048">
        <v>0</v>
      </c>
      <c r="I2048">
        <v>0</v>
      </c>
      <c r="K2048">
        <v>379.54</v>
      </c>
      <c r="L2048">
        <v>1.7988999999999999</v>
      </c>
      <c r="M2048">
        <v>379.5</v>
      </c>
      <c r="N2048">
        <v>1.7976000000000001</v>
      </c>
      <c r="O2048" t="s">
        <v>981</v>
      </c>
    </row>
    <row r="2049" spans="1:15" x14ac:dyDescent="0.25">
      <c r="A2049" t="s">
        <v>55</v>
      </c>
      <c r="B2049" t="s">
        <v>60</v>
      </c>
      <c r="C2049">
        <v>220</v>
      </c>
      <c r="D2049">
        <v>410</v>
      </c>
      <c r="E2049">
        <v>10</v>
      </c>
      <c r="F2049" t="s">
        <v>13</v>
      </c>
      <c r="G2049" t="s">
        <v>12</v>
      </c>
      <c r="H2049">
        <v>0</v>
      </c>
      <c r="I2049">
        <v>0</v>
      </c>
      <c r="K2049">
        <v>5732.3</v>
      </c>
      <c r="L2049">
        <v>0.29332000000000003</v>
      </c>
      <c r="M2049">
        <v>5732.4</v>
      </c>
      <c r="N2049">
        <v>0.29187999999999997</v>
      </c>
      <c r="O2049" t="s">
        <v>982</v>
      </c>
    </row>
    <row r="2050" spans="1:15" x14ac:dyDescent="0.25">
      <c r="A2050" t="s">
        <v>55</v>
      </c>
      <c r="B2050" t="s">
        <v>60</v>
      </c>
      <c r="C2050">
        <v>220</v>
      </c>
      <c r="D2050">
        <v>410</v>
      </c>
      <c r="E2050">
        <v>100</v>
      </c>
      <c r="F2050" t="s">
        <v>13</v>
      </c>
      <c r="G2050" t="s">
        <v>12</v>
      </c>
      <c r="H2050">
        <v>0</v>
      </c>
      <c r="I2050">
        <v>0</v>
      </c>
      <c r="K2050">
        <v>57731</v>
      </c>
      <c r="L2050">
        <v>3.0030000000000001E-2</v>
      </c>
      <c r="M2050">
        <v>57731</v>
      </c>
      <c r="N2050">
        <v>2.9441999999999999E-2</v>
      </c>
      <c r="O2050" t="s">
        <v>983</v>
      </c>
    </row>
    <row r="2051" spans="1:15" x14ac:dyDescent="0.25">
      <c r="A2051" t="s">
        <v>55</v>
      </c>
      <c r="B2051" t="s">
        <v>60</v>
      </c>
      <c r="C2051">
        <v>410</v>
      </c>
      <c r="D2051">
        <v>411</v>
      </c>
      <c r="E2051">
        <v>0.01</v>
      </c>
      <c r="F2051" t="s">
        <v>13</v>
      </c>
      <c r="G2051" t="s">
        <v>12</v>
      </c>
      <c r="H2051">
        <v>0</v>
      </c>
      <c r="I2051">
        <v>0</v>
      </c>
      <c r="K2051">
        <v>13</v>
      </c>
      <c r="L2051">
        <v>2.2999999999999998</v>
      </c>
      <c r="M2051">
        <v>9.0436999999999994</v>
      </c>
      <c r="N2051">
        <v>2.3088000000000002</v>
      </c>
      <c r="O2051" t="s">
        <v>984</v>
      </c>
    </row>
    <row r="2052" spans="1:15" x14ac:dyDescent="0.25">
      <c r="A2052" t="s">
        <v>55</v>
      </c>
      <c r="B2052" t="s">
        <v>60</v>
      </c>
      <c r="C2052">
        <v>410</v>
      </c>
      <c r="D2052">
        <v>411</v>
      </c>
      <c r="E2052">
        <v>0.1</v>
      </c>
      <c r="F2052" t="s">
        <v>13</v>
      </c>
      <c r="G2052" t="s">
        <v>12</v>
      </c>
      <c r="H2052">
        <v>0</v>
      </c>
      <c r="I2052">
        <v>0</v>
      </c>
      <c r="K2052">
        <v>13.978</v>
      </c>
      <c r="L2052">
        <v>2.3014000000000001</v>
      </c>
      <c r="M2052">
        <v>13.925000000000001</v>
      </c>
      <c r="N2052">
        <v>2.3010999999999999</v>
      </c>
      <c r="O2052" t="s">
        <v>985</v>
      </c>
    </row>
    <row r="2053" spans="1:15" x14ac:dyDescent="0.25">
      <c r="A2053" t="s">
        <v>55</v>
      </c>
      <c r="B2053" t="s">
        <v>60</v>
      </c>
      <c r="C2053">
        <v>410</v>
      </c>
      <c r="D2053">
        <v>411</v>
      </c>
      <c r="E2053">
        <v>1</v>
      </c>
      <c r="F2053" t="s">
        <v>13</v>
      </c>
      <c r="G2053" t="s">
        <v>12</v>
      </c>
      <c r="H2053">
        <v>0</v>
      </c>
      <c r="I2053">
        <v>0</v>
      </c>
      <c r="K2053">
        <v>379.54</v>
      </c>
      <c r="L2053">
        <v>1.7988999999999999</v>
      </c>
      <c r="M2053">
        <v>379.5</v>
      </c>
      <c r="N2053">
        <v>1.7976000000000001</v>
      </c>
      <c r="O2053" t="s">
        <v>986</v>
      </c>
    </row>
    <row r="2054" spans="1:15" x14ac:dyDescent="0.25">
      <c r="A2054" t="s">
        <v>55</v>
      </c>
      <c r="B2054" t="s">
        <v>60</v>
      </c>
      <c r="C2054">
        <v>410</v>
      </c>
      <c r="D2054">
        <v>411</v>
      </c>
      <c r="E2054">
        <v>10</v>
      </c>
      <c r="F2054" t="s">
        <v>13</v>
      </c>
      <c r="G2054" t="s">
        <v>12</v>
      </c>
      <c r="H2054">
        <v>0</v>
      </c>
      <c r="I2054">
        <v>0</v>
      </c>
      <c r="K2054">
        <v>5732.3</v>
      </c>
      <c r="L2054">
        <v>0.29332000000000003</v>
      </c>
      <c r="M2054">
        <v>5732.4</v>
      </c>
      <c r="N2054">
        <v>0.29187999999999997</v>
      </c>
      <c r="O2054" t="s">
        <v>987</v>
      </c>
    </row>
    <row r="2055" spans="1:15" x14ac:dyDescent="0.25">
      <c r="A2055" t="s">
        <v>55</v>
      </c>
      <c r="B2055" t="s">
        <v>60</v>
      </c>
      <c r="C2055">
        <v>410</v>
      </c>
      <c r="D2055">
        <v>411</v>
      </c>
      <c r="E2055">
        <v>100</v>
      </c>
      <c r="F2055" t="s">
        <v>13</v>
      </c>
      <c r="G2055" t="s">
        <v>12</v>
      </c>
      <c r="H2055">
        <v>0</v>
      </c>
      <c r="I2055">
        <v>0</v>
      </c>
      <c r="K2055">
        <v>57731</v>
      </c>
      <c r="L2055">
        <v>3.0030000000000001E-2</v>
      </c>
      <c r="M2055">
        <v>57731</v>
      </c>
      <c r="N2055">
        <v>2.9441999999999999E-2</v>
      </c>
      <c r="O2055" t="s">
        <v>988</v>
      </c>
    </row>
    <row r="2056" spans="1:15" x14ac:dyDescent="0.25">
      <c r="A2056" t="s">
        <v>55</v>
      </c>
      <c r="B2056" t="s">
        <v>61</v>
      </c>
      <c r="C2056">
        <v>55</v>
      </c>
      <c r="D2056">
        <v>150.01</v>
      </c>
      <c r="E2056">
        <v>1E-3</v>
      </c>
      <c r="F2056" t="s">
        <v>13</v>
      </c>
      <c r="G2056" t="s">
        <v>12</v>
      </c>
      <c r="H2056">
        <v>0</v>
      </c>
      <c r="I2056">
        <v>0</v>
      </c>
      <c r="K2056">
        <v>7.7</v>
      </c>
      <c r="L2056">
        <v>2</v>
      </c>
      <c r="M2056">
        <v>0.58265</v>
      </c>
      <c r="N2056">
        <v>2.0474000000000001</v>
      </c>
      <c r="O2056" t="s">
        <v>946</v>
      </c>
    </row>
    <row r="2057" spans="1:15" x14ac:dyDescent="0.25">
      <c r="A2057" t="s">
        <v>55</v>
      </c>
      <c r="B2057" t="s">
        <v>61</v>
      </c>
      <c r="C2057">
        <v>55</v>
      </c>
      <c r="D2057">
        <v>150.01</v>
      </c>
      <c r="E2057">
        <v>0.01</v>
      </c>
      <c r="F2057" t="s">
        <v>13</v>
      </c>
      <c r="G2057" t="s">
        <v>12</v>
      </c>
      <c r="H2057">
        <v>0</v>
      </c>
      <c r="I2057">
        <v>0</v>
      </c>
      <c r="K2057">
        <v>7.7</v>
      </c>
      <c r="L2057">
        <v>2.0005999999999999</v>
      </c>
      <c r="M2057">
        <v>0.78383999999999998</v>
      </c>
      <c r="N2057">
        <v>2.0464000000000002</v>
      </c>
      <c r="O2057" t="s">
        <v>947</v>
      </c>
    </row>
    <row r="2058" spans="1:15" x14ac:dyDescent="0.25">
      <c r="A2058" t="s">
        <v>55</v>
      </c>
      <c r="B2058" t="s">
        <v>61</v>
      </c>
      <c r="C2058">
        <v>55</v>
      </c>
      <c r="D2058">
        <v>150.01</v>
      </c>
      <c r="E2058">
        <v>0.1</v>
      </c>
      <c r="F2058" t="s">
        <v>13</v>
      </c>
      <c r="G2058" t="s">
        <v>12</v>
      </c>
      <c r="H2058">
        <v>0</v>
      </c>
      <c r="I2058">
        <v>0</v>
      </c>
      <c r="K2058">
        <v>19.451000000000001</v>
      </c>
      <c r="L2058">
        <v>1.9578</v>
      </c>
      <c r="M2058">
        <v>19.379000000000001</v>
      </c>
      <c r="N2058">
        <v>1.9579</v>
      </c>
      <c r="O2058" t="s">
        <v>948</v>
      </c>
    </row>
    <row r="2059" spans="1:15" x14ac:dyDescent="0.25">
      <c r="A2059" t="s">
        <v>55</v>
      </c>
      <c r="B2059" t="s">
        <v>61</v>
      </c>
      <c r="C2059">
        <v>55</v>
      </c>
      <c r="D2059">
        <v>150.01</v>
      </c>
      <c r="E2059">
        <v>1</v>
      </c>
      <c r="F2059" t="s">
        <v>13</v>
      </c>
      <c r="G2059" t="s">
        <v>12</v>
      </c>
      <c r="H2059">
        <v>0</v>
      </c>
      <c r="I2059">
        <v>0</v>
      </c>
      <c r="K2059">
        <v>550.23</v>
      </c>
      <c r="L2059">
        <v>0.69408000000000003</v>
      </c>
      <c r="M2059">
        <v>550.20000000000005</v>
      </c>
      <c r="N2059">
        <v>0.69349000000000005</v>
      </c>
      <c r="O2059" t="s">
        <v>949</v>
      </c>
    </row>
    <row r="2060" spans="1:15" x14ac:dyDescent="0.25">
      <c r="A2060" t="s">
        <v>55</v>
      </c>
      <c r="B2060" t="s">
        <v>61</v>
      </c>
      <c r="C2060">
        <v>55</v>
      </c>
      <c r="D2060">
        <v>150.01</v>
      </c>
      <c r="E2060">
        <v>10</v>
      </c>
      <c r="F2060" t="s">
        <v>13</v>
      </c>
      <c r="G2060" t="s">
        <v>12</v>
      </c>
      <c r="H2060">
        <v>0</v>
      </c>
      <c r="I2060">
        <v>0</v>
      </c>
      <c r="K2060">
        <v>5770.6</v>
      </c>
      <c r="L2060">
        <v>7.4861999999999998E-2</v>
      </c>
      <c r="M2060">
        <v>5770.6</v>
      </c>
      <c r="N2060">
        <v>7.4565000000000006E-2</v>
      </c>
      <c r="O2060" t="s">
        <v>950</v>
      </c>
    </row>
    <row r="2061" spans="1:15" x14ac:dyDescent="0.25">
      <c r="A2061" t="s">
        <v>55</v>
      </c>
      <c r="B2061" t="s">
        <v>61</v>
      </c>
      <c r="C2061">
        <v>55</v>
      </c>
      <c r="D2061">
        <v>150.01</v>
      </c>
      <c r="E2061">
        <v>100</v>
      </c>
      <c r="F2061" t="s">
        <v>13</v>
      </c>
      <c r="G2061" t="s">
        <v>12</v>
      </c>
      <c r="H2061">
        <v>0</v>
      </c>
      <c r="I2061">
        <v>0</v>
      </c>
      <c r="K2061">
        <v>57735</v>
      </c>
      <c r="L2061">
        <v>7.5814999999999997E-3</v>
      </c>
      <c r="M2061">
        <v>57732</v>
      </c>
      <c r="N2061">
        <v>7.4625000000000004E-3</v>
      </c>
      <c r="O2061" t="s">
        <v>951</v>
      </c>
    </row>
    <row r="2062" spans="1:15" x14ac:dyDescent="0.25">
      <c r="A2062" t="s">
        <v>55</v>
      </c>
      <c r="B2062" t="s">
        <v>61</v>
      </c>
      <c r="C2062">
        <v>150</v>
      </c>
      <c r="D2062">
        <v>550.01</v>
      </c>
      <c r="E2062">
        <v>0.01</v>
      </c>
      <c r="F2062" t="s">
        <v>13</v>
      </c>
      <c r="G2062" t="s">
        <v>12</v>
      </c>
      <c r="H2062">
        <v>0</v>
      </c>
      <c r="I2062">
        <v>0</v>
      </c>
      <c r="K2062">
        <v>19</v>
      </c>
      <c r="L2062">
        <v>2.2000000000000002</v>
      </c>
      <c r="M2062">
        <v>-17.053000000000001</v>
      </c>
      <c r="N2062">
        <v>2.1654</v>
      </c>
      <c r="O2062" t="s">
        <v>952</v>
      </c>
    </row>
    <row r="2063" spans="1:15" x14ac:dyDescent="0.25">
      <c r="A2063" t="s">
        <v>55</v>
      </c>
      <c r="B2063" t="s">
        <v>61</v>
      </c>
      <c r="C2063">
        <v>150</v>
      </c>
      <c r="D2063">
        <v>550.01</v>
      </c>
      <c r="E2063">
        <v>0.1</v>
      </c>
      <c r="F2063" t="s">
        <v>13</v>
      </c>
      <c r="G2063" t="s">
        <v>12</v>
      </c>
      <c r="H2063">
        <v>0</v>
      </c>
      <c r="I2063">
        <v>0</v>
      </c>
      <c r="K2063">
        <v>19</v>
      </c>
      <c r="L2063">
        <v>2.2000000000000002</v>
      </c>
      <c r="M2063">
        <v>-10.260999999999999</v>
      </c>
      <c r="N2063">
        <v>2.1556000000000002</v>
      </c>
      <c r="O2063" t="s">
        <v>953</v>
      </c>
    </row>
    <row r="2064" spans="1:15" x14ac:dyDescent="0.25">
      <c r="A2064" t="s">
        <v>55</v>
      </c>
      <c r="B2064" t="s">
        <v>61</v>
      </c>
      <c r="C2064">
        <v>150</v>
      </c>
      <c r="D2064">
        <v>550.01</v>
      </c>
      <c r="E2064">
        <v>1</v>
      </c>
      <c r="F2064" t="s">
        <v>13</v>
      </c>
      <c r="G2064" t="s">
        <v>12</v>
      </c>
      <c r="H2064">
        <v>0</v>
      </c>
      <c r="I2064">
        <v>0</v>
      </c>
      <c r="K2064">
        <v>409.49</v>
      </c>
      <c r="L2064">
        <v>1.6356999999999999</v>
      </c>
      <c r="M2064">
        <v>409.01</v>
      </c>
      <c r="N2064">
        <v>1.6349</v>
      </c>
      <c r="O2064" t="s">
        <v>954</v>
      </c>
    </row>
    <row r="2065" spans="1:15" x14ac:dyDescent="0.25">
      <c r="A2065" t="s">
        <v>55</v>
      </c>
      <c r="B2065" t="s">
        <v>61</v>
      </c>
      <c r="C2065">
        <v>150</v>
      </c>
      <c r="D2065">
        <v>550.01</v>
      </c>
      <c r="E2065">
        <v>10</v>
      </c>
      <c r="F2065" t="s">
        <v>13</v>
      </c>
      <c r="G2065" t="s">
        <v>12</v>
      </c>
      <c r="H2065">
        <v>0</v>
      </c>
      <c r="I2065">
        <v>0</v>
      </c>
      <c r="K2065">
        <v>5740.6</v>
      </c>
      <c r="L2065">
        <v>0.27617999999999998</v>
      </c>
      <c r="M2065">
        <v>5740.5</v>
      </c>
      <c r="N2065">
        <v>0.27484999999999998</v>
      </c>
      <c r="O2065" t="s">
        <v>955</v>
      </c>
    </row>
    <row r="2066" spans="1:15" x14ac:dyDescent="0.25">
      <c r="A2066" t="s">
        <v>55</v>
      </c>
      <c r="B2066" t="s">
        <v>61</v>
      </c>
      <c r="C2066">
        <v>150</v>
      </c>
      <c r="D2066">
        <v>550.01</v>
      </c>
      <c r="E2066">
        <v>100</v>
      </c>
      <c r="F2066" t="s">
        <v>13</v>
      </c>
      <c r="G2066" t="s">
        <v>12</v>
      </c>
      <c r="H2066">
        <v>0</v>
      </c>
      <c r="I2066">
        <v>0</v>
      </c>
      <c r="K2066">
        <v>57732</v>
      </c>
      <c r="L2066">
        <v>2.8329E-2</v>
      </c>
      <c r="M2066">
        <v>57732</v>
      </c>
      <c r="N2066">
        <v>2.7782999999999999E-2</v>
      </c>
      <c r="O2066" t="s">
        <v>956</v>
      </c>
    </row>
    <row r="2067" spans="1:15" x14ac:dyDescent="0.25">
      <c r="A2067" t="s">
        <v>55</v>
      </c>
      <c r="B2067" t="s">
        <v>61</v>
      </c>
      <c r="C2067">
        <v>550</v>
      </c>
      <c r="D2067">
        <v>1025</v>
      </c>
      <c r="E2067">
        <v>0.01</v>
      </c>
      <c r="F2067" t="s">
        <v>13</v>
      </c>
      <c r="G2067" t="s">
        <v>12</v>
      </c>
      <c r="H2067">
        <v>0</v>
      </c>
      <c r="I2067">
        <v>0</v>
      </c>
      <c r="K2067">
        <v>32</v>
      </c>
      <c r="L2067">
        <v>2.2999999999999998</v>
      </c>
      <c r="M2067">
        <v>22.486999999999998</v>
      </c>
      <c r="N2067">
        <v>2.3089</v>
      </c>
      <c r="O2067" t="s">
        <v>957</v>
      </c>
    </row>
    <row r="2068" spans="1:15" x14ac:dyDescent="0.25">
      <c r="A2068" t="s">
        <v>55</v>
      </c>
      <c r="B2068" t="s">
        <v>61</v>
      </c>
      <c r="C2068">
        <v>550</v>
      </c>
      <c r="D2068">
        <v>1025</v>
      </c>
      <c r="E2068">
        <v>0.1</v>
      </c>
      <c r="F2068" t="s">
        <v>13</v>
      </c>
      <c r="G2068" t="s">
        <v>12</v>
      </c>
      <c r="H2068">
        <v>0</v>
      </c>
      <c r="I2068">
        <v>0</v>
      </c>
      <c r="K2068">
        <v>32</v>
      </c>
      <c r="L2068">
        <v>2.3014000000000001</v>
      </c>
      <c r="M2068">
        <v>24.491</v>
      </c>
      <c r="N2068">
        <v>2.3075999999999999</v>
      </c>
      <c r="O2068" t="s">
        <v>958</v>
      </c>
    </row>
    <row r="2069" spans="1:15" x14ac:dyDescent="0.25">
      <c r="A2069" t="s">
        <v>55</v>
      </c>
      <c r="B2069" t="s">
        <v>61</v>
      </c>
      <c r="C2069">
        <v>550</v>
      </c>
      <c r="D2069">
        <v>1025</v>
      </c>
      <c r="E2069">
        <v>1</v>
      </c>
      <c r="F2069" t="s">
        <v>13</v>
      </c>
      <c r="G2069" t="s">
        <v>12</v>
      </c>
      <c r="H2069">
        <v>0</v>
      </c>
      <c r="I2069">
        <v>0</v>
      </c>
      <c r="K2069">
        <v>209.6</v>
      </c>
      <c r="L2069">
        <v>2.1949000000000001</v>
      </c>
      <c r="M2069">
        <v>208.5</v>
      </c>
      <c r="N2069">
        <v>2.1945000000000001</v>
      </c>
      <c r="O2069" t="s">
        <v>959</v>
      </c>
    </row>
    <row r="2070" spans="1:15" x14ac:dyDescent="0.25">
      <c r="A2070" t="s">
        <v>55</v>
      </c>
      <c r="B2070" t="s">
        <v>61</v>
      </c>
      <c r="C2070">
        <v>550</v>
      </c>
      <c r="D2070">
        <v>1025</v>
      </c>
      <c r="E2070">
        <v>10</v>
      </c>
      <c r="F2070" t="s">
        <v>13</v>
      </c>
      <c r="G2070" t="s">
        <v>12</v>
      </c>
      <c r="H2070">
        <v>0</v>
      </c>
      <c r="I2070">
        <v>0</v>
      </c>
      <c r="K2070">
        <v>5532.1</v>
      </c>
      <c r="L2070">
        <v>0.70111000000000001</v>
      </c>
      <c r="M2070">
        <v>5532.1</v>
      </c>
      <c r="N2070">
        <v>0.69874999999999998</v>
      </c>
      <c r="O2070" t="s">
        <v>960</v>
      </c>
    </row>
    <row r="2071" spans="1:15" x14ac:dyDescent="0.25">
      <c r="A2071" t="s">
        <v>55</v>
      </c>
      <c r="B2071" t="s">
        <v>61</v>
      </c>
      <c r="C2071">
        <v>550</v>
      </c>
      <c r="D2071">
        <v>1025</v>
      </c>
      <c r="E2071">
        <v>100</v>
      </c>
      <c r="F2071" t="s">
        <v>13</v>
      </c>
      <c r="G2071" t="s">
        <v>12</v>
      </c>
      <c r="H2071">
        <v>0</v>
      </c>
      <c r="I2071">
        <v>0</v>
      </c>
      <c r="K2071">
        <v>57709</v>
      </c>
      <c r="L2071">
        <v>7.4653999999999998E-2</v>
      </c>
      <c r="M2071">
        <v>57710</v>
      </c>
      <c r="N2071">
        <v>7.3570999999999998E-2</v>
      </c>
      <c r="O2071" t="s">
        <v>961</v>
      </c>
    </row>
    <row r="2072" spans="1:15" x14ac:dyDescent="0.25">
      <c r="A2072" t="s">
        <v>55</v>
      </c>
      <c r="B2072" t="s">
        <v>61</v>
      </c>
      <c r="C2072">
        <v>1025</v>
      </c>
      <c r="D2072">
        <v>1026</v>
      </c>
      <c r="E2072">
        <v>0.01</v>
      </c>
      <c r="F2072" t="s">
        <v>13</v>
      </c>
      <c r="G2072" t="s">
        <v>12</v>
      </c>
      <c r="H2072">
        <v>0</v>
      </c>
      <c r="I2072">
        <v>0</v>
      </c>
      <c r="K2072">
        <v>32</v>
      </c>
      <c r="L2072">
        <v>2.2999999999999998</v>
      </c>
      <c r="M2072">
        <v>22.486999999999998</v>
      </c>
      <c r="N2072">
        <v>2.3089</v>
      </c>
      <c r="O2072" t="s">
        <v>962</v>
      </c>
    </row>
    <row r="2073" spans="1:15" x14ac:dyDescent="0.25">
      <c r="A2073" t="s">
        <v>55</v>
      </c>
      <c r="B2073" t="s">
        <v>61</v>
      </c>
      <c r="C2073">
        <v>1025</v>
      </c>
      <c r="D2073">
        <v>1026</v>
      </c>
      <c r="E2073">
        <v>0.1</v>
      </c>
      <c r="F2073" t="s">
        <v>13</v>
      </c>
      <c r="G2073" t="s">
        <v>12</v>
      </c>
      <c r="H2073">
        <v>0</v>
      </c>
      <c r="I2073">
        <v>0</v>
      </c>
      <c r="K2073">
        <v>32</v>
      </c>
      <c r="L2073">
        <v>2.3014000000000001</v>
      </c>
      <c r="M2073">
        <v>24.491</v>
      </c>
      <c r="N2073">
        <v>2.3075999999999999</v>
      </c>
      <c r="O2073" t="s">
        <v>963</v>
      </c>
    </row>
    <row r="2074" spans="1:15" x14ac:dyDescent="0.25">
      <c r="A2074" t="s">
        <v>55</v>
      </c>
      <c r="B2074" t="s">
        <v>61</v>
      </c>
      <c r="C2074">
        <v>1025</v>
      </c>
      <c r="D2074">
        <v>1026</v>
      </c>
      <c r="E2074">
        <v>1</v>
      </c>
      <c r="F2074" t="s">
        <v>13</v>
      </c>
      <c r="G2074" t="s">
        <v>12</v>
      </c>
      <c r="H2074">
        <v>0</v>
      </c>
      <c r="I2074">
        <v>0</v>
      </c>
      <c r="K2074">
        <v>209.6</v>
      </c>
      <c r="L2074">
        <v>2.1949000000000001</v>
      </c>
      <c r="M2074">
        <v>208.5</v>
      </c>
      <c r="N2074">
        <v>2.1945000000000001</v>
      </c>
      <c r="O2074" t="s">
        <v>964</v>
      </c>
    </row>
    <row r="2075" spans="1:15" x14ac:dyDescent="0.25">
      <c r="A2075" t="s">
        <v>55</v>
      </c>
      <c r="B2075" t="s">
        <v>61</v>
      </c>
      <c r="C2075">
        <v>1025</v>
      </c>
      <c r="D2075">
        <v>1026</v>
      </c>
      <c r="E2075">
        <v>10</v>
      </c>
      <c r="F2075" t="s">
        <v>13</v>
      </c>
      <c r="G2075" t="s">
        <v>12</v>
      </c>
      <c r="H2075">
        <v>0</v>
      </c>
      <c r="I2075">
        <v>0</v>
      </c>
      <c r="K2075">
        <v>5532.1</v>
      </c>
      <c r="L2075">
        <v>0.70111000000000001</v>
      </c>
      <c r="M2075">
        <v>5532.1</v>
      </c>
      <c r="N2075">
        <v>0.69874999999999998</v>
      </c>
      <c r="O2075" t="s">
        <v>965</v>
      </c>
    </row>
    <row r="2076" spans="1:15" x14ac:dyDescent="0.25">
      <c r="A2076" t="s">
        <v>55</v>
      </c>
      <c r="B2076" t="s">
        <v>61</v>
      </c>
      <c r="C2076">
        <v>1025</v>
      </c>
      <c r="D2076">
        <v>1026</v>
      </c>
      <c r="E2076">
        <v>100</v>
      </c>
      <c r="F2076" t="s">
        <v>13</v>
      </c>
      <c r="G2076" t="s">
        <v>12</v>
      </c>
      <c r="H2076">
        <v>0</v>
      </c>
      <c r="I2076">
        <v>0</v>
      </c>
      <c r="K2076">
        <v>57709</v>
      </c>
      <c r="L2076">
        <v>7.4653999999999998E-2</v>
      </c>
      <c r="M2076">
        <v>57710</v>
      </c>
      <c r="N2076">
        <v>7.3570999999999998E-2</v>
      </c>
      <c r="O2076" t="s">
        <v>966</v>
      </c>
    </row>
    <row r="2077" spans="1:15" x14ac:dyDescent="0.25">
      <c r="A2077" t="s">
        <v>55</v>
      </c>
      <c r="B2077" t="s">
        <v>3</v>
      </c>
      <c r="C2077">
        <v>0</v>
      </c>
      <c r="D2077">
        <v>0.33000099999999999</v>
      </c>
      <c r="E2077">
        <v>9.9999999999999995E-8</v>
      </c>
      <c r="F2077" t="s">
        <v>6</v>
      </c>
      <c r="G2077" t="s">
        <v>5</v>
      </c>
      <c r="H2077">
        <v>0</v>
      </c>
      <c r="I2077">
        <v>0</v>
      </c>
      <c r="K2077">
        <v>3.6</v>
      </c>
      <c r="L2077">
        <v>69</v>
      </c>
      <c r="M2077">
        <v>3.4727000000000001</v>
      </c>
      <c r="N2077">
        <v>69.313999999999993</v>
      </c>
      <c r="O2077" t="s">
        <v>909</v>
      </c>
    </row>
    <row r="2078" spans="1:15" x14ac:dyDescent="0.25">
      <c r="A2078" t="s">
        <v>55</v>
      </c>
      <c r="B2078" t="s">
        <v>3</v>
      </c>
      <c r="C2078">
        <v>0</v>
      </c>
      <c r="D2078">
        <v>0.33000099999999999</v>
      </c>
      <c r="E2078">
        <v>9.9999999999999995E-7</v>
      </c>
      <c r="F2078" t="s">
        <v>6</v>
      </c>
      <c r="G2078" t="s">
        <v>5</v>
      </c>
      <c r="H2078">
        <v>0</v>
      </c>
      <c r="I2078">
        <v>0</v>
      </c>
      <c r="K2078">
        <v>3.6</v>
      </c>
      <c r="L2078">
        <v>69.150999999999996</v>
      </c>
      <c r="M2078">
        <v>3.5196000000000001</v>
      </c>
      <c r="N2078">
        <v>69.191000000000003</v>
      </c>
      <c r="O2078" t="s">
        <v>910</v>
      </c>
    </row>
    <row r="2079" spans="1:15" x14ac:dyDescent="0.25">
      <c r="A2079" t="s">
        <v>55</v>
      </c>
      <c r="B2079" t="s">
        <v>3</v>
      </c>
      <c r="C2079">
        <v>0</v>
      </c>
      <c r="D2079">
        <v>0.33000099999999999</v>
      </c>
      <c r="E2079">
        <v>1.0000000000000001E-5</v>
      </c>
      <c r="F2079" t="s">
        <v>6</v>
      </c>
      <c r="G2079" t="s">
        <v>5</v>
      </c>
      <c r="H2079">
        <v>0</v>
      </c>
      <c r="I2079">
        <v>0</v>
      </c>
      <c r="K2079">
        <v>6.7737999999999996</v>
      </c>
      <c r="L2079">
        <v>61.286999999999999</v>
      </c>
      <c r="M2079">
        <v>6.7343999999999999</v>
      </c>
      <c r="N2079">
        <v>61.341999999999999</v>
      </c>
      <c r="O2079" t="s">
        <v>911</v>
      </c>
    </row>
    <row r="2080" spans="1:15" x14ac:dyDescent="0.25">
      <c r="A2080" t="s">
        <v>55</v>
      </c>
      <c r="B2080" t="s">
        <v>3</v>
      </c>
      <c r="C2080">
        <v>0</v>
      </c>
      <c r="D2080">
        <v>0.33000099999999999</v>
      </c>
      <c r="E2080">
        <v>1E-4</v>
      </c>
      <c r="F2080" t="s">
        <v>6</v>
      </c>
      <c r="G2080" t="s">
        <v>5</v>
      </c>
      <c r="H2080">
        <v>0</v>
      </c>
      <c r="I2080">
        <v>0</v>
      </c>
      <c r="K2080">
        <v>58.11</v>
      </c>
      <c r="L2080">
        <v>17.059999999999999</v>
      </c>
      <c r="M2080">
        <v>58.091000000000001</v>
      </c>
      <c r="N2080">
        <v>17.007000000000001</v>
      </c>
      <c r="O2080" t="s">
        <v>912</v>
      </c>
    </row>
    <row r="2081" spans="1:15" x14ac:dyDescent="0.25">
      <c r="A2081" t="s">
        <v>55</v>
      </c>
      <c r="B2081" t="s">
        <v>3</v>
      </c>
      <c r="C2081">
        <v>0</v>
      </c>
      <c r="D2081">
        <v>0.33000099999999999</v>
      </c>
      <c r="E2081">
        <v>1E-3</v>
      </c>
      <c r="F2081" t="s">
        <v>6</v>
      </c>
      <c r="G2081" t="s">
        <v>5</v>
      </c>
      <c r="H2081">
        <v>0</v>
      </c>
      <c r="I2081">
        <v>0</v>
      </c>
      <c r="K2081">
        <v>580.02</v>
      </c>
      <c r="L2081">
        <v>1.8105</v>
      </c>
      <c r="M2081">
        <v>580.01</v>
      </c>
      <c r="N2081">
        <v>1.7849999999999999</v>
      </c>
      <c r="O2081" t="s">
        <v>913</v>
      </c>
    </row>
    <row r="2082" spans="1:15" x14ac:dyDescent="0.25">
      <c r="A2082" t="s">
        <v>55</v>
      </c>
      <c r="B2082" t="s">
        <v>3</v>
      </c>
      <c r="C2082">
        <v>0</v>
      </c>
      <c r="D2082">
        <v>0.33000099999999999</v>
      </c>
      <c r="E2082">
        <v>0.01</v>
      </c>
      <c r="F2082" t="s">
        <v>6</v>
      </c>
      <c r="G2082" t="s">
        <v>5</v>
      </c>
      <c r="H2082">
        <v>0</v>
      </c>
      <c r="I2082">
        <v>0</v>
      </c>
      <c r="K2082">
        <v>5800</v>
      </c>
      <c r="L2082">
        <v>0.1888</v>
      </c>
      <c r="M2082">
        <v>5800</v>
      </c>
      <c r="N2082">
        <v>0.17859</v>
      </c>
      <c r="O2082" t="s">
        <v>914</v>
      </c>
    </row>
    <row r="2083" spans="1:15" x14ac:dyDescent="0.25">
      <c r="A2083" t="s">
        <v>55</v>
      </c>
      <c r="B2083" t="s">
        <v>3</v>
      </c>
      <c r="C2083">
        <v>0</v>
      </c>
      <c r="D2083">
        <v>0.33000099999999999</v>
      </c>
      <c r="E2083">
        <v>0.1</v>
      </c>
      <c r="F2083" t="s">
        <v>6</v>
      </c>
      <c r="G2083" t="s">
        <v>4</v>
      </c>
      <c r="H2083">
        <v>0</v>
      </c>
      <c r="I2083">
        <v>0</v>
      </c>
      <c r="K2083">
        <v>58</v>
      </c>
      <c r="L2083">
        <v>2.1943E-5</v>
      </c>
      <c r="M2083">
        <v>58</v>
      </c>
      <c r="N2083">
        <v>1.7859E-5</v>
      </c>
      <c r="O2083" t="s">
        <v>915</v>
      </c>
    </row>
    <row r="2084" spans="1:15" x14ac:dyDescent="0.25">
      <c r="A2084" t="s">
        <v>55</v>
      </c>
      <c r="B2084" t="s">
        <v>3</v>
      </c>
      <c r="C2084">
        <v>0</v>
      </c>
      <c r="D2084">
        <v>0.33000099999999999</v>
      </c>
      <c r="E2084">
        <v>1</v>
      </c>
      <c r="F2084" t="s">
        <v>6</v>
      </c>
      <c r="G2084" t="s">
        <v>4</v>
      </c>
      <c r="H2084">
        <v>0</v>
      </c>
      <c r="I2084">
        <v>0</v>
      </c>
      <c r="K2084">
        <v>580</v>
      </c>
      <c r="L2084">
        <v>3.4199999999999999E-6</v>
      </c>
      <c r="M2084">
        <v>580</v>
      </c>
      <c r="N2084">
        <v>1.79E-6</v>
      </c>
      <c r="O2084" t="s">
        <v>916</v>
      </c>
    </row>
    <row r="2085" spans="1:15" x14ac:dyDescent="0.25">
      <c r="A2085" t="s">
        <v>55</v>
      </c>
      <c r="B2085" t="s">
        <v>3</v>
      </c>
      <c r="C2085">
        <v>0</v>
      </c>
      <c r="D2085">
        <v>0.33000099999999999</v>
      </c>
      <c r="E2085">
        <v>10</v>
      </c>
      <c r="F2085" t="s">
        <v>6</v>
      </c>
      <c r="G2085" t="s">
        <v>4</v>
      </c>
      <c r="H2085">
        <v>0</v>
      </c>
      <c r="I2085">
        <v>0</v>
      </c>
      <c r="K2085">
        <v>5800</v>
      </c>
      <c r="L2085">
        <v>8.3200000000000004E-7</v>
      </c>
      <c r="M2085">
        <v>5800</v>
      </c>
      <c r="N2085">
        <v>1.79E-7</v>
      </c>
      <c r="O2085" t="s">
        <v>917</v>
      </c>
    </row>
    <row r="2086" spans="1:15" x14ac:dyDescent="0.25">
      <c r="A2086" t="s">
        <v>55</v>
      </c>
      <c r="B2086" t="s">
        <v>3</v>
      </c>
      <c r="C2086">
        <v>0.33</v>
      </c>
      <c r="D2086">
        <v>3.3000099999999999</v>
      </c>
      <c r="E2086">
        <v>9.9999999999999995E-7</v>
      </c>
      <c r="F2086" t="s">
        <v>6</v>
      </c>
      <c r="G2086" t="s">
        <v>5</v>
      </c>
      <c r="H2086">
        <v>0</v>
      </c>
      <c r="I2086">
        <v>0</v>
      </c>
      <c r="K2086">
        <v>5.9</v>
      </c>
      <c r="L2086">
        <v>58</v>
      </c>
      <c r="M2086">
        <v>5.7708000000000004</v>
      </c>
      <c r="N2086">
        <v>57.786999999999999</v>
      </c>
      <c r="O2086" t="s">
        <v>918</v>
      </c>
    </row>
    <row r="2087" spans="1:15" x14ac:dyDescent="0.25">
      <c r="A2087" t="s">
        <v>55</v>
      </c>
      <c r="B2087" t="s">
        <v>3</v>
      </c>
      <c r="C2087">
        <v>0.33</v>
      </c>
      <c r="D2087">
        <v>3.3000099999999999</v>
      </c>
      <c r="E2087">
        <v>1.0000000000000001E-5</v>
      </c>
      <c r="F2087" t="s">
        <v>6</v>
      </c>
      <c r="G2087" t="s">
        <v>5</v>
      </c>
      <c r="H2087">
        <v>0</v>
      </c>
      <c r="I2087">
        <v>0</v>
      </c>
      <c r="K2087">
        <v>6.8066000000000004</v>
      </c>
      <c r="L2087">
        <v>57.529000000000003</v>
      </c>
      <c r="M2087">
        <v>6.4957000000000003</v>
      </c>
      <c r="N2087">
        <v>57.593000000000004</v>
      </c>
      <c r="O2087" t="s">
        <v>919</v>
      </c>
    </row>
    <row r="2088" spans="1:15" x14ac:dyDescent="0.25">
      <c r="A2088" t="s">
        <v>55</v>
      </c>
      <c r="B2088" t="s">
        <v>3</v>
      </c>
      <c r="C2088">
        <v>0.33</v>
      </c>
      <c r="D2088">
        <v>3.3000099999999999</v>
      </c>
      <c r="E2088">
        <v>1E-4</v>
      </c>
      <c r="F2088" t="s">
        <v>6</v>
      </c>
      <c r="G2088" t="s">
        <v>5</v>
      </c>
      <c r="H2088">
        <v>0</v>
      </c>
      <c r="I2088">
        <v>0</v>
      </c>
      <c r="K2088">
        <v>47.82</v>
      </c>
      <c r="L2088">
        <v>47.701000000000001</v>
      </c>
      <c r="M2088">
        <v>47.341999999999999</v>
      </c>
      <c r="N2088">
        <v>47.73</v>
      </c>
      <c r="O2088" t="s">
        <v>920</v>
      </c>
    </row>
    <row r="2089" spans="1:15" x14ac:dyDescent="0.25">
      <c r="A2089" t="s">
        <v>55</v>
      </c>
      <c r="B2089" t="s">
        <v>3</v>
      </c>
      <c r="C2089">
        <v>0.33</v>
      </c>
      <c r="D2089">
        <v>3.3000099999999999</v>
      </c>
      <c r="E2089">
        <v>1E-3</v>
      </c>
      <c r="F2089" t="s">
        <v>6</v>
      </c>
      <c r="G2089" t="s">
        <v>5</v>
      </c>
      <c r="H2089">
        <v>0</v>
      </c>
      <c r="I2089">
        <v>0</v>
      </c>
      <c r="K2089">
        <v>577.16999999999996</v>
      </c>
      <c r="L2089">
        <v>10.824</v>
      </c>
      <c r="M2089">
        <v>576.99</v>
      </c>
      <c r="N2089">
        <v>10.721</v>
      </c>
      <c r="O2089" t="s">
        <v>921</v>
      </c>
    </row>
    <row r="2090" spans="1:15" x14ac:dyDescent="0.25">
      <c r="A2090" t="s">
        <v>55</v>
      </c>
      <c r="B2090" t="s">
        <v>3</v>
      </c>
      <c r="C2090">
        <v>0.33</v>
      </c>
      <c r="D2090">
        <v>3.3000099999999999</v>
      </c>
      <c r="E2090">
        <v>0.01</v>
      </c>
      <c r="F2090" t="s">
        <v>6</v>
      </c>
      <c r="G2090" t="s">
        <v>5</v>
      </c>
      <c r="H2090">
        <v>0</v>
      </c>
      <c r="I2090">
        <v>0</v>
      </c>
      <c r="K2090">
        <v>5799.8</v>
      </c>
      <c r="L2090">
        <v>1.1473</v>
      </c>
      <c r="M2090">
        <v>5799.7</v>
      </c>
      <c r="N2090">
        <v>1.1022000000000001</v>
      </c>
      <c r="O2090" t="s">
        <v>922</v>
      </c>
    </row>
    <row r="2091" spans="1:15" x14ac:dyDescent="0.25">
      <c r="A2091" t="s">
        <v>55</v>
      </c>
      <c r="B2091" t="s">
        <v>3</v>
      </c>
      <c r="C2091">
        <v>0.33</v>
      </c>
      <c r="D2091">
        <v>3.3000099999999999</v>
      </c>
      <c r="E2091">
        <v>0.1</v>
      </c>
      <c r="F2091" t="s">
        <v>6</v>
      </c>
      <c r="G2091" t="s">
        <v>5</v>
      </c>
      <c r="H2091">
        <v>0</v>
      </c>
      <c r="I2091">
        <v>0</v>
      </c>
      <c r="K2091">
        <v>58000</v>
      </c>
      <c r="L2091">
        <v>0.12833</v>
      </c>
      <c r="M2091">
        <v>5799.8</v>
      </c>
      <c r="N2091">
        <v>0.11025</v>
      </c>
      <c r="O2091" t="s">
        <v>923</v>
      </c>
    </row>
    <row r="2092" spans="1:15" x14ac:dyDescent="0.25">
      <c r="A2092" t="s">
        <v>55</v>
      </c>
      <c r="B2092" t="s">
        <v>3</v>
      </c>
      <c r="C2092">
        <v>3</v>
      </c>
      <c r="D2092">
        <v>33.000100000000003</v>
      </c>
      <c r="E2092">
        <v>1.0000000000000001E-5</v>
      </c>
      <c r="F2092" t="s">
        <v>6</v>
      </c>
      <c r="G2092" t="s">
        <v>4</v>
      </c>
      <c r="H2092">
        <v>0</v>
      </c>
      <c r="I2092">
        <v>0</v>
      </c>
      <c r="K2092">
        <v>5.8999999999999997E-2</v>
      </c>
      <c r="L2092">
        <v>5.8000000000000003E-2</v>
      </c>
      <c r="M2092">
        <v>5.8347999999999997E-2</v>
      </c>
      <c r="N2092">
        <v>5.7918999999999998E-2</v>
      </c>
      <c r="O2092" t="s">
        <v>924</v>
      </c>
    </row>
    <row r="2093" spans="1:15" x14ac:dyDescent="0.25">
      <c r="A2093" t="s">
        <v>55</v>
      </c>
      <c r="B2093" t="s">
        <v>3</v>
      </c>
      <c r="C2093">
        <v>3</v>
      </c>
      <c r="D2093">
        <v>33.000100000000003</v>
      </c>
      <c r="E2093">
        <v>1E-4</v>
      </c>
      <c r="F2093" t="s">
        <v>6</v>
      </c>
      <c r="G2093" t="s">
        <v>4</v>
      </c>
      <c r="H2093">
        <v>0</v>
      </c>
      <c r="I2093">
        <v>0</v>
      </c>
      <c r="K2093">
        <v>6.7757999999999999E-2</v>
      </c>
      <c r="L2093">
        <v>5.7660999999999997E-2</v>
      </c>
      <c r="M2093">
        <v>6.4652000000000001E-2</v>
      </c>
      <c r="N2093">
        <v>5.7724999999999999E-2</v>
      </c>
      <c r="O2093" t="s">
        <v>925</v>
      </c>
    </row>
    <row r="2094" spans="1:15" x14ac:dyDescent="0.25">
      <c r="A2094" t="s">
        <v>55</v>
      </c>
      <c r="B2094" t="s">
        <v>3</v>
      </c>
      <c r="C2094">
        <v>3</v>
      </c>
      <c r="D2094">
        <v>33.000100000000003</v>
      </c>
      <c r="E2094">
        <v>1E-3</v>
      </c>
      <c r="F2094" t="s">
        <v>6</v>
      </c>
      <c r="G2094" t="s">
        <v>4</v>
      </c>
      <c r="H2094">
        <v>0</v>
      </c>
      <c r="I2094">
        <v>0</v>
      </c>
      <c r="K2094">
        <v>0.47783999999999999</v>
      </c>
      <c r="L2094">
        <v>4.7829000000000003E-2</v>
      </c>
      <c r="M2094">
        <v>0.47304000000000002</v>
      </c>
      <c r="N2094">
        <v>4.7858999999999999E-2</v>
      </c>
      <c r="O2094" t="s">
        <v>926</v>
      </c>
    </row>
    <row r="2095" spans="1:15" x14ac:dyDescent="0.25">
      <c r="A2095" t="s">
        <v>55</v>
      </c>
      <c r="B2095" t="s">
        <v>3</v>
      </c>
      <c r="C2095">
        <v>3</v>
      </c>
      <c r="D2095">
        <v>33.000100000000003</v>
      </c>
      <c r="E2095">
        <v>0.01</v>
      </c>
      <c r="F2095" t="s">
        <v>6</v>
      </c>
      <c r="G2095" t="s">
        <v>4</v>
      </c>
      <c r="H2095">
        <v>0</v>
      </c>
      <c r="I2095">
        <v>0</v>
      </c>
      <c r="K2095">
        <v>5.7714999999999996</v>
      </c>
      <c r="L2095">
        <v>1.0867999999999999E-2</v>
      </c>
      <c r="M2095">
        <v>5.7698</v>
      </c>
      <c r="N2095">
        <v>1.0763999999999999E-2</v>
      </c>
      <c r="O2095" t="s">
        <v>927</v>
      </c>
    </row>
    <row r="2096" spans="1:15" x14ac:dyDescent="0.25">
      <c r="A2096" t="s">
        <v>55</v>
      </c>
      <c r="B2096" t="s">
        <v>3</v>
      </c>
      <c r="C2096">
        <v>3</v>
      </c>
      <c r="D2096">
        <v>33.000100000000003</v>
      </c>
      <c r="E2096">
        <v>0.1</v>
      </c>
      <c r="F2096" t="s">
        <v>6</v>
      </c>
      <c r="G2096" t="s">
        <v>4</v>
      </c>
      <c r="H2096">
        <v>0</v>
      </c>
      <c r="I2096">
        <v>0</v>
      </c>
      <c r="K2096">
        <v>57.997999999999998</v>
      </c>
      <c r="L2096">
        <v>1.1519E-3</v>
      </c>
      <c r="M2096">
        <v>57.997</v>
      </c>
      <c r="N2096">
        <v>1.1068E-3</v>
      </c>
      <c r="O2096" t="s">
        <v>928</v>
      </c>
    </row>
    <row r="2097" spans="1:15" x14ac:dyDescent="0.25">
      <c r="A2097" t="s">
        <v>55</v>
      </c>
      <c r="B2097" t="s">
        <v>3</v>
      </c>
      <c r="C2097">
        <v>3</v>
      </c>
      <c r="D2097">
        <v>33.000100000000003</v>
      </c>
      <c r="E2097">
        <v>1</v>
      </c>
      <c r="F2097" t="s">
        <v>6</v>
      </c>
      <c r="G2097" t="s">
        <v>4</v>
      </c>
      <c r="H2097">
        <v>0</v>
      </c>
      <c r="I2097">
        <v>0</v>
      </c>
      <c r="K2097">
        <v>580</v>
      </c>
      <c r="L2097">
        <v>1.2878999999999999E-4</v>
      </c>
      <c r="M2097">
        <v>580</v>
      </c>
      <c r="N2097">
        <v>1.1071E-4</v>
      </c>
      <c r="O2097" t="s">
        <v>929</v>
      </c>
    </row>
    <row r="2098" spans="1:15" x14ac:dyDescent="0.25">
      <c r="A2098" t="s">
        <v>55</v>
      </c>
      <c r="B2098" t="s">
        <v>3</v>
      </c>
      <c r="C2098">
        <v>33</v>
      </c>
      <c r="D2098">
        <v>330.00099999999998</v>
      </c>
      <c r="E2098">
        <v>1E-4</v>
      </c>
      <c r="F2098" t="s">
        <v>6</v>
      </c>
      <c r="G2098" t="s">
        <v>4</v>
      </c>
      <c r="H2098">
        <v>0</v>
      </c>
      <c r="I2098">
        <v>0</v>
      </c>
      <c r="K2098">
        <v>0.59</v>
      </c>
      <c r="L2098">
        <v>6.4000000000000001E-2</v>
      </c>
      <c r="M2098">
        <v>0.57833999999999997</v>
      </c>
      <c r="N2098">
        <v>6.3644000000000006E-2</v>
      </c>
      <c r="O2098" t="s">
        <v>930</v>
      </c>
    </row>
    <row r="2099" spans="1:15" x14ac:dyDescent="0.25">
      <c r="A2099" t="s">
        <v>55</v>
      </c>
      <c r="B2099" t="s">
        <v>3</v>
      </c>
      <c r="C2099">
        <v>33</v>
      </c>
      <c r="D2099">
        <v>330.00099999999998</v>
      </c>
      <c r="E2099">
        <v>1E-3</v>
      </c>
      <c r="F2099" t="s">
        <v>6</v>
      </c>
      <c r="G2099" t="s">
        <v>4</v>
      </c>
      <c r="H2099">
        <v>0</v>
      </c>
      <c r="I2099">
        <v>0</v>
      </c>
      <c r="K2099">
        <v>0.67471000000000003</v>
      </c>
      <c r="L2099">
        <v>6.3403000000000001E-2</v>
      </c>
      <c r="M2099">
        <v>0.64578000000000002</v>
      </c>
      <c r="N2099">
        <v>6.3463000000000006E-2</v>
      </c>
      <c r="O2099" t="s">
        <v>931</v>
      </c>
    </row>
    <row r="2100" spans="1:15" x14ac:dyDescent="0.25">
      <c r="A2100" t="s">
        <v>55</v>
      </c>
      <c r="B2100" t="s">
        <v>3</v>
      </c>
      <c r="C2100">
        <v>33</v>
      </c>
      <c r="D2100">
        <v>330.00099999999998</v>
      </c>
      <c r="E2100">
        <v>0.01</v>
      </c>
      <c r="F2100" t="s">
        <v>6</v>
      </c>
      <c r="G2100" t="s">
        <v>4</v>
      </c>
      <c r="H2100">
        <v>0</v>
      </c>
      <c r="I2100">
        <v>0</v>
      </c>
      <c r="K2100">
        <v>4.6628999999999996</v>
      </c>
      <c r="L2100">
        <v>5.3692999999999998E-2</v>
      </c>
      <c r="M2100">
        <v>4.6153000000000004</v>
      </c>
      <c r="N2100">
        <v>5.3731000000000001E-2</v>
      </c>
      <c r="O2100" t="s">
        <v>932</v>
      </c>
    </row>
    <row r="2101" spans="1:15" x14ac:dyDescent="0.25">
      <c r="A2101" t="s">
        <v>55</v>
      </c>
      <c r="B2101" t="s">
        <v>3</v>
      </c>
      <c r="C2101">
        <v>33</v>
      </c>
      <c r="D2101">
        <v>330.00099999999998</v>
      </c>
      <c r="E2101">
        <v>0.1</v>
      </c>
      <c r="F2101" t="s">
        <v>6</v>
      </c>
      <c r="G2101" t="s">
        <v>4</v>
      </c>
      <c r="H2101">
        <v>0</v>
      </c>
      <c r="I2101">
        <v>0</v>
      </c>
      <c r="K2101">
        <v>57.654000000000003</v>
      </c>
      <c r="L2101">
        <v>1.2973999999999999E-2</v>
      </c>
      <c r="M2101">
        <v>57.637</v>
      </c>
      <c r="N2101">
        <v>1.2872E-2</v>
      </c>
      <c r="O2101" t="s">
        <v>933</v>
      </c>
    </row>
    <row r="2102" spans="1:15" x14ac:dyDescent="0.25">
      <c r="A2102" t="s">
        <v>55</v>
      </c>
      <c r="B2102" t="s">
        <v>3</v>
      </c>
      <c r="C2102">
        <v>33</v>
      </c>
      <c r="D2102">
        <v>330.00099999999998</v>
      </c>
      <c r="E2102">
        <v>1</v>
      </c>
      <c r="F2102" t="s">
        <v>6</v>
      </c>
      <c r="G2102" t="s">
        <v>4</v>
      </c>
      <c r="H2102">
        <v>0</v>
      </c>
      <c r="I2102">
        <v>0</v>
      </c>
      <c r="K2102">
        <v>579.97</v>
      </c>
      <c r="L2102">
        <v>1.3757000000000001E-3</v>
      </c>
      <c r="M2102">
        <v>579.96</v>
      </c>
      <c r="N2102">
        <v>1.3305000000000001E-3</v>
      </c>
      <c r="O2102" t="s">
        <v>934</v>
      </c>
    </row>
    <row r="2103" spans="1:15" x14ac:dyDescent="0.25">
      <c r="A2103" t="s">
        <v>55</v>
      </c>
      <c r="B2103" t="s">
        <v>3</v>
      </c>
      <c r="C2103">
        <v>33</v>
      </c>
      <c r="D2103">
        <v>330.00099999999998</v>
      </c>
      <c r="E2103">
        <v>10</v>
      </c>
      <c r="F2103" t="s">
        <v>6</v>
      </c>
      <c r="G2103" t="s">
        <v>4</v>
      </c>
      <c r="H2103">
        <v>0</v>
      </c>
      <c r="I2103">
        <v>0</v>
      </c>
      <c r="K2103">
        <v>5800</v>
      </c>
      <c r="L2103">
        <v>1.5118E-4</v>
      </c>
      <c r="M2103">
        <v>5800</v>
      </c>
      <c r="N2103">
        <v>1.3310000000000001E-4</v>
      </c>
      <c r="O2103" t="s">
        <v>935</v>
      </c>
    </row>
    <row r="2104" spans="1:15" x14ac:dyDescent="0.25">
      <c r="A2104" t="s">
        <v>55</v>
      </c>
      <c r="B2104" t="s">
        <v>3</v>
      </c>
      <c r="C2104">
        <v>330</v>
      </c>
      <c r="D2104">
        <v>1000.01</v>
      </c>
      <c r="E2104">
        <v>1E-3</v>
      </c>
      <c r="F2104" t="s">
        <v>6</v>
      </c>
      <c r="G2104" t="s">
        <v>4</v>
      </c>
      <c r="H2104">
        <v>0</v>
      </c>
      <c r="I2104">
        <v>0</v>
      </c>
      <c r="K2104">
        <v>1.9</v>
      </c>
      <c r="L2104">
        <v>6.4000000000000001E-2</v>
      </c>
      <c r="M2104">
        <v>1.7548999999999999</v>
      </c>
      <c r="N2104">
        <v>6.3615000000000005E-2</v>
      </c>
      <c r="O2104" t="s">
        <v>936</v>
      </c>
    </row>
    <row r="2105" spans="1:15" x14ac:dyDescent="0.25">
      <c r="A2105" t="s">
        <v>55</v>
      </c>
      <c r="B2105" t="s">
        <v>3</v>
      </c>
      <c r="C2105">
        <v>330</v>
      </c>
      <c r="D2105">
        <v>1000.01</v>
      </c>
      <c r="E2105">
        <v>0.01</v>
      </c>
      <c r="F2105" t="s">
        <v>6</v>
      </c>
      <c r="G2105" t="s">
        <v>4</v>
      </c>
      <c r="H2105">
        <v>0</v>
      </c>
      <c r="I2105">
        <v>0</v>
      </c>
      <c r="K2105">
        <v>3.0276999999999998</v>
      </c>
      <c r="L2105">
        <v>6.2894000000000005E-2</v>
      </c>
      <c r="M2105">
        <v>2.7052</v>
      </c>
      <c r="N2105">
        <v>6.2919000000000003E-2</v>
      </c>
      <c r="O2105" t="s">
        <v>937</v>
      </c>
    </row>
    <row r="2106" spans="1:15" x14ac:dyDescent="0.25">
      <c r="A2106" t="s">
        <v>55</v>
      </c>
      <c r="B2106" t="s">
        <v>3</v>
      </c>
      <c r="C2106">
        <v>330</v>
      </c>
      <c r="D2106">
        <v>1000.01</v>
      </c>
      <c r="E2106">
        <v>0.1</v>
      </c>
      <c r="F2106" t="s">
        <v>6</v>
      </c>
      <c r="G2106" t="s">
        <v>4</v>
      </c>
      <c r="H2106">
        <v>0</v>
      </c>
      <c r="I2106">
        <v>0</v>
      </c>
      <c r="K2106">
        <v>50.21</v>
      </c>
      <c r="L2106">
        <v>3.8072000000000002E-2</v>
      </c>
      <c r="M2106">
        <v>49.941000000000003</v>
      </c>
      <c r="N2106">
        <v>3.7448000000000002E-2</v>
      </c>
      <c r="O2106" t="s">
        <v>938</v>
      </c>
    </row>
    <row r="2107" spans="1:15" x14ac:dyDescent="0.25">
      <c r="A2107" t="s">
        <v>55</v>
      </c>
      <c r="B2107" t="s">
        <v>3</v>
      </c>
      <c r="C2107">
        <v>330</v>
      </c>
      <c r="D2107">
        <v>1000.01</v>
      </c>
      <c r="E2107">
        <v>1</v>
      </c>
      <c r="F2107" t="s">
        <v>6</v>
      </c>
      <c r="G2107" t="s">
        <v>4</v>
      </c>
      <c r="H2107">
        <v>0</v>
      </c>
      <c r="I2107">
        <v>0</v>
      </c>
      <c r="K2107">
        <v>578.9</v>
      </c>
      <c r="L2107">
        <v>5.3112000000000003E-3</v>
      </c>
      <c r="M2107">
        <v>578.86</v>
      </c>
      <c r="N2107">
        <v>4.8152999999999998E-3</v>
      </c>
      <c r="O2107" t="s">
        <v>939</v>
      </c>
    </row>
    <row r="2108" spans="1:15" x14ac:dyDescent="0.25">
      <c r="A2108" t="s">
        <v>55</v>
      </c>
      <c r="B2108" t="s">
        <v>3</v>
      </c>
      <c r="C2108">
        <v>330</v>
      </c>
      <c r="D2108">
        <v>1000.01</v>
      </c>
      <c r="E2108">
        <v>10</v>
      </c>
      <c r="F2108" t="s">
        <v>6</v>
      </c>
      <c r="G2108" t="s">
        <v>4</v>
      </c>
      <c r="H2108">
        <v>0</v>
      </c>
      <c r="I2108">
        <v>0</v>
      </c>
      <c r="K2108">
        <v>5799.9</v>
      </c>
      <c r="L2108">
        <v>6.8362000000000002E-4</v>
      </c>
      <c r="M2108">
        <v>5799.9</v>
      </c>
      <c r="N2108">
        <v>4.8322000000000003E-4</v>
      </c>
      <c r="O2108" t="s">
        <v>940</v>
      </c>
    </row>
    <row r="2109" spans="1:15" x14ac:dyDescent="0.25">
      <c r="A2109" t="s">
        <v>55</v>
      </c>
      <c r="B2109" t="s">
        <v>3</v>
      </c>
      <c r="C2109">
        <v>1000</v>
      </c>
      <c r="D2109">
        <v>1001</v>
      </c>
      <c r="E2109">
        <v>1E-3</v>
      </c>
      <c r="F2109" t="s">
        <v>6</v>
      </c>
      <c r="G2109" t="s">
        <v>4</v>
      </c>
      <c r="H2109">
        <v>0</v>
      </c>
      <c r="I2109">
        <v>0</v>
      </c>
      <c r="K2109">
        <v>1.9</v>
      </c>
      <c r="L2109">
        <v>6.4000000000000001E-2</v>
      </c>
      <c r="M2109">
        <v>1.7548999999999999</v>
      </c>
      <c r="N2109">
        <v>6.3615000000000005E-2</v>
      </c>
      <c r="O2109" t="s">
        <v>941</v>
      </c>
    </row>
    <row r="2110" spans="1:15" x14ac:dyDescent="0.25">
      <c r="A2110" t="s">
        <v>55</v>
      </c>
      <c r="B2110" t="s">
        <v>3</v>
      </c>
      <c r="C2110">
        <v>1000</v>
      </c>
      <c r="D2110">
        <v>1001</v>
      </c>
      <c r="E2110">
        <v>0.01</v>
      </c>
      <c r="F2110" t="s">
        <v>6</v>
      </c>
      <c r="G2110" t="s">
        <v>4</v>
      </c>
      <c r="H2110">
        <v>0</v>
      </c>
      <c r="I2110">
        <v>0</v>
      </c>
      <c r="K2110">
        <v>3.0276999999999998</v>
      </c>
      <c r="L2110">
        <v>6.2894000000000005E-2</v>
      </c>
      <c r="M2110">
        <v>2.7052</v>
      </c>
      <c r="N2110">
        <v>6.2919000000000003E-2</v>
      </c>
      <c r="O2110" t="s">
        <v>942</v>
      </c>
    </row>
    <row r="2111" spans="1:15" x14ac:dyDescent="0.25">
      <c r="A2111" t="s">
        <v>55</v>
      </c>
      <c r="B2111" t="s">
        <v>3</v>
      </c>
      <c r="C2111">
        <v>1000</v>
      </c>
      <c r="D2111">
        <v>1001</v>
      </c>
      <c r="E2111">
        <v>0.1</v>
      </c>
      <c r="F2111" t="s">
        <v>6</v>
      </c>
      <c r="G2111" t="s">
        <v>4</v>
      </c>
      <c r="H2111">
        <v>0</v>
      </c>
      <c r="I2111">
        <v>0</v>
      </c>
      <c r="K2111">
        <v>50.21</v>
      </c>
      <c r="L2111">
        <v>3.8072000000000002E-2</v>
      </c>
      <c r="M2111">
        <v>49.941000000000003</v>
      </c>
      <c r="N2111">
        <v>3.7448000000000002E-2</v>
      </c>
      <c r="O2111" t="s">
        <v>943</v>
      </c>
    </row>
    <row r="2112" spans="1:15" x14ac:dyDescent="0.25">
      <c r="A2112" t="s">
        <v>55</v>
      </c>
      <c r="B2112" t="s">
        <v>3</v>
      </c>
      <c r="C2112">
        <v>1000</v>
      </c>
      <c r="D2112">
        <v>1001</v>
      </c>
      <c r="E2112">
        <v>1</v>
      </c>
      <c r="F2112" t="s">
        <v>6</v>
      </c>
      <c r="G2112" t="s">
        <v>4</v>
      </c>
      <c r="H2112">
        <v>0</v>
      </c>
      <c r="I2112">
        <v>0</v>
      </c>
      <c r="K2112">
        <v>578.9</v>
      </c>
      <c r="L2112">
        <v>5.3112000000000003E-3</v>
      </c>
      <c r="M2112">
        <v>578.86</v>
      </c>
      <c r="N2112">
        <v>4.8152999999999998E-3</v>
      </c>
      <c r="O2112" t="s">
        <v>944</v>
      </c>
    </row>
    <row r="2113" spans="1:15" x14ac:dyDescent="0.25">
      <c r="A2113" t="s">
        <v>55</v>
      </c>
      <c r="B2113" t="s">
        <v>3</v>
      </c>
      <c r="C2113">
        <v>1000</v>
      </c>
      <c r="D2113">
        <v>1001</v>
      </c>
      <c r="E2113">
        <v>10</v>
      </c>
      <c r="F2113" t="s">
        <v>6</v>
      </c>
      <c r="G2113" t="s">
        <v>4</v>
      </c>
      <c r="H2113">
        <v>0</v>
      </c>
      <c r="I2113">
        <v>0</v>
      </c>
      <c r="K2113">
        <v>5799.9</v>
      </c>
      <c r="L2113">
        <v>6.8362000000000002E-4</v>
      </c>
      <c r="M2113">
        <v>5799.9</v>
      </c>
      <c r="N2113">
        <v>4.8322000000000003E-4</v>
      </c>
      <c r="O2113" t="s">
        <v>945</v>
      </c>
    </row>
    <row r="2114" spans="1:15" x14ac:dyDescent="0.25">
      <c r="A2114" t="s">
        <v>55</v>
      </c>
      <c r="B2114" t="s">
        <v>100</v>
      </c>
      <c r="C2114">
        <v>0</v>
      </c>
      <c r="D2114">
        <v>1.0900000000000001E-4</v>
      </c>
      <c r="E2114">
        <v>1E-10</v>
      </c>
      <c r="F2114" t="s">
        <v>154</v>
      </c>
      <c r="G2114" t="s">
        <v>154</v>
      </c>
      <c r="H2114">
        <v>0</v>
      </c>
      <c r="I2114">
        <v>0</v>
      </c>
      <c r="K2114">
        <v>0</v>
      </c>
      <c r="L2114">
        <v>3.5999999999999999E-3</v>
      </c>
      <c r="M2114">
        <v>0</v>
      </c>
      <c r="N2114">
        <v>0</v>
      </c>
      <c r="O2114" t="s">
        <v>845</v>
      </c>
    </row>
    <row r="2115" spans="1:15" x14ac:dyDescent="0.25">
      <c r="A2115" t="s">
        <v>55</v>
      </c>
      <c r="B2115" t="s">
        <v>100</v>
      </c>
      <c r="C2115">
        <v>0</v>
      </c>
      <c r="D2115">
        <v>1.0900000000000001E-4</v>
      </c>
      <c r="E2115">
        <v>1.0000000000000001E-9</v>
      </c>
      <c r="F2115" t="s">
        <v>154</v>
      </c>
      <c r="G2115" t="s">
        <v>154</v>
      </c>
      <c r="H2115">
        <v>0</v>
      </c>
      <c r="I2115">
        <v>0</v>
      </c>
      <c r="K2115">
        <v>0</v>
      </c>
      <c r="L2115">
        <v>3.5999999999999999E-3</v>
      </c>
      <c r="M2115">
        <v>0</v>
      </c>
      <c r="N2115">
        <v>0</v>
      </c>
      <c r="O2115" t="s">
        <v>846</v>
      </c>
    </row>
    <row r="2116" spans="1:15" x14ac:dyDescent="0.25">
      <c r="A2116" t="s">
        <v>55</v>
      </c>
      <c r="B2116" t="s">
        <v>100</v>
      </c>
      <c r="C2116">
        <v>0</v>
      </c>
      <c r="D2116">
        <v>1.0900000000000001E-4</v>
      </c>
      <c r="E2116">
        <v>1E-8</v>
      </c>
      <c r="F2116" t="s">
        <v>154</v>
      </c>
      <c r="G2116" t="s">
        <v>154</v>
      </c>
      <c r="H2116">
        <v>0</v>
      </c>
      <c r="I2116">
        <v>0</v>
      </c>
      <c r="K2116">
        <v>0</v>
      </c>
      <c r="L2116">
        <v>6.8024000000000001E-3</v>
      </c>
      <c r="M2116">
        <v>0</v>
      </c>
      <c r="N2116">
        <v>0</v>
      </c>
      <c r="O2116" t="s">
        <v>847</v>
      </c>
    </row>
    <row r="2117" spans="1:15" x14ac:dyDescent="0.25">
      <c r="A2117" t="s">
        <v>55</v>
      </c>
      <c r="B2117" t="s">
        <v>100</v>
      </c>
      <c r="C2117">
        <v>0</v>
      </c>
      <c r="D2117">
        <v>1.0900000000000001E-4</v>
      </c>
      <c r="E2117">
        <v>9.9999999999999995E-8</v>
      </c>
      <c r="F2117" t="s">
        <v>154</v>
      </c>
      <c r="G2117" t="s">
        <v>154</v>
      </c>
      <c r="H2117">
        <v>0</v>
      </c>
      <c r="I2117">
        <v>0</v>
      </c>
      <c r="K2117">
        <v>0</v>
      </c>
      <c r="L2117">
        <v>5.8110000000000002E-2</v>
      </c>
      <c r="M2117">
        <v>0</v>
      </c>
      <c r="N2117">
        <v>0</v>
      </c>
      <c r="O2117" t="s">
        <v>848</v>
      </c>
    </row>
    <row r="2118" spans="1:15" x14ac:dyDescent="0.25">
      <c r="A2118" t="s">
        <v>55</v>
      </c>
      <c r="B2118" t="s">
        <v>100</v>
      </c>
      <c r="C2118">
        <v>0</v>
      </c>
      <c r="D2118">
        <v>1.0900000000000001E-4</v>
      </c>
      <c r="E2118">
        <v>9.9999999999999995E-7</v>
      </c>
      <c r="F2118" t="s">
        <v>154</v>
      </c>
      <c r="G2118" t="s">
        <v>154</v>
      </c>
      <c r="H2118">
        <v>0</v>
      </c>
      <c r="I2118">
        <v>0</v>
      </c>
      <c r="K2118">
        <v>0</v>
      </c>
      <c r="L2118">
        <v>0.58001000000000003</v>
      </c>
      <c r="M2118">
        <v>0</v>
      </c>
      <c r="N2118">
        <v>0</v>
      </c>
      <c r="O2118" t="s">
        <v>849</v>
      </c>
    </row>
    <row r="2119" spans="1:15" x14ac:dyDescent="0.25">
      <c r="A2119" t="s">
        <v>55</v>
      </c>
      <c r="B2119" t="s">
        <v>100</v>
      </c>
      <c r="C2119">
        <v>0</v>
      </c>
      <c r="D2119">
        <v>1.0900000000000001E-4</v>
      </c>
      <c r="E2119">
        <v>1.0000000000000001E-5</v>
      </c>
      <c r="F2119" t="s">
        <v>154</v>
      </c>
      <c r="G2119" t="s">
        <v>154</v>
      </c>
      <c r="H2119">
        <v>0</v>
      </c>
      <c r="I2119">
        <v>0</v>
      </c>
      <c r="K2119">
        <v>0</v>
      </c>
      <c r="L2119">
        <v>5.8</v>
      </c>
      <c r="M2119">
        <v>0</v>
      </c>
      <c r="N2119">
        <v>0</v>
      </c>
      <c r="O2119" t="s">
        <v>850</v>
      </c>
    </row>
    <row r="2120" spans="1:15" x14ac:dyDescent="0.25">
      <c r="A2120" t="s">
        <v>55</v>
      </c>
      <c r="B2120" t="s">
        <v>100</v>
      </c>
      <c r="C2120">
        <v>0</v>
      </c>
      <c r="D2120">
        <v>1.0900000000000001E-4</v>
      </c>
      <c r="E2120">
        <v>1E-4</v>
      </c>
      <c r="F2120" t="s">
        <v>154</v>
      </c>
      <c r="G2120" t="s">
        <v>154</v>
      </c>
      <c r="H2120">
        <v>0</v>
      </c>
      <c r="I2120">
        <v>0</v>
      </c>
      <c r="K2120">
        <v>0</v>
      </c>
      <c r="L2120">
        <v>58</v>
      </c>
      <c r="M2120">
        <v>0</v>
      </c>
      <c r="N2120">
        <v>0</v>
      </c>
      <c r="O2120" t="s">
        <v>851</v>
      </c>
    </row>
    <row r="2121" spans="1:15" x14ac:dyDescent="0.25">
      <c r="A2121" t="s">
        <v>55</v>
      </c>
      <c r="B2121" t="s">
        <v>100</v>
      </c>
      <c r="C2121">
        <v>0</v>
      </c>
      <c r="D2121">
        <v>1.0900000000000001E-4</v>
      </c>
      <c r="E2121">
        <v>1E-3</v>
      </c>
      <c r="F2121" t="s">
        <v>154</v>
      </c>
      <c r="G2121" t="s">
        <v>154</v>
      </c>
      <c r="H2121">
        <v>0</v>
      </c>
      <c r="I2121">
        <v>0</v>
      </c>
      <c r="K2121">
        <v>0</v>
      </c>
      <c r="L2121">
        <v>580</v>
      </c>
      <c r="M2121">
        <v>0</v>
      </c>
      <c r="N2121">
        <v>0</v>
      </c>
      <c r="O2121" t="s">
        <v>852</v>
      </c>
    </row>
    <row r="2122" spans="1:15" x14ac:dyDescent="0.25">
      <c r="A2122" t="s">
        <v>55</v>
      </c>
      <c r="B2122" t="s">
        <v>100</v>
      </c>
      <c r="C2122">
        <v>0</v>
      </c>
      <c r="D2122">
        <v>1.0900000000000001E-4</v>
      </c>
      <c r="E2122">
        <v>0.01</v>
      </c>
      <c r="F2122" t="s">
        <v>154</v>
      </c>
      <c r="G2122" t="s">
        <v>154</v>
      </c>
      <c r="H2122">
        <v>0</v>
      </c>
      <c r="I2122">
        <v>0</v>
      </c>
      <c r="K2122">
        <v>0</v>
      </c>
      <c r="L2122">
        <v>5800</v>
      </c>
      <c r="M2122">
        <v>0</v>
      </c>
      <c r="N2122">
        <v>0</v>
      </c>
      <c r="O2122" t="s">
        <v>853</v>
      </c>
    </row>
    <row r="2123" spans="1:15" x14ac:dyDescent="0.25">
      <c r="A2123" t="s">
        <v>55</v>
      </c>
      <c r="B2123" t="s">
        <v>100</v>
      </c>
      <c r="C2123">
        <v>1.0900000000000001E-4</v>
      </c>
      <c r="D2123">
        <v>1.0900999999999999E-6</v>
      </c>
      <c r="E2123">
        <v>1E-8</v>
      </c>
      <c r="F2123" t="s">
        <v>154</v>
      </c>
      <c r="G2123" t="s">
        <v>154</v>
      </c>
      <c r="H2123">
        <v>0</v>
      </c>
      <c r="I2123">
        <v>0</v>
      </c>
      <c r="K2123">
        <v>0</v>
      </c>
      <c r="L2123">
        <v>3.5E-4</v>
      </c>
      <c r="M2123">
        <v>0</v>
      </c>
      <c r="N2123">
        <v>0</v>
      </c>
      <c r="O2123" t="s">
        <v>854</v>
      </c>
    </row>
    <row r="2124" spans="1:15" x14ac:dyDescent="0.25">
      <c r="A2124" t="s">
        <v>55</v>
      </c>
      <c r="B2124" t="s">
        <v>100</v>
      </c>
      <c r="C2124">
        <v>1.0900000000000001E-4</v>
      </c>
      <c r="D2124">
        <v>1.0900999999999999E-6</v>
      </c>
      <c r="E2124">
        <v>9.9999999999999995E-8</v>
      </c>
      <c r="F2124" t="s">
        <v>154</v>
      </c>
      <c r="G2124" t="s">
        <v>154</v>
      </c>
      <c r="H2124">
        <v>0</v>
      </c>
      <c r="I2124">
        <v>0</v>
      </c>
      <c r="K2124">
        <v>0</v>
      </c>
      <c r="L2124">
        <v>6.3400999999999996E-4</v>
      </c>
      <c r="M2124">
        <v>0</v>
      </c>
      <c r="N2124">
        <v>0</v>
      </c>
      <c r="O2124" t="s">
        <v>855</v>
      </c>
    </row>
    <row r="2125" spans="1:15" x14ac:dyDescent="0.25">
      <c r="A2125" t="s">
        <v>55</v>
      </c>
      <c r="B2125" t="s">
        <v>100</v>
      </c>
      <c r="C2125">
        <v>1.0900000000000001E-4</v>
      </c>
      <c r="D2125">
        <v>1.0900999999999999E-6</v>
      </c>
      <c r="E2125">
        <v>9.9999999999999995E-7</v>
      </c>
      <c r="F2125" t="s">
        <v>154</v>
      </c>
      <c r="G2125" t="s">
        <v>154</v>
      </c>
      <c r="H2125">
        <v>0</v>
      </c>
      <c r="I2125">
        <v>0</v>
      </c>
      <c r="K2125">
        <v>0</v>
      </c>
      <c r="L2125">
        <v>5.3337000000000002E-3</v>
      </c>
      <c r="M2125">
        <v>0</v>
      </c>
      <c r="N2125">
        <v>0</v>
      </c>
      <c r="O2125" t="s">
        <v>856</v>
      </c>
    </row>
    <row r="2126" spans="1:15" x14ac:dyDescent="0.25">
      <c r="A2126" t="s">
        <v>55</v>
      </c>
      <c r="B2126" t="s">
        <v>100</v>
      </c>
      <c r="C2126">
        <v>1.0900000000000001E-4</v>
      </c>
      <c r="D2126">
        <v>1.0900999999999999E-6</v>
      </c>
      <c r="E2126">
        <v>1.0000000000000001E-5</v>
      </c>
      <c r="F2126" t="s">
        <v>154</v>
      </c>
      <c r="G2126" t="s">
        <v>154</v>
      </c>
      <c r="H2126">
        <v>0</v>
      </c>
      <c r="I2126">
        <v>0</v>
      </c>
      <c r="K2126">
        <v>0</v>
      </c>
      <c r="L2126">
        <v>5.3213000000000003E-2</v>
      </c>
      <c r="M2126">
        <v>0</v>
      </c>
      <c r="N2126">
        <v>0</v>
      </c>
      <c r="O2126" t="s">
        <v>857</v>
      </c>
    </row>
    <row r="2127" spans="1:15" x14ac:dyDescent="0.25">
      <c r="A2127" t="s">
        <v>55</v>
      </c>
      <c r="B2127" t="s">
        <v>100</v>
      </c>
      <c r="C2127">
        <v>1.0900000000000001E-4</v>
      </c>
      <c r="D2127">
        <v>1.0900999999999999E-6</v>
      </c>
      <c r="E2127">
        <v>1E-4</v>
      </c>
      <c r="F2127" t="s">
        <v>154</v>
      </c>
      <c r="G2127" t="s">
        <v>154</v>
      </c>
      <c r="H2127">
        <v>0</v>
      </c>
      <c r="I2127">
        <v>0</v>
      </c>
      <c r="K2127">
        <v>0</v>
      </c>
      <c r="L2127">
        <v>0.53210999999999997</v>
      </c>
      <c r="M2127">
        <v>0</v>
      </c>
      <c r="N2127">
        <v>0</v>
      </c>
      <c r="O2127" t="s">
        <v>858</v>
      </c>
    </row>
    <row r="2128" spans="1:15" x14ac:dyDescent="0.25">
      <c r="A2128" t="s">
        <v>55</v>
      </c>
      <c r="B2128" t="s">
        <v>100</v>
      </c>
      <c r="C2128">
        <v>1.09E-3</v>
      </c>
      <c r="D2128">
        <v>1.0900099999999999E-2</v>
      </c>
      <c r="E2128">
        <v>9.9999999999999995E-8</v>
      </c>
      <c r="F2128" t="s">
        <v>154</v>
      </c>
      <c r="G2128" t="s">
        <v>154</v>
      </c>
      <c r="H2128">
        <v>0</v>
      </c>
      <c r="I2128">
        <v>0</v>
      </c>
      <c r="K2128">
        <v>0</v>
      </c>
      <c r="L2128">
        <v>2.4000000000000001E-4</v>
      </c>
      <c r="M2128">
        <v>0</v>
      </c>
      <c r="N2128">
        <v>0</v>
      </c>
      <c r="O2128" t="s">
        <v>859</v>
      </c>
    </row>
    <row r="2129" spans="1:15" x14ac:dyDescent="0.25">
      <c r="A2129" t="s">
        <v>55</v>
      </c>
      <c r="B2129" t="s">
        <v>100</v>
      </c>
      <c r="C2129">
        <v>1.09E-3</v>
      </c>
      <c r="D2129">
        <v>1.0900099999999999E-2</v>
      </c>
      <c r="E2129">
        <v>9.9999999999999995E-7</v>
      </c>
      <c r="F2129" t="s">
        <v>154</v>
      </c>
      <c r="G2129" t="s">
        <v>154</v>
      </c>
      <c r="H2129">
        <v>0</v>
      </c>
      <c r="I2129">
        <v>0</v>
      </c>
      <c r="K2129">
        <v>0</v>
      </c>
      <c r="L2129">
        <v>5.8093000000000001E-4</v>
      </c>
      <c r="M2129">
        <v>0</v>
      </c>
      <c r="N2129">
        <v>0</v>
      </c>
      <c r="O2129" t="s">
        <v>860</v>
      </c>
    </row>
    <row r="2130" spans="1:15" x14ac:dyDescent="0.25">
      <c r="A2130" t="s">
        <v>55</v>
      </c>
      <c r="B2130" t="s">
        <v>100</v>
      </c>
      <c r="C2130">
        <v>1.09E-3</v>
      </c>
      <c r="D2130">
        <v>1.0900099999999999E-2</v>
      </c>
      <c r="E2130">
        <v>1.0000000000000001E-5</v>
      </c>
      <c r="F2130" t="s">
        <v>154</v>
      </c>
      <c r="G2130" t="s">
        <v>154</v>
      </c>
      <c r="H2130">
        <v>0</v>
      </c>
      <c r="I2130">
        <v>0</v>
      </c>
      <c r="K2130">
        <v>0</v>
      </c>
      <c r="L2130">
        <v>5.3277000000000003E-3</v>
      </c>
      <c r="M2130">
        <v>0</v>
      </c>
      <c r="N2130">
        <v>0</v>
      </c>
      <c r="O2130" t="s">
        <v>861</v>
      </c>
    </row>
    <row r="2131" spans="1:15" x14ac:dyDescent="0.25">
      <c r="A2131" t="s">
        <v>55</v>
      </c>
      <c r="B2131" t="s">
        <v>100</v>
      </c>
      <c r="C2131">
        <v>1.09E-3</v>
      </c>
      <c r="D2131">
        <v>1.0900099999999999E-2</v>
      </c>
      <c r="E2131">
        <v>1E-4</v>
      </c>
      <c r="F2131" t="s">
        <v>154</v>
      </c>
      <c r="G2131" t="s">
        <v>154</v>
      </c>
      <c r="H2131">
        <v>0</v>
      </c>
      <c r="I2131">
        <v>0</v>
      </c>
      <c r="K2131">
        <v>0</v>
      </c>
      <c r="L2131">
        <v>5.3212000000000002E-2</v>
      </c>
      <c r="M2131">
        <v>0</v>
      </c>
      <c r="N2131">
        <v>0</v>
      </c>
      <c r="O2131" t="s">
        <v>862</v>
      </c>
    </row>
    <row r="2132" spans="1:15" x14ac:dyDescent="0.25">
      <c r="A2132" t="s">
        <v>55</v>
      </c>
      <c r="B2132" t="s">
        <v>100</v>
      </c>
      <c r="C2132">
        <v>1.09E-3</v>
      </c>
      <c r="D2132">
        <v>1.0900099999999999E-2</v>
      </c>
      <c r="E2132">
        <v>1E-3</v>
      </c>
      <c r="F2132" t="s">
        <v>154</v>
      </c>
      <c r="G2132" t="s">
        <v>154</v>
      </c>
      <c r="H2132">
        <v>0</v>
      </c>
      <c r="I2132">
        <v>0</v>
      </c>
      <c r="K2132">
        <v>0</v>
      </c>
      <c r="L2132">
        <v>0.53210999999999997</v>
      </c>
      <c r="M2132">
        <v>0</v>
      </c>
      <c r="N2132">
        <v>0</v>
      </c>
      <c r="O2132" t="s">
        <v>863</v>
      </c>
    </row>
    <row r="2133" spans="1:15" x14ac:dyDescent="0.25">
      <c r="A2133" t="s">
        <v>55</v>
      </c>
      <c r="B2133" t="s">
        <v>100</v>
      </c>
      <c r="C2133">
        <v>1.09E-2</v>
      </c>
      <c r="D2133">
        <v>0.1090001</v>
      </c>
      <c r="E2133">
        <v>9.9999999999999995E-7</v>
      </c>
      <c r="F2133" t="s">
        <v>154</v>
      </c>
      <c r="G2133" t="s">
        <v>154</v>
      </c>
      <c r="H2133">
        <v>0</v>
      </c>
      <c r="I2133">
        <v>0</v>
      </c>
      <c r="K2133">
        <v>0</v>
      </c>
      <c r="L2133">
        <v>1.9000000000000001E-4</v>
      </c>
      <c r="M2133">
        <v>0</v>
      </c>
      <c r="N2133">
        <v>0</v>
      </c>
      <c r="O2133" t="s">
        <v>864</v>
      </c>
    </row>
    <row r="2134" spans="1:15" x14ac:dyDescent="0.25">
      <c r="A2134" t="s">
        <v>55</v>
      </c>
      <c r="B2134" t="s">
        <v>100</v>
      </c>
      <c r="C2134">
        <v>1.09E-2</v>
      </c>
      <c r="D2134">
        <v>0.1090001</v>
      </c>
      <c r="E2134">
        <v>1.0000000000000001E-5</v>
      </c>
      <c r="F2134" t="s">
        <v>154</v>
      </c>
      <c r="G2134" t="s">
        <v>154</v>
      </c>
      <c r="H2134">
        <v>0</v>
      </c>
      <c r="I2134">
        <v>0</v>
      </c>
      <c r="K2134">
        <v>0</v>
      </c>
      <c r="L2134">
        <v>5.6395000000000002E-4</v>
      </c>
      <c r="M2134">
        <v>0</v>
      </c>
      <c r="N2134">
        <v>0</v>
      </c>
      <c r="O2134" t="s">
        <v>865</v>
      </c>
    </row>
    <row r="2135" spans="1:15" x14ac:dyDescent="0.25">
      <c r="A2135" t="s">
        <v>55</v>
      </c>
      <c r="B2135" t="s">
        <v>100</v>
      </c>
      <c r="C2135">
        <v>1.09E-2</v>
      </c>
      <c r="D2135">
        <v>0.1090001</v>
      </c>
      <c r="E2135">
        <v>1E-4</v>
      </c>
      <c r="F2135" t="s">
        <v>154</v>
      </c>
      <c r="G2135" t="s">
        <v>154</v>
      </c>
      <c r="H2135">
        <v>0</v>
      </c>
      <c r="I2135">
        <v>0</v>
      </c>
      <c r="K2135">
        <v>0</v>
      </c>
      <c r="L2135">
        <v>5.3308000000000001E-3</v>
      </c>
      <c r="M2135">
        <v>0</v>
      </c>
      <c r="N2135">
        <v>0</v>
      </c>
      <c r="O2135" t="s">
        <v>866</v>
      </c>
    </row>
    <row r="2136" spans="1:15" x14ac:dyDescent="0.25">
      <c r="A2136" t="s">
        <v>55</v>
      </c>
      <c r="B2136" t="s">
        <v>100</v>
      </c>
      <c r="C2136">
        <v>1.09E-2</v>
      </c>
      <c r="D2136">
        <v>0.1090001</v>
      </c>
      <c r="E2136">
        <v>1E-3</v>
      </c>
      <c r="F2136" t="s">
        <v>154</v>
      </c>
      <c r="G2136" t="s">
        <v>154</v>
      </c>
      <c r="H2136">
        <v>0</v>
      </c>
      <c r="I2136">
        <v>0</v>
      </c>
      <c r="K2136">
        <v>0</v>
      </c>
      <c r="L2136">
        <v>5.3261000000000003E-2</v>
      </c>
      <c r="M2136">
        <v>0</v>
      </c>
      <c r="N2136">
        <v>0</v>
      </c>
      <c r="O2136" t="s">
        <v>867</v>
      </c>
    </row>
    <row r="2137" spans="1:15" x14ac:dyDescent="0.25">
      <c r="A2137" t="s">
        <v>55</v>
      </c>
      <c r="B2137" t="s">
        <v>100</v>
      </c>
      <c r="C2137">
        <v>1.09E-2</v>
      </c>
      <c r="D2137">
        <v>0.1090001</v>
      </c>
      <c r="E2137">
        <v>0.01</v>
      </c>
      <c r="F2137" t="s">
        <v>154</v>
      </c>
      <c r="G2137" t="s">
        <v>154</v>
      </c>
      <c r="H2137">
        <v>0</v>
      </c>
      <c r="I2137">
        <v>0</v>
      </c>
      <c r="K2137">
        <v>0</v>
      </c>
      <c r="L2137">
        <v>0.53259999999999996</v>
      </c>
      <c r="M2137">
        <v>0</v>
      </c>
      <c r="N2137">
        <v>0</v>
      </c>
      <c r="O2137" t="s">
        <v>868</v>
      </c>
    </row>
    <row r="2138" spans="1:15" x14ac:dyDescent="0.25">
      <c r="A2138" t="s">
        <v>55</v>
      </c>
      <c r="B2138" t="s">
        <v>100</v>
      </c>
      <c r="C2138">
        <v>0.109</v>
      </c>
      <c r="D2138">
        <v>1.0901000000000001</v>
      </c>
      <c r="E2138">
        <v>1.0000000000000001E-5</v>
      </c>
      <c r="F2138" t="s">
        <v>154</v>
      </c>
      <c r="G2138" t="s">
        <v>154</v>
      </c>
      <c r="H2138">
        <v>0</v>
      </c>
      <c r="I2138">
        <v>0</v>
      </c>
      <c r="K2138">
        <v>0</v>
      </c>
      <c r="L2138">
        <v>2.3000000000000001E-4</v>
      </c>
      <c r="M2138">
        <v>0</v>
      </c>
      <c r="N2138">
        <v>0</v>
      </c>
      <c r="O2138" t="s">
        <v>869</v>
      </c>
    </row>
    <row r="2139" spans="1:15" x14ac:dyDescent="0.25">
      <c r="A2139" t="s">
        <v>55</v>
      </c>
      <c r="B2139" t="s">
        <v>100</v>
      </c>
      <c r="C2139">
        <v>0.109</v>
      </c>
      <c r="D2139">
        <v>1.0901000000000001</v>
      </c>
      <c r="E2139">
        <v>1E-4</v>
      </c>
      <c r="F2139" t="s">
        <v>154</v>
      </c>
      <c r="G2139" t="s">
        <v>154</v>
      </c>
      <c r="H2139">
        <v>0</v>
      </c>
      <c r="I2139">
        <v>0</v>
      </c>
      <c r="K2139">
        <v>0</v>
      </c>
      <c r="L2139">
        <v>5.7855999999999999E-4</v>
      </c>
      <c r="M2139">
        <v>0</v>
      </c>
      <c r="N2139">
        <v>0</v>
      </c>
      <c r="O2139" t="s">
        <v>870</v>
      </c>
    </row>
    <row r="2140" spans="1:15" x14ac:dyDescent="0.25">
      <c r="A2140" t="s">
        <v>55</v>
      </c>
      <c r="B2140" t="s">
        <v>100</v>
      </c>
      <c r="C2140">
        <v>0.109</v>
      </c>
      <c r="D2140">
        <v>1.0901000000000001</v>
      </c>
      <c r="E2140">
        <v>1E-3</v>
      </c>
      <c r="F2140" t="s">
        <v>154</v>
      </c>
      <c r="G2140" t="s">
        <v>154</v>
      </c>
      <c r="H2140">
        <v>0</v>
      </c>
      <c r="I2140">
        <v>0</v>
      </c>
      <c r="K2140">
        <v>0</v>
      </c>
      <c r="L2140">
        <v>5.3324000000000002E-3</v>
      </c>
      <c r="M2140">
        <v>0</v>
      </c>
      <c r="N2140">
        <v>0</v>
      </c>
      <c r="O2140" t="s">
        <v>871</v>
      </c>
    </row>
    <row r="2141" spans="1:15" x14ac:dyDescent="0.25">
      <c r="A2141" t="s">
        <v>55</v>
      </c>
      <c r="B2141" t="s">
        <v>100</v>
      </c>
      <c r="C2141">
        <v>0.109</v>
      </c>
      <c r="D2141">
        <v>1.0901000000000001</v>
      </c>
      <c r="E2141">
        <v>0.01</v>
      </c>
      <c r="F2141" t="s">
        <v>154</v>
      </c>
      <c r="G2141" t="s">
        <v>154</v>
      </c>
      <c r="H2141">
        <v>0</v>
      </c>
      <c r="I2141">
        <v>0</v>
      </c>
      <c r="K2141">
        <v>0</v>
      </c>
      <c r="L2141">
        <v>5.3261000000000003E-2</v>
      </c>
      <c r="M2141">
        <v>0</v>
      </c>
      <c r="N2141">
        <v>0</v>
      </c>
      <c r="O2141" t="s">
        <v>872</v>
      </c>
    </row>
    <row r="2142" spans="1:15" x14ac:dyDescent="0.25">
      <c r="A2142" t="s">
        <v>55</v>
      </c>
      <c r="B2142" t="s">
        <v>100</v>
      </c>
      <c r="C2142">
        <v>0.109</v>
      </c>
      <c r="D2142">
        <v>1.0901000000000001</v>
      </c>
      <c r="E2142">
        <v>0.1</v>
      </c>
      <c r="F2142" t="s">
        <v>154</v>
      </c>
      <c r="G2142" t="s">
        <v>154</v>
      </c>
      <c r="H2142">
        <v>0</v>
      </c>
      <c r="I2142">
        <v>0</v>
      </c>
      <c r="K2142">
        <v>0</v>
      </c>
      <c r="L2142">
        <v>0.53259999999999996</v>
      </c>
      <c r="M2142">
        <v>0</v>
      </c>
      <c r="N2142">
        <v>0</v>
      </c>
      <c r="O2142" t="s">
        <v>873</v>
      </c>
    </row>
    <row r="2143" spans="1:15" x14ac:dyDescent="0.25">
      <c r="A2143" t="s">
        <v>55</v>
      </c>
      <c r="B2143" t="s">
        <v>100</v>
      </c>
      <c r="C2143">
        <v>1.0900000000000001</v>
      </c>
      <c r="D2143">
        <v>10.9001</v>
      </c>
      <c r="E2143">
        <v>1E-4</v>
      </c>
      <c r="F2143" t="s">
        <v>154</v>
      </c>
      <c r="G2143" t="s">
        <v>154</v>
      </c>
      <c r="H2143">
        <v>0</v>
      </c>
      <c r="I2143">
        <v>0</v>
      </c>
      <c r="K2143">
        <v>0</v>
      </c>
      <c r="L2143">
        <v>2.3000000000000001E-4</v>
      </c>
      <c r="M2143">
        <v>0</v>
      </c>
      <c r="N2143">
        <v>0</v>
      </c>
      <c r="O2143" t="s">
        <v>874</v>
      </c>
    </row>
    <row r="2144" spans="1:15" x14ac:dyDescent="0.25">
      <c r="A2144" t="s">
        <v>55</v>
      </c>
      <c r="B2144" t="s">
        <v>100</v>
      </c>
      <c r="C2144">
        <v>1.0900000000000001</v>
      </c>
      <c r="D2144">
        <v>10.9001</v>
      </c>
      <c r="E2144">
        <v>1E-3</v>
      </c>
      <c r="F2144" t="s">
        <v>154</v>
      </c>
      <c r="G2144" t="s">
        <v>154</v>
      </c>
      <c r="H2144">
        <v>0</v>
      </c>
      <c r="I2144">
        <v>0</v>
      </c>
      <c r="K2144">
        <v>0</v>
      </c>
      <c r="L2144">
        <v>5.7824999999999999E-4</v>
      </c>
      <c r="M2144">
        <v>0</v>
      </c>
      <c r="N2144">
        <v>0</v>
      </c>
      <c r="O2144" t="s">
        <v>875</v>
      </c>
    </row>
    <row r="2145" spans="1:15" x14ac:dyDescent="0.25">
      <c r="A2145" t="s">
        <v>55</v>
      </c>
      <c r="B2145" t="s">
        <v>100</v>
      </c>
      <c r="C2145">
        <v>1.0900000000000001</v>
      </c>
      <c r="D2145">
        <v>10.9001</v>
      </c>
      <c r="E2145">
        <v>0.01</v>
      </c>
      <c r="F2145" t="s">
        <v>154</v>
      </c>
      <c r="G2145" t="s">
        <v>154</v>
      </c>
      <c r="H2145">
        <v>0</v>
      </c>
      <c r="I2145">
        <v>0</v>
      </c>
      <c r="K2145">
        <v>0</v>
      </c>
      <c r="L2145">
        <v>5.3321999999999996E-3</v>
      </c>
      <c r="M2145">
        <v>0</v>
      </c>
      <c r="N2145">
        <v>0</v>
      </c>
      <c r="O2145" t="s">
        <v>876</v>
      </c>
    </row>
    <row r="2146" spans="1:15" x14ac:dyDescent="0.25">
      <c r="A2146" t="s">
        <v>55</v>
      </c>
      <c r="B2146" t="s">
        <v>100</v>
      </c>
      <c r="C2146">
        <v>1.0900000000000001</v>
      </c>
      <c r="D2146">
        <v>10.9001</v>
      </c>
      <c r="E2146">
        <v>0.1</v>
      </c>
      <c r="F2146" t="s">
        <v>154</v>
      </c>
      <c r="G2146" t="s">
        <v>154</v>
      </c>
      <c r="H2146">
        <v>0</v>
      </c>
      <c r="I2146">
        <v>0</v>
      </c>
      <c r="K2146">
        <v>0</v>
      </c>
      <c r="L2146">
        <v>5.3261000000000003E-2</v>
      </c>
      <c r="M2146">
        <v>0</v>
      </c>
      <c r="N2146">
        <v>0</v>
      </c>
      <c r="O2146" t="s">
        <v>877</v>
      </c>
    </row>
    <row r="2147" spans="1:15" x14ac:dyDescent="0.25">
      <c r="A2147" t="s">
        <v>55</v>
      </c>
      <c r="B2147" t="s">
        <v>100</v>
      </c>
      <c r="C2147">
        <v>1.0900000000000001</v>
      </c>
      <c r="D2147">
        <v>10.9001</v>
      </c>
      <c r="E2147">
        <v>1</v>
      </c>
      <c r="F2147" t="s">
        <v>154</v>
      </c>
      <c r="G2147" t="s">
        <v>154</v>
      </c>
      <c r="H2147">
        <v>0</v>
      </c>
      <c r="I2147">
        <v>0</v>
      </c>
      <c r="K2147">
        <v>0</v>
      </c>
      <c r="L2147">
        <v>0.53259999999999996</v>
      </c>
      <c r="M2147">
        <v>0</v>
      </c>
      <c r="N2147">
        <v>0</v>
      </c>
      <c r="O2147" t="s">
        <v>878</v>
      </c>
    </row>
    <row r="2148" spans="1:15" x14ac:dyDescent="0.25">
      <c r="A2148" t="s">
        <v>55</v>
      </c>
      <c r="B2148" t="s">
        <v>100</v>
      </c>
      <c r="C2148">
        <v>10.9</v>
      </c>
      <c r="D2148">
        <v>109.0001</v>
      </c>
      <c r="E2148">
        <v>1E-3</v>
      </c>
      <c r="F2148" t="s">
        <v>154</v>
      </c>
      <c r="G2148" t="s">
        <v>154</v>
      </c>
      <c r="H2148">
        <v>0</v>
      </c>
      <c r="I2148">
        <v>0</v>
      </c>
      <c r="K2148">
        <v>0</v>
      </c>
      <c r="L2148">
        <v>2.3000000000000001E-4</v>
      </c>
      <c r="M2148">
        <v>0</v>
      </c>
      <c r="N2148">
        <v>0</v>
      </c>
      <c r="O2148" t="s">
        <v>879</v>
      </c>
    </row>
    <row r="2149" spans="1:15" x14ac:dyDescent="0.25">
      <c r="A2149" t="s">
        <v>55</v>
      </c>
      <c r="B2149" t="s">
        <v>100</v>
      </c>
      <c r="C2149">
        <v>10.9</v>
      </c>
      <c r="D2149">
        <v>109.0001</v>
      </c>
      <c r="E2149">
        <v>0.01</v>
      </c>
      <c r="F2149" t="s">
        <v>154</v>
      </c>
      <c r="G2149" t="s">
        <v>154</v>
      </c>
      <c r="H2149">
        <v>0</v>
      </c>
      <c r="I2149">
        <v>0</v>
      </c>
      <c r="K2149">
        <v>0</v>
      </c>
      <c r="L2149">
        <v>5.7886999999999999E-4</v>
      </c>
      <c r="M2149">
        <v>0</v>
      </c>
      <c r="N2149">
        <v>0</v>
      </c>
      <c r="O2149" t="s">
        <v>880</v>
      </c>
    </row>
    <row r="2150" spans="1:15" x14ac:dyDescent="0.25">
      <c r="A2150" t="s">
        <v>55</v>
      </c>
      <c r="B2150" t="s">
        <v>100</v>
      </c>
      <c r="C2150">
        <v>10.9</v>
      </c>
      <c r="D2150">
        <v>109.0001</v>
      </c>
      <c r="E2150">
        <v>0.1</v>
      </c>
      <c r="F2150" t="s">
        <v>154</v>
      </c>
      <c r="G2150" t="s">
        <v>154</v>
      </c>
      <c r="H2150">
        <v>0</v>
      </c>
      <c r="I2150">
        <v>0</v>
      </c>
      <c r="K2150">
        <v>0</v>
      </c>
      <c r="L2150">
        <v>5.3322999999999999E-3</v>
      </c>
      <c r="M2150">
        <v>0</v>
      </c>
      <c r="N2150">
        <v>0</v>
      </c>
      <c r="O2150" t="s">
        <v>881</v>
      </c>
    </row>
    <row r="2151" spans="1:15" x14ac:dyDescent="0.25">
      <c r="A2151" t="s">
        <v>55</v>
      </c>
      <c r="B2151" t="s">
        <v>100</v>
      </c>
      <c r="C2151">
        <v>10.9</v>
      </c>
      <c r="D2151">
        <v>109.0001</v>
      </c>
      <c r="E2151">
        <v>1</v>
      </c>
      <c r="F2151" t="s">
        <v>154</v>
      </c>
      <c r="G2151" t="s">
        <v>154</v>
      </c>
      <c r="H2151">
        <v>0</v>
      </c>
      <c r="I2151">
        <v>0</v>
      </c>
      <c r="K2151">
        <v>0</v>
      </c>
      <c r="L2151">
        <v>5.3261000000000003E-2</v>
      </c>
      <c r="M2151">
        <v>0</v>
      </c>
      <c r="N2151">
        <v>0</v>
      </c>
      <c r="O2151" t="s">
        <v>882</v>
      </c>
    </row>
    <row r="2152" spans="1:15" x14ac:dyDescent="0.25">
      <c r="A2152" t="s">
        <v>55</v>
      </c>
      <c r="B2152" t="s">
        <v>100</v>
      </c>
      <c r="C2152">
        <v>10.9</v>
      </c>
      <c r="D2152">
        <v>109.0001</v>
      </c>
      <c r="E2152">
        <v>10</v>
      </c>
      <c r="F2152" t="s">
        <v>154</v>
      </c>
      <c r="G2152" t="s">
        <v>154</v>
      </c>
      <c r="H2152">
        <v>0</v>
      </c>
      <c r="I2152">
        <v>0</v>
      </c>
      <c r="K2152">
        <v>0</v>
      </c>
      <c r="L2152">
        <v>0.53259999999999996</v>
      </c>
      <c r="M2152">
        <v>0</v>
      </c>
      <c r="N2152">
        <v>0</v>
      </c>
      <c r="O2152" t="s">
        <v>883</v>
      </c>
    </row>
    <row r="2153" spans="1:15" x14ac:dyDescent="0.25">
      <c r="A2153" t="s">
        <v>55</v>
      </c>
      <c r="B2153" t="s">
        <v>100</v>
      </c>
      <c r="C2153">
        <v>109</v>
      </c>
      <c r="D2153">
        <v>330.00009999999997</v>
      </c>
      <c r="E2153">
        <v>1E-3</v>
      </c>
      <c r="F2153" t="s">
        <v>154</v>
      </c>
      <c r="G2153" t="s">
        <v>154</v>
      </c>
      <c r="H2153">
        <v>0</v>
      </c>
      <c r="I2153">
        <v>0</v>
      </c>
      <c r="K2153">
        <v>0</v>
      </c>
      <c r="L2153">
        <v>1.4999999999999999E-4</v>
      </c>
      <c r="M2153">
        <v>0</v>
      </c>
      <c r="N2153">
        <v>0</v>
      </c>
      <c r="O2153" t="s">
        <v>884</v>
      </c>
    </row>
    <row r="2154" spans="1:15" x14ac:dyDescent="0.25">
      <c r="A2154" t="s">
        <v>55</v>
      </c>
      <c r="B2154" t="s">
        <v>100</v>
      </c>
      <c r="C2154">
        <v>109</v>
      </c>
      <c r="D2154">
        <v>330.00009999999997</v>
      </c>
      <c r="E2154">
        <v>0.01</v>
      </c>
      <c r="F2154" t="s">
        <v>154</v>
      </c>
      <c r="G2154" t="s">
        <v>154</v>
      </c>
      <c r="H2154">
        <v>0</v>
      </c>
      <c r="I2154">
        <v>0</v>
      </c>
      <c r="K2154">
        <v>0</v>
      </c>
      <c r="L2154">
        <v>1.5254999999999999E-4</v>
      </c>
      <c r="M2154">
        <v>0</v>
      </c>
      <c r="N2154">
        <v>0</v>
      </c>
      <c r="O2154" t="s">
        <v>885</v>
      </c>
    </row>
    <row r="2155" spans="1:15" x14ac:dyDescent="0.25">
      <c r="A2155" t="s">
        <v>55</v>
      </c>
      <c r="B2155" t="s">
        <v>100</v>
      </c>
      <c r="C2155">
        <v>109</v>
      </c>
      <c r="D2155">
        <v>330.00009999999997</v>
      </c>
      <c r="E2155">
        <v>0.1</v>
      </c>
      <c r="F2155" t="s">
        <v>154</v>
      </c>
      <c r="G2155" t="s">
        <v>154</v>
      </c>
      <c r="H2155">
        <v>0</v>
      </c>
      <c r="I2155">
        <v>0</v>
      </c>
      <c r="K2155">
        <v>0</v>
      </c>
      <c r="L2155">
        <v>5.5201999999999996E-4</v>
      </c>
      <c r="M2155">
        <v>0</v>
      </c>
      <c r="N2155">
        <v>0</v>
      </c>
      <c r="O2155" t="s">
        <v>886</v>
      </c>
    </row>
    <row r="2156" spans="1:15" x14ac:dyDescent="0.25">
      <c r="A2156" t="s">
        <v>55</v>
      </c>
      <c r="B2156" t="s">
        <v>100</v>
      </c>
      <c r="C2156">
        <v>109</v>
      </c>
      <c r="D2156">
        <v>330.00009999999997</v>
      </c>
      <c r="E2156">
        <v>1</v>
      </c>
      <c r="F2156" t="s">
        <v>154</v>
      </c>
      <c r="G2156" t="s">
        <v>154</v>
      </c>
      <c r="H2156">
        <v>0</v>
      </c>
      <c r="I2156">
        <v>0</v>
      </c>
      <c r="K2156">
        <v>0</v>
      </c>
      <c r="L2156">
        <v>5.3282E-3</v>
      </c>
      <c r="M2156">
        <v>0</v>
      </c>
      <c r="N2156">
        <v>0</v>
      </c>
      <c r="O2156" t="s">
        <v>887</v>
      </c>
    </row>
    <row r="2157" spans="1:15" x14ac:dyDescent="0.25">
      <c r="A2157" t="s">
        <v>55</v>
      </c>
      <c r="B2157" t="s">
        <v>100</v>
      </c>
      <c r="C2157">
        <v>109</v>
      </c>
      <c r="D2157">
        <v>330.00009999999997</v>
      </c>
      <c r="E2157">
        <v>10</v>
      </c>
      <c r="F2157" t="s">
        <v>154</v>
      </c>
      <c r="G2157" t="s">
        <v>154</v>
      </c>
      <c r="H2157">
        <v>0</v>
      </c>
      <c r="I2157">
        <v>0</v>
      </c>
      <c r="K2157">
        <v>0</v>
      </c>
      <c r="L2157">
        <v>5.3260000000000002E-2</v>
      </c>
      <c r="M2157">
        <v>0</v>
      </c>
      <c r="N2157">
        <v>0</v>
      </c>
      <c r="O2157" t="s">
        <v>888</v>
      </c>
    </row>
    <row r="2158" spans="1:15" x14ac:dyDescent="0.25">
      <c r="A2158" t="s">
        <v>55</v>
      </c>
      <c r="B2158" t="s">
        <v>100</v>
      </c>
      <c r="C2158">
        <v>330</v>
      </c>
      <c r="D2158">
        <v>3000.0001000000002</v>
      </c>
      <c r="E2158">
        <v>0.01</v>
      </c>
      <c r="F2158" t="s">
        <v>154</v>
      </c>
      <c r="G2158" t="s">
        <v>154</v>
      </c>
      <c r="H2158">
        <v>0</v>
      </c>
      <c r="I2158">
        <v>0</v>
      </c>
      <c r="K2158">
        <v>0</v>
      </c>
      <c r="L2158">
        <v>5.9999999999999995E-4</v>
      </c>
      <c r="M2158">
        <v>0</v>
      </c>
      <c r="N2158">
        <v>0</v>
      </c>
      <c r="O2158" t="s">
        <v>889</v>
      </c>
    </row>
    <row r="2159" spans="1:15" x14ac:dyDescent="0.25">
      <c r="A2159" t="s">
        <v>55</v>
      </c>
      <c r="B2159" t="s">
        <v>100</v>
      </c>
      <c r="C2159">
        <v>330</v>
      </c>
      <c r="D2159">
        <v>3000.0001000000002</v>
      </c>
      <c r="E2159">
        <v>0.1</v>
      </c>
      <c r="F2159" t="s">
        <v>154</v>
      </c>
      <c r="G2159" t="s">
        <v>154</v>
      </c>
      <c r="H2159">
        <v>0</v>
      </c>
      <c r="I2159">
        <v>0</v>
      </c>
      <c r="K2159">
        <v>0</v>
      </c>
      <c r="L2159">
        <v>6.2246000000000003E-4</v>
      </c>
      <c r="M2159">
        <v>0</v>
      </c>
      <c r="N2159">
        <v>0</v>
      </c>
      <c r="O2159" t="s">
        <v>890</v>
      </c>
    </row>
    <row r="2160" spans="1:15" x14ac:dyDescent="0.25">
      <c r="A2160" t="s">
        <v>55</v>
      </c>
      <c r="B2160" t="s">
        <v>100</v>
      </c>
      <c r="C2160">
        <v>330</v>
      </c>
      <c r="D2160">
        <v>3000.0001000000002</v>
      </c>
      <c r="E2160">
        <v>1</v>
      </c>
      <c r="F2160" t="s">
        <v>154</v>
      </c>
      <c r="G2160" t="s">
        <v>154</v>
      </c>
      <c r="H2160">
        <v>0</v>
      </c>
      <c r="I2160">
        <v>0</v>
      </c>
      <c r="K2160">
        <v>0</v>
      </c>
      <c r="L2160">
        <v>1.8565000000000001E-3</v>
      </c>
      <c r="M2160">
        <v>0</v>
      </c>
      <c r="N2160">
        <v>0</v>
      </c>
      <c r="O2160" t="s">
        <v>891</v>
      </c>
    </row>
    <row r="2161" spans="1:15" x14ac:dyDescent="0.25">
      <c r="A2161" t="s">
        <v>55</v>
      </c>
      <c r="B2161" t="s">
        <v>100</v>
      </c>
      <c r="C2161">
        <v>330</v>
      </c>
      <c r="D2161">
        <v>3000.0001000000002</v>
      </c>
      <c r="E2161">
        <v>10</v>
      </c>
      <c r="F2161" t="s">
        <v>154</v>
      </c>
      <c r="G2161" t="s">
        <v>154</v>
      </c>
      <c r="H2161">
        <v>0</v>
      </c>
      <c r="I2161">
        <v>0</v>
      </c>
      <c r="K2161">
        <v>0</v>
      </c>
      <c r="L2161">
        <v>1.7586000000000001E-2</v>
      </c>
      <c r="M2161">
        <v>0</v>
      </c>
      <c r="N2161">
        <v>0</v>
      </c>
      <c r="O2161" t="s">
        <v>892</v>
      </c>
    </row>
    <row r="2162" spans="1:15" x14ac:dyDescent="0.25">
      <c r="A2162" t="s">
        <v>55</v>
      </c>
      <c r="B2162" t="s">
        <v>100</v>
      </c>
      <c r="C2162">
        <v>330</v>
      </c>
      <c r="D2162">
        <v>3000.0001000000002</v>
      </c>
      <c r="E2162">
        <v>100</v>
      </c>
      <c r="F2162" t="s">
        <v>154</v>
      </c>
      <c r="G2162" t="s">
        <v>154</v>
      </c>
      <c r="H2162">
        <v>0</v>
      </c>
      <c r="I2162">
        <v>0</v>
      </c>
      <c r="K2162">
        <v>0</v>
      </c>
      <c r="L2162">
        <v>0.17576</v>
      </c>
      <c r="M2162">
        <v>0</v>
      </c>
      <c r="N2162">
        <v>0</v>
      </c>
      <c r="O2162" t="s">
        <v>893</v>
      </c>
    </row>
    <row r="2163" spans="1:15" x14ac:dyDescent="0.25">
      <c r="A2163" t="s">
        <v>55</v>
      </c>
      <c r="B2163" t="s">
        <v>100</v>
      </c>
      <c r="C2163">
        <v>3000</v>
      </c>
      <c r="D2163">
        <v>11000.1</v>
      </c>
      <c r="E2163">
        <v>10</v>
      </c>
      <c r="F2163" t="s">
        <v>154</v>
      </c>
      <c r="G2163" t="s">
        <v>154</v>
      </c>
      <c r="H2163">
        <v>0</v>
      </c>
      <c r="I2163">
        <v>0</v>
      </c>
      <c r="K2163">
        <v>0</v>
      </c>
      <c r="L2163">
        <v>9.1E-4</v>
      </c>
      <c r="M2163">
        <v>0</v>
      </c>
      <c r="N2163">
        <v>0</v>
      </c>
      <c r="O2163" t="s">
        <v>894</v>
      </c>
    </row>
    <row r="2164" spans="1:15" x14ac:dyDescent="0.25">
      <c r="A2164" t="s">
        <v>55</v>
      </c>
      <c r="B2164" t="s">
        <v>100</v>
      </c>
      <c r="C2164">
        <v>3000</v>
      </c>
      <c r="D2164">
        <v>11000.1</v>
      </c>
      <c r="E2164">
        <v>100</v>
      </c>
      <c r="F2164" t="s">
        <v>154</v>
      </c>
      <c r="G2164" t="s">
        <v>154</v>
      </c>
      <c r="H2164">
        <v>0</v>
      </c>
      <c r="I2164">
        <v>0</v>
      </c>
      <c r="K2164">
        <v>0</v>
      </c>
      <c r="L2164">
        <v>9.1E-4</v>
      </c>
      <c r="M2164">
        <v>0</v>
      </c>
      <c r="N2164">
        <v>0</v>
      </c>
      <c r="O2164" t="s">
        <v>895</v>
      </c>
    </row>
    <row r="2165" spans="1:15" x14ac:dyDescent="0.25">
      <c r="A2165" t="s">
        <v>55</v>
      </c>
      <c r="B2165" t="s">
        <v>100</v>
      </c>
      <c r="C2165">
        <v>3000</v>
      </c>
      <c r="D2165">
        <v>11000.1</v>
      </c>
      <c r="E2165">
        <v>1000</v>
      </c>
      <c r="F2165" t="s">
        <v>154</v>
      </c>
      <c r="G2165" t="s">
        <v>154</v>
      </c>
      <c r="H2165">
        <v>0</v>
      </c>
      <c r="I2165">
        <v>0</v>
      </c>
      <c r="K2165">
        <v>0</v>
      </c>
      <c r="L2165">
        <v>9.2997999999999996E-4</v>
      </c>
      <c r="M2165">
        <v>0</v>
      </c>
      <c r="N2165">
        <v>0</v>
      </c>
      <c r="O2165" t="s">
        <v>896</v>
      </c>
    </row>
    <row r="2166" spans="1:15" x14ac:dyDescent="0.25">
      <c r="A2166" t="s">
        <v>55</v>
      </c>
      <c r="B2166" t="s">
        <v>100</v>
      </c>
      <c r="C2166">
        <v>3000</v>
      </c>
      <c r="D2166">
        <v>11000.1</v>
      </c>
      <c r="E2166">
        <v>10000</v>
      </c>
      <c r="F2166" t="s">
        <v>154</v>
      </c>
      <c r="G2166" t="s">
        <v>154</v>
      </c>
      <c r="H2166">
        <v>0</v>
      </c>
      <c r="I2166">
        <v>0</v>
      </c>
      <c r="K2166">
        <v>0</v>
      </c>
      <c r="L2166">
        <v>2.1367000000000001E-3</v>
      </c>
      <c r="M2166">
        <v>0</v>
      </c>
      <c r="N2166">
        <v>0</v>
      </c>
      <c r="O2166" t="s">
        <v>897</v>
      </c>
    </row>
    <row r="2167" spans="1:15" x14ac:dyDescent="0.25">
      <c r="A2167" t="s">
        <v>55</v>
      </c>
      <c r="B2167" t="s">
        <v>100</v>
      </c>
      <c r="C2167">
        <v>3000</v>
      </c>
      <c r="D2167">
        <v>11000.1</v>
      </c>
      <c r="E2167">
        <v>100000</v>
      </c>
      <c r="F2167" t="s">
        <v>154</v>
      </c>
      <c r="G2167" t="s">
        <v>154</v>
      </c>
      <c r="H2167">
        <v>0</v>
      </c>
      <c r="I2167">
        <v>0</v>
      </c>
      <c r="K2167">
        <v>0</v>
      </c>
      <c r="L2167">
        <v>1.9355000000000001E-2</v>
      </c>
      <c r="M2167">
        <v>0</v>
      </c>
      <c r="N2167">
        <v>0</v>
      </c>
      <c r="O2167" t="s">
        <v>898</v>
      </c>
    </row>
    <row r="2168" spans="1:15" x14ac:dyDescent="0.25">
      <c r="A2168" t="s">
        <v>55</v>
      </c>
      <c r="B2168" t="s">
        <v>100</v>
      </c>
      <c r="C2168">
        <v>11000</v>
      </c>
      <c r="D2168">
        <v>24500</v>
      </c>
      <c r="E2168">
        <v>10</v>
      </c>
      <c r="F2168" t="s">
        <v>154</v>
      </c>
      <c r="G2168" t="s">
        <v>154</v>
      </c>
      <c r="H2168">
        <v>0</v>
      </c>
      <c r="I2168">
        <v>0</v>
      </c>
      <c r="K2168">
        <v>0</v>
      </c>
      <c r="L2168">
        <v>1.4E-3</v>
      </c>
      <c r="M2168">
        <v>0</v>
      </c>
      <c r="N2168">
        <v>0</v>
      </c>
      <c r="O2168" t="s">
        <v>899</v>
      </c>
    </row>
    <row r="2169" spans="1:15" x14ac:dyDescent="0.25">
      <c r="A2169" t="s">
        <v>55</v>
      </c>
      <c r="B2169" t="s">
        <v>100</v>
      </c>
      <c r="C2169">
        <v>11000</v>
      </c>
      <c r="D2169">
        <v>24500</v>
      </c>
      <c r="E2169">
        <v>100</v>
      </c>
      <c r="F2169" t="s">
        <v>154</v>
      </c>
      <c r="G2169" t="s">
        <v>154</v>
      </c>
      <c r="H2169">
        <v>0</v>
      </c>
      <c r="I2169">
        <v>0</v>
      </c>
      <c r="K2169">
        <v>0</v>
      </c>
      <c r="L2169">
        <v>1.4E-3</v>
      </c>
      <c r="M2169">
        <v>0</v>
      </c>
      <c r="N2169">
        <v>0</v>
      </c>
      <c r="O2169" t="s">
        <v>900</v>
      </c>
    </row>
    <row r="2170" spans="1:15" x14ac:dyDescent="0.25">
      <c r="A2170" t="s">
        <v>55</v>
      </c>
      <c r="B2170" t="s">
        <v>100</v>
      </c>
      <c r="C2170">
        <v>11000</v>
      </c>
      <c r="D2170">
        <v>24500</v>
      </c>
      <c r="E2170">
        <v>1000</v>
      </c>
      <c r="F2170" t="s">
        <v>154</v>
      </c>
      <c r="G2170" t="s">
        <v>154</v>
      </c>
      <c r="H2170">
        <v>0</v>
      </c>
      <c r="I2170">
        <v>0</v>
      </c>
      <c r="K2170">
        <v>0</v>
      </c>
      <c r="L2170">
        <v>1.4429E-3</v>
      </c>
      <c r="M2170">
        <v>0</v>
      </c>
      <c r="N2170">
        <v>0</v>
      </c>
      <c r="O2170" t="s">
        <v>901</v>
      </c>
    </row>
    <row r="2171" spans="1:15" x14ac:dyDescent="0.25">
      <c r="A2171" t="s">
        <v>55</v>
      </c>
      <c r="B2171" t="s">
        <v>100</v>
      </c>
      <c r="C2171">
        <v>11000</v>
      </c>
      <c r="D2171">
        <v>24500</v>
      </c>
      <c r="E2171">
        <v>10000</v>
      </c>
      <c r="F2171" t="s">
        <v>154</v>
      </c>
      <c r="G2171" t="s">
        <v>154</v>
      </c>
      <c r="H2171">
        <v>0</v>
      </c>
      <c r="I2171">
        <v>0</v>
      </c>
      <c r="K2171">
        <v>0</v>
      </c>
      <c r="L2171">
        <v>5.4410999999999999E-3</v>
      </c>
      <c r="M2171">
        <v>0</v>
      </c>
      <c r="N2171">
        <v>0</v>
      </c>
      <c r="O2171" t="s">
        <v>902</v>
      </c>
    </row>
    <row r="2172" spans="1:15" x14ac:dyDescent="0.25">
      <c r="A2172" t="s">
        <v>55</v>
      </c>
      <c r="B2172" t="s">
        <v>100</v>
      </c>
      <c r="C2172">
        <v>11000</v>
      </c>
      <c r="D2172">
        <v>24500</v>
      </c>
      <c r="E2172">
        <v>100000</v>
      </c>
      <c r="F2172" t="s">
        <v>154</v>
      </c>
      <c r="G2172" t="s">
        <v>154</v>
      </c>
      <c r="H2172">
        <v>0</v>
      </c>
      <c r="I2172">
        <v>0</v>
      </c>
      <c r="K2172">
        <v>0</v>
      </c>
      <c r="L2172">
        <v>5.2745E-2</v>
      </c>
      <c r="M2172">
        <v>0</v>
      </c>
      <c r="N2172">
        <v>0</v>
      </c>
      <c r="O2172" t="s">
        <v>903</v>
      </c>
    </row>
    <row r="2173" spans="1:15" x14ac:dyDescent="0.25">
      <c r="A2173" t="s">
        <v>55</v>
      </c>
      <c r="B2173" t="s">
        <v>100</v>
      </c>
      <c r="C2173">
        <v>24500</v>
      </c>
      <c r="D2173">
        <v>24500</v>
      </c>
      <c r="E2173">
        <v>10</v>
      </c>
      <c r="F2173" t="s">
        <v>102</v>
      </c>
      <c r="G2173" t="s">
        <v>102</v>
      </c>
      <c r="H2173">
        <v>0</v>
      </c>
      <c r="I2173">
        <v>0</v>
      </c>
      <c r="K2173">
        <v>0</v>
      </c>
      <c r="L2173">
        <v>1.4E-3</v>
      </c>
      <c r="M2173">
        <v>0</v>
      </c>
      <c r="N2173">
        <v>0</v>
      </c>
      <c r="O2173" t="s">
        <v>904</v>
      </c>
    </row>
    <row r="2174" spans="1:15" x14ac:dyDescent="0.25">
      <c r="A2174" t="s">
        <v>55</v>
      </c>
      <c r="B2174" t="s">
        <v>100</v>
      </c>
      <c r="C2174">
        <v>24500</v>
      </c>
      <c r="D2174">
        <v>24500</v>
      </c>
      <c r="E2174">
        <v>100</v>
      </c>
      <c r="F2174" t="s">
        <v>102</v>
      </c>
      <c r="G2174" t="s">
        <v>102</v>
      </c>
      <c r="H2174">
        <v>0</v>
      </c>
      <c r="I2174">
        <v>0</v>
      </c>
      <c r="K2174">
        <v>0</v>
      </c>
      <c r="L2174">
        <v>1.4E-3</v>
      </c>
      <c r="M2174">
        <v>0</v>
      </c>
      <c r="N2174">
        <v>0</v>
      </c>
      <c r="O2174" t="s">
        <v>905</v>
      </c>
    </row>
    <row r="2175" spans="1:15" x14ac:dyDescent="0.25">
      <c r="A2175" t="s">
        <v>55</v>
      </c>
      <c r="B2175" t="s">
        <v>100</v>
      </c>
      <c r="C2175">
        <v>24500</v>
      </c>
      <c r="D2175">
        <v>24500</v>
      </c>
      <c r="E2175">
        <v>1000</v>
      </c>
      <c r="F2175" t="s">
        <v>102</v>
      </c>
      <c r="G2175" t="s">
        <v>102</v>
      </c>
      <c r="H2175">
        <v>0</v>
      </c>
      <c r="I2175">
        <v>0</v>
      </c>
      <c r="K2175">
        <v>0</v>
      </c>
      <c r="L2175">
        <v>1.4429E-3</v>
      </c>
      <c r="M2175">
        <v>0</v>
      </c>
      <c r="N2175">
        <v>0</v>
      </c>
      <c r="O2175" t="s">
        <v>906</v>
      </c>
    </row>
    <row r="2176" spans="1:15" x14ac:dyDescent="0.25">
      <c r="A2176" t="s">
        <v>55</v>
      </c>
      <c r="B2176" t="s">
        <v>100</v>
      </c>
      <c r="C2176">
        <v>24500</v>
      </c>
      <c r="D2176">
        <v>24500</v>
      </c>
      <c r="E2176">
        <v>10000</v>
      </c>
      <c r="F2176" t="s">
        <v>102</v>
      </c>
      <c r="G2176" t="s">
        <v>102</v>
      </c>
      <c r="H2176">
        <v>0</v>
      </c>
      <c r="I2176">
        <v>0</v>
      </c>
      <c r="K2176">
        <v>0</v>
      </c>
      <c r="L2176">
        <v>5.4410999999999999E-3</v>
      </c>
      <c r="M2176">
        <v>0</v>
      </c>
      <c r="N2176">
        <v>0</v>
      </c>
      <c r="O2176" t="s">
        <v>907</v>
      </c>
    </row>
    <row r="2177" spans="1:15" x14ac:dyDescent="0.25">
      <c r="A2177" t="s">
        <v>55</v>
      </c>
      <c r="B2177" t="s">
        <v>100</v>
      </c>
      <c r="C2177">
        <v>24500</v>
      </c>
      <c r="D2177">
        <v>24500</v>
      </c>
      <c r="E2177">
        <v>100000</v>
      </c>
      <c r="F2177" t="s">
        <v>102</v>
      </c>
      <c r="G2177" t="s">
        <v>102</v>
      </c>
      <c r="H2177">
        <v>0</v>
      </c>
      <c r="I2177">
        <v>0</v>
      </c>
      <c r="K2177">
        <v>0</v>
      </c>
      <c r="L2177">
        <v>5.2745E-2</v>
      </c>
      <c r="M2177">
        <v>0</v>
      </c>
      <c r="N2177">
        <v>0</v>
      </c>
      <c r="O2177" t="s">
        <v>908</v>
      </c>
    </row>
    <row r="2178" spans="1:15" x14ac:dyDescent="0.25">
      <c r="A2178" t="s">
        <v>55</v>
      </c>
      <c r="B2178" t="s">
        <v>82</v>
      </c>
      <c r="C2178">
        <v>-418</v>
      </c>
      <c r="D2178">
        <v>-147.9</v>
      </c>
      <c r="E2178">
        <v>0.1</v>
      </c>
      <c r="F2178" t="s">
        <v>26</v>
      </c>
      <c r="G2178" t="s">
        <v>26</v>
      </c>
      <c r="H2178">
        <v>0</v>
      </c>
      <c r="I2178">
        <v>0</v>
      </c>
      <c r="K2178">
        <v>1.046246556</v>
      </c>
      <c r="L2178">
        <v>0</v>
      </c>
      <c r="M2178">
        <v>1.0432597260000001</v>
      </c>
      <c r="N2178">
        <v>0</v>
      </c>
      <c r="O2178" t="s">
        <v>833</v>
      </c>
    </row>
    <row r="2179" spans="1:15" x14ac:dyDescent="0.25">
      <c r="A2179" t="s">
        <v>55</v>
      </c>
      <c r="B2179" t="s">
        <v>82</v>
      </c>
      <c r="C2179">
        <v>-418</v>
      </c>
      <c r="D2179">
        <v>-147.9</v>
      </c>
      <c r="E2179">
        <v>1</v>
      </c>
      <c r="F2179" t="s">
        <v>26</v>
      </c>
      <c r="G2179" t="s">
        <v>26</v>
      </c>
      <c r="H2179">
        <v>0</v>
      </c>
      <c r="I2179">
        <v>0</v>
      </c>
      <c r="K2179">
        <v>1.2013970430000001</v>
      </c>
      <c r="L2179">
        <v>0</v>
      </c>
      <c r="M2179">
        <v>1.190962155</v>
      </c>
      <c r="N2179">
        <v>0</v>
      </c>
      <c r="O2179" t="s">
        <v>834</v>
      </c>
    </row>
    <row r="2180" spans="1:15" x14ac:dyDescent="0.25">
      <c r="A2180" t="s">
        <v>55</v>
      </c>
      <c r="B2180" t="s">
        <v>82</v>
      </c>
      <c r="C2180">
        <v>-148</v>
      </c>
      <c r="D2180">
        <v>-12.9</v>
      </c>
      <c r="E2180">
        <v>0.1</v>
      </c>
      <c r="F2180" t="s">
        <v>26</v>
      </c>
      <c r="G2180" t="s">
        <v>26</v>
      </c>
      <c r="H2180">
        <v>0</v>
      </c>
      <c r="I2180">
        <v>0</v>
      </c>
      <c r="K2180">
        <v>0.34659772799999999</v>
      </c>
      <c r="L2180">
        <v>0</v>
      </c>
      <c r="M2180">
        <v>0.34484265600000003</v>
      </c>
      <c r="N2180">
        <v>0</v>
      </c>
      <c r="O2180" t="s">
        <v>835</v>
      </c>
    </row>
    <row r="2181" spans="1:15" x14ac:dyDescent="0.25">
      <c r="A2181" t="s">
        <v>55</v>
      </c>
      <c r="B2181" t="s">
        <v>82</v>
      </c>
      <c r="C2181">
        <v>-148</v>
      </c>
      <c r="D2181">
        <v>-12.9</v>
      </c>
      <c r="E2181">
        <v>1</v>
      </c>
      <c r="F2181" t="s">
        <v>26</v>
      </c>
      <c r="G2181" t="s">
        <v>26</v>
      </c>
      <c r="H2181">
        <v>0</v>
      </c>
      <c r="I2181">
        <v>0</v>
      </c>
      <c r="K2181">
        <v>1.2013970430000001</v>
      </c>
      <c r="L2181">
        <v>0</v>
      </c>
      <c r="M2181">
        <v>1.190962155</v>
      </c>
      <c r="N2181">
        <v>0</v>
      </c>
      <c r="O2181" t="s">
        <v>836</v>
      </c>
    </row>
    <row r="2182" spans="1:15" x14ac:dyDescent="0.25">
      <c r="A2182" t="s">
        <v>55</v>
      </c>
      <c r="B2182" t="s">
        <v>82</v>
      </c>
      <c r="C2182">
        <v>-13</v>
      </c>
      <c r="D2182">
        <v>662.1</v>
      </c>
      <c r="E2182">
        <v>0.1</v>
      </c>
      <c r="F2182" t="s">
        <v>26</v>
      </c>
      <c r="G2182" t="s">
        <v>26</v>
      </c>
      <c r="H2182">
        <v>0</v>
      </c>
      <c r="I2182">
        <v>0</v>
      </c>
      <c r="K2182">
        <v>0.30436869799999999</v>
      </c>
      <c r="L2182">
        <v>0</v>
      </c>
      <c r="M2182">
        <v>0.30236860999999998</v>
      </c>
      <c r="N2182">
        <v>0</v>
      </c>
      <c r="O2182" t="s">
        <v>837</v>
      </c>
    </row>
    <row r="2183" spans="1:15" x14ac:dyDescent="0.25">
      <c r="A2183" t="s">
        <v>55</v>
      </c>
      <c r="B2183" t="s">
        <v>82</v>
      </c>
      <c r="C2183">
        <v>-13</v>
      </c>
      <c r="D2183">
        <v>662.1</v>
      </c>
      <c r="E2183">
        <v>1</v>
      </c>
      <c r="F2183" t="s">
        <v>26</v>
      </c>
      <c r="G2183" t="s">
        <v>26</v>
      </c>
      <c r="H2183">
        <v>0</v>
      </c>
      <c r="I2183">
        <v>0</v>
      </c>
      <c r="K2183">
        <v>0.65290189700000001</v>
      </c>
      <c r="L2183">
        <v>0</v>
      </c>
      <c r="M2183">
        <v>0.64917391800000002</v>
      </c>
      <c r="N2183">
        <v>0</v>
      </c>
      <c r="O2183" t="s">
        <v>838</v>
      </c>
    </row>
    <row r="2184" spans="1:15" x14ac:dyDescent="0.25">
      <c r="A2184" t="s">
        <v>55</v>
      </c>
      <c r="B2184" t="s">
        <v>82</v>
      </c>
      <c r="C2184">
        <v>662</v>
      </c>
      <c r="D2184">
        <v>1202.0999999999999</v>
      </c>
      <c r="E2184">
        <v>0.1</v>
      </c>
      <c r="F2184" t="s">
        <v>26</v>
      </c>
      <c r="G2184" t="s">
        <v>26</v>
      </c>
      <c r="H2184">
        <v>0</v>
      </c>
      <c r="I2184">
        <v>0</v>
      </c>
      <c r="K2184">
        <v>0.34352197200000001</v>
      </c>
      <c r="L2184">
        <v>0</v>
      </c>
      <c r="M2184">
        <v>0.342511169</v>
      </c>
      <c r="N2184">
        <v>0</v>
      </c>
      <c r="O2184" t="s">
        <v>839</v>
      </c>
    </row>
    <row r="2185" spans="1:15" x14ac:dyDescent="0.25">
      <c r="A2185" t="s">
        <v>55</v>
      </c>
      <c r="B2185" t="s">
        <v>82</v>
      </c>
      <c r="C2185">
        <v>662</v>
      </c>
      <c r="D2185">
        <v>1202.0999999999999</v>
      </c>
      <c r="E2185">
        <v>1</v>
      </c>
      <c r="F2185" t="s">
        <v>26</v>
      </c>
      <c r="G2185" t="s">
        <v>26</v>
      </c>
      <c r="H2185">
        <v>0</v>
      </c>
      <c r="I2185">
        <v>0</v>
      </c>
      <c r="K2185">
        <v>0.67088574199999995</v>
      </c>
      <c r="L2185">
        <v>0</v>
      </c>
      <c r="M2185">
        <v>0.668815296</v>
      </c>
      <c r="N2185">
        <v>0</v>
      </c>
      <c r="O2185" t="s">
        <v>840</v>
      </c>
    </row>
    <row r="2186" spans="1:15" x14ac:dyDescent="0.25">
      <c r="A2186" t="s">
        <v>55</v>
      </c>
      <c r="B2186" t="s">
        <v>82</v>
      </c>
      <c r="C2186">
        <v>1202</v>
      </c>
      <c r="D2186">
        <v>1832</v>
      </c>
      <c r="E2186">
        <v>0.1</v>
      </c>
      <c r="F2186" t="s">
        <v>26</v>
      </c>
      <c r="G2186" t="s">
        <v>26</v>
      </c>
      <c r="H2186">
        <v>0</v>
      </c>
      <c r="I2186">
        <v>0</v>
      </c>
      <c r="K2186">
        <v>0.44489108799999999</v>
      </c>
      <c r="L2186">
        <v>0</v>
      </c>
      <c r="M2186">
        <v>0.444111062</v>
      </c>
      <c r="N2186">
        <v>0</v>
      </c>
      <c r="O2186" t="s">
        <v>841</v>
      </c>
    </row>
    <row r="2187" spans="1:15" x14ac:dyDescent="0.25">
      <c r="A2187" t="s">
        <v>55</v>
      </c>
      <c r="B2187" t="s">
        <v>82</v>
      </c>
      <c r="C2187">
        <v>1202</v>
      </c>
      <c r="D2187">
        <v>1832</v>
      </c>
      <c r="E2187">
        <v>1</v>
      </c>
      <c r="F2187" t="s">
        <v>26</v>
      </c>
      <c r="G2187" t="s">
        <v>26</v>
      </c>
      <c r="H2187">
        <v>0</v>
      </c>
      <c r="I2187">
        <v>0</v>
      </c>
      <c r="K2187">
        <v>0.72801676699999995</v>
      </c>
      <c r="L2187">
        <v>0</v>
      </c>
      <c r="M2187">
        <v>0.72610924499999996</v>
      </c>
      <c r="N2187">
        <v>0</v>
      </c>
      <c r="O2187" t="s">
        <v>842</v>
      </c>
    </row>
    <row r="2188" spans="1:15" x14ac:dyDescent="0.25">
      <c r="A2188" t="s">
        <v>55</v>
      </c>
      <c r="B2188" t="s">
        <v>82</v>
      </c>
      <c r="C2188">
        <v>1832</v>
      </c>
      <c r="D2188">
        <v>1832.1</v>
      </c>
      <c r="E2188">
        <v>0.1</v>
      </c>
      <c r="F2188" t="s">
        <v>26</v>
      </c>
      <c r="G2188" t="s">
        <v>26</v>
      </c>
      <c r="H2188">
        <v>0</v>
      </c>
      <c r="I2188">
        <v>0</v>
      </c>
      <c r="K2188">
        <v>0.44489108799999999</v>
      </c>
      <c r="L2188">
        <v>0</v>
      </c>
      <c r="M2188">
        <v>0.444111062</v>
      </c>
      <c r="N2188">
        <v>0</v>
      </c>
      <c r="O2188" t="s">
        <v>843</v>
      </c>
    </row>
    <row r="2189" spans="1:15" x14ac:dyDescent="0.25">
      <c r="A2189" t="s">
        <v>55</v>
      </c>
      <c r="B2189" t="s">
        <v>82</v>
      </c>
      <c r="C2189">
        <v>1832</v>
      </c>
      <c r="D2189">
        <v>1832.1</v>
      </c>
      <c r="E2189">
        <v>1</v>
      </c>
      <c r="F2189" t="s">
        <v>26</v>
      </c>
      <c r="G2189" t="s">
        <v>26</v>
      </c>
      <c r="H2189">
        <v>0</v>
      </c>
      <c r="I2189">
        <v>0</v>
      </c>
      <c r="K2189">
        <v>0.72801676699999995</v>
      </c>
      <c r="L2189">
        <v>0</v>
      </c>
      <c r="M2189">
        <v>0.72610924499999996</v>
      </c>
      <c r="N2189">
        <v>0</v>
      </c>
      <c r="O2189" t="s">
        <v>844</v>
      </c>
    </row>
    <row r="2190" spans="1:15" x14ac:dyDescent="0.25">
      <c r="A2190" t="s">
        <v>55</v>
      </c>
      <c r="B2190" t="s">
        <v>83</v>
      </c>
      <c r="C2190">
        <v>-346</v>
      </c>
      <c r="D2190">
        <v>-147.9</v>
      </c>
      <c r="E2190">
        <v>0.1</v>
      </c>
      <c r="F2190" t="s">
        <v>26</v>
      </c>
      <c r="G2190" t="s">
        <v>26</v>
      </c>
      <c r="H2190">
        <v>0</v>
      </c>
      <c r="I2190">
        <v>0</v>
      </c>
      <c r="K2190">
        <v>0.57726726900000003</v>
      </c>
      <c r="L2190">
        <v>0</v>
      </c>
      <c r="M2190">
        <v>0.56757588800000003</v>
      </c>
      <c r="N2190">
        <v>0</v>
      </c>
      <c r="O2190" t="s">
        <v>821</v>
      </c>
    </row>
    <row r="2191" spans="1:15" x14ac:dyDescent="0.25">
      <c r="A2191" t="s">
        <v>55</v>
      </c>
      <c r="B2191" t="s">
        <v>83</v>
      </c>
      <c r="C2191">
        <v>-346</v>
      </c>
      <c r="D2191">
        <v>-147.9</v>
      </c>
      <c r="E2191">
        <v>1</v>
      </c>
      <c r="F2191" t="s">
        <v>26</v>
      </c>
      <c r="G2191" t="s">
        <v>26</v>
      </c>
      <c r="H2191">
        <v>0</v>
      </c>
      <c r="I2191">
        <v>0</v>
      </c>
      <c r="K2191">
        <v>0.83457943499999998</v>
      </c>
      <c r="L2191">
        <v>0</v>
      </c>
      <c r="M2191">
        <v>0.80755333500000004</v>
      </c>
      <c r="N2191">
        <v>0</v>
      </c>
      <c r="O2191" t="s">
        <v>822</v>
      </c>
    </row>
    <row r="2192" spans="1:15" x14ac:dyDescent="0.25">
      <c r="A2192" t="s">
        <v>55</v>
      </c>
      <c r="B2192" t="s">
        <v>83</v>
      </c>
      <c r="C2192">
        <v>-148</v>
      </c>
      <c r="D2192">
        <v>-21.9</v>
      </c>
      <c r="E2192">
        <v>0.1</v>
      </c>
      <c r="F2192" t="s">
        <v>26</v>
      </c>
      <c r="G2192" t="s">
        <v>26</v>
      </c>
      <c r="H2192">
        <v>0</v>
      </c>
      <c r="I2192">
        <v>0</v>
      </c>
      <c r="K2192">
        <v>0.354075484</v>
      </c>
      <c r="L2192">
        <v>0</v>
      </c>
      <c r="M2192">
        <v>0.34262930000000003</v>
      </c>
      <c r="N2192">
        <v>0</v>
      </c>
      <c r="O2192" t="s">
        <v>823</v>
      </c>
    </row>
    <row r="2193" spans="1:15" x14ac:dyDescent="0.25">
      <c r="A2193" t="s">
        <v>55</v>
      </c>
      <c r="B2193" t="s">
        <v>83</v>
      </c>
      <c r="C2193">
        <v>-148</v>
      </c>
      <c r="D2193">
        <v>-21.9</v>
      </c>
      <c r="E2193">
        <v>1</v>
      </c>
      <c r="F2193" t="s">
        <v>26</v>
      </c>
      <c r="G2193" t="s">
        <v>26</v>
      </c>
      <c r="H2193">
        <v>0</v>
      </c>
      <c r="I2193">
        <v>0</v>
      </c>
      <c r="K2193">
        <v>0.69231010500000001</v>
      </c>
      <c r="L2193">
        <v>0</v>
      </c>
      <c r="M2193">
        <v>0.66887580099999999</v>
      </c>
      <c r="N2193">
        <v>0</v>
      </c>
      <c r="O2193" t="s">
        <v>824</v>
      </c>
    </row>
    <row r="2194" spans="1:15" x14ac:dyDescent="0.25">
      <c r="A2194" t="s">
        <v>55</v>
      </c>
      <c r="B2194" t="s">
        <v>83</v>
      </c>
      <c r="C2194">
        <v>-22</v>
      </c>
      <c r="D2194">
        <v>302.10000000000002</v>
      </c>
      <c r="E2194">
        <v>0.1</v>
      </c>
      <c r="F2194" t="s">
        <v>26</v>
      </c>
      <c r="G2194" t="s">
        <v>26</v>
      </c>
      <c r="H2194">
        <v>0</v>
      </c>
      <c r="I2194">
        <v>0</v>
      </c>
      <c r="K2194">
        <v>0.31531184099999998</v>
      </c>
      <c r="L2194">
        <v>0</v>
      </c>
      <c r="M2194">
        <v>0.302401961</v>
      </c>
      <c r="N2194">
        <v>0</v>
      </c>
      <c r="O2194" t="s">
        <v>825</v>
      </c>
    </row>
    <row r="2195" spans="1:15" x14ac:dyDescent="0.25">
      <c r="A2195" t="s">
        <v>55</v>
      </c>
      <c r="B2195" t="s">
        <v>83</v>
      </c>
      <c r="C2195">
        <v>-22</v>
      </c>
      <c r="D2195">
        <v>302.10000000000002</v>
      </c>
      <c r="E2195">
        <v>1</v>
      </c>
      <c r="F2195" t="s">
        <v>26</v>
      </c>
      <c r="G2195" t="s">
        <v>26</v>
      </c>
      <c r="H2195">
        <v>0</v>
      </c>
      <c r="I2195">
        <v>0</v>
      </c>
      <c r="K2195">
        <v>0.67330928300000004</v>
      </c>
      <c r="L2195">
        <v>0</v>
      </c>
      <c r="M2195">
        <v>0.64918945299999997</v>
      </c>
      <c r="N2195">
        <v>0</v>
      </c>
      <c r="O2195" t="s">
        <v>826</v>
      </c>
    </row>
    <row r="2196" spans="1:15" x14ac:dyDescent="0.25">
      <c r="A2196" t="s">
        <v>55</v>
      </c>
      <c r="B2196" t="s">
        <v>83</v>
      </c>
      <c r="C2196">
        <v>302</v>
      </c>
      <c r="D2196">
        <v>1400.1</v>
      </c>
      <c r="E2196">
        <v>0.1</v>
      </c>
      <c r="F2196" t="s">
        <v>26</v>
      </c>
      <c r="G2196" t="s">
        <v>26</v>
      </c>
      <c r="H2196">
        <v>0</v>
      </c>
      <c r="I2196">
        <v>0</v>
      </c>
      <c r="K2196">
        <v>0.36583836400000003</v>
      </c>
      <c r="L2196">
        <v>0</v>
      </c>
      <c r="M2196">
        <v>0.36274510900000001</v>
      </c>
      <c r="N2196">
        <v>0</v>
      </c>
      <c r="O2196" t="s">
        <v>827</v>
      </c>
    </row>
    <row r="2197" spans="1:15" x14ac:dyDescent="0.25">
      <c r="A2197" t="s">
        <v>55</v>
      </c>
      <c r="B2197" t="s">
        <v>83</v>
      </c>
      <c r="C2197">
        <v>302</v>
      </c>
      <c r="D2197">
        <v>1400.1</v>
      </c>
      <c r="E2197">
        <v>1</v>
      </c>
      <c r="F2197" t="s">
        <v>26</v>
      </c>
      <c r="G2197" t="s">
        <v>26</v>
      </c>
      <c r="H2197">
        <v>0</v>
      </c>
      <c r="I2197">
        <v>0</v>
      </c>
      <c r="K2197">
        <v>0.68600203500000001</v>
      </c>
      <c r="L2197">
        <v>0</v>
      </c>
      <c r="M2197">
        <v>0.679399745</v>
      </c>
      <c r="N2197">
        <v>0</v>
      </c>
      <c r="O2197" t="s">
        <v>828</v>
      </c>
    </row>
    <row r="2198" spans="1:15" x14ac:dyDescent="0.25">
      <c r="A2198" t="s">
        <v>55</v>
      </c>
      <c r="B2198" t="s">
        <v>83</v>
      </c>
      <c r="C2198">
        <v>1400</v>
      </c>
      <c r="D2198">
        <v>2192</v>
      </c>
      <c r="E2198">
        <v>0.1</v>
      </c>
      <c r="F2198" t="s">
        <v>26</v>
      </c>
      <c r="G2198" t="s">
        <v>26</v>
      </c>
      <c r="H2198">
        <v>0</v>
      </c>
      <c r="I2198">
        <v>0</v>
      </c>
      <c r="K2198">
        <v>0.487362028</v>
      </c>
      <c r="L2198">
        <v>0</v>
      </c>
      <c r="M2198">
        <v>0.48504438100000002</v>
      </c>
      <c r="N2198">
        <v>0</v>
      </c>
      <c r="O2198" t="s">
        <v>829</v>
      </c>
    </row>
    <row r="2199" spans="1:15" x14ac:dyDescent="0.25">
      <c r="A2199" t="s">
        <v>55</v>
      </c>
      <c r="B2199" t="s">
        <v>83</v>
      </c>
      <c r="C2199">
        <v>1400</v>
      </c>
      <c r="D2199">
        <v>2192</v>
      </c>
      <c r="E2199">
        <v>1</v>
      </c>
      <c r="F2199" t="s">
        <v>26</v>
      </c>
      <c r="G2199" t="s">
        <v>26</v>
      </c>
      <c r="H2199">
        <v>0</v>
      </c>
      <c r="I2199">
        <v>0</v>
      </c>
      <c r="K2199">
        <v>0.75781450900000003</v>
      </c>
      <c r="L2199">
        <v>0</v>
      </c>
      <c r="M2199">
        <v>0.75184310300000001</v>
      </c>
      <c r="N2199">
        <v>0</v>
      </c>
      <c r="O2199" t="s">
        <v>830</v>
      </c>
    </row>
    <row r="2200" spans="1:15" x14ac:dyDescent="0.25">
      <c r="A2200" t="s">
        <v>55</v>
      </c>
      <c r="B2200" t="s">
        <v>83</v>
      </c>
      <c r="C2200">
        <v>2192</v>
      </c>
      <c r="D2200">
        <v>2192.1</v>
      </c>
      <c r="E2200">
        <v>0.1</v>
      </c>
      <c r="F2200" t="s">
        <v>26</v>
      </c>
      <c r="G2200" t="s">
        <v>26</v>
      </c>
      <c r="H2200">
        <v>0</v>
      </c>
      <c r="I2200">
        <v>0</v>
      </c>
      <c r="K2200">
        <v>0.487362028</v>
      </c>
      <c r="L2200">
        <v>0</v>
      </c>
      <c r="M2200">
        <v>0.48504438100000002</v>
      </c>
      <c r="N2200">
        <v>0</v>
      </c>
      <c r="O2200" t="s">
        <v>831</v>
      </c>
    </row>
    <row r="2201" spans="1:15" x14ac:dyDescent="0.25">
      <c r="A2201" t="s">
        <v>55</v>
      </c>
      <c r="B2201" t="s">
        <v>83</v>
      </c>
      <c r="C2201">
        <v>2192</v>
      </c>
      <c r="D2201">
        <v>2192.1</v>
      </c>
      <c r="E2201">
        <v>1</v>
      </c>
      <c r="F2201" t="s">
        <v>26</v>
      </c>
      <c r="G2201" t="s">
        <v>26</v>
      </c>
      <c r="H2201">
        <v>0</v>
      </c>
      <c r="I2201">
        <v>0</v>
      </c>
      <c r="K2201">
        <v>0.75781450900000003</v>
      </c>
      <c r="L2201">
        <v>0</v>
      </c>
      <c r="M2201">
        <v>0.75184310300000001</v>
      </c>
      <c r="N2201">
        <v>0</v>
      </c>
      <c r="O2201" t="s">
        <v>832</v>
      </c>
    </row>
    <row r="2202" spans="1:15" x14ac:dyDescent="0.25">
      <c r="A2202" t="s">
        <v>55</v>
      </c>
      <c r="B2202" t="s">
        <v>84</v>
      </c>
      <c r="C2202">
        <v>-328</v>
      </c>
      <c r="D2202">
        <v>-147.9</v>
      </c>
      <c r="E2202">
        <v>0.1</v>
      </c>
      <c r="F2202" t="s">
        <v>26</v>
      </c>
      <c r="G2202" t="s">
        <v>26</v>
      </c>
      <c r="H2202">
        <v>0</v>
      </c>
      <c r="I2202">
        <v>0</v>
      </c>
      <c r="K2202">
        <v>0.70185549000000003</v>
      </c>
      <c r="L2202">
        <v>0</v>
      </c>
      <c r="M2202">
        <v>0.69127811699999997</v>
      </c>
      <c r="N2202">
        <v>0</v>
      </c>
      <c r="O2202" t="s">
        <v>809</v>
      </c>
    </row>
    <row r="2203" spans="1:15" x14ac:dyDescent="0.25">
      <c r="A2203" t="s">
        <v>55</v>
      </c>
      <c r="B2203" t="s">
        <v>84</v>
      </c>
      <c r="C2203">
        <v>-328</v>
      </c>
      <c r="D2203">
        <v>-147.9</v>
      </c>
      <c r="E2203">
        <v>1</v>
      </c>
      <c r="F2203" t="s">
        <v>26</v>
      </c>
      <c r="G2203" t="s">
        <v>26</v>
      </c>
      <c r="H2203">
        <v>0</v>
      </c>
      <c r="I2203">
        <v>0</v>
      </c>
      <c r="K2203">
        <v>0.93102535500000005</v>
      </c>
      <c r="L2203">
        <v>0</v>
      </c>
      <c r="M2203">
        <v>0.89881334800000001</v>
      </c>
      <c r="N2203">
        <v>0</v>
      </c>
      <c r="O2203" t="s">
        <v>810</v>
      </c>
    </row>
    <row r="2204" spans="1:15" x14ac:dyDescent="0.25">
      <c r="A2204" t="s">
        <v>55</v>
      </c>
      <c r="B2204" t="s">
        <v>84</v>
      </c>
      <c r="C2204">
        <v>-148</v>
      </c>
      <c r="D2204">
        <v>-12.9</v>
      </c>
      <c r="E2204">
        <v>0.1</v>
      </c>
      <c r="F2204" t="s">
        <v>26</v>
      </c>
      <c r="G2204" t="s">
        <v>26</v>
      </c>
      <c r="H2204">
        <v>0</v>
      </c>
      <c r="I2204">
        <v>0</v>
      </c>
      <c r="K2204">
        <v>0.40197575899999999</v>
      </c>
      <c r="L2204">
        <v>0</v>
      </c>
      <c r="M2204">
        <v>0.38320858099999999</v>
      </c>
      <c r="N2204">
        <v>0</v>
      </c>
      <c r="O2204" t="s">
        <v>811</v>
      </c>
    </row>
    <row r="2205" spans="1:15" x14ac:dyDescent="0.25">
      <c r="A2205" t="s">
        <v>55</v>
      </c>
      <c r="B2205" t="s">
        <v>84</v>
      </c>
      <c r="C2205">
        <v>-148</v>
      </c>
      <c r="D2205">
        <v>-12.9</v>
      </c>
      <c r="E2205">
        <v>1</v>
      </c>
      <c r="F2205" t="s">
        <v>26</v>
      </c>
      <c r="G2205" t="s">
        <v>26</v>
      </c>
      <c r="H2205">
        <v>0</v>
      </c>
      <c r="I2205">
        <v>0</v>
      </c>
      <c r="K2205">
        <v>0.73197786499999995</v>
      </c>
      <c r="L2205">
        <v>0</v>
      </c>
      <c r="M2205">
        <v>0.690542408</v>
      </c>
      <c r="N2205">
        <v>0</v>
      </c>
      <c r="O2205" t="s">
        <v>812</v>
      </c>
    </row>
    <row r="2206" spans="1:15" x14ac:dyDescent="0.25">
      <c r="A2206" t="s">
        <v>55</v>
      </c>
      <c r="B2206" t="s">
        <v>84</v>
      </c>
      <c r="C2206">
        <v>-13</v>
      </c>
      <c r="D2206">
        <v>248.1</v>
      </c>
      <c r="E2206">
        <v>0.1</v>
      </c>
      <c r="F2206" t="s">
        <v>26</v>
      </c>
      <c r="G2206" t="s">
        <v>26</v>
      </c>
      <c r="H2206">
        <v>0</v>
      </c>
      <c r="I2206">
        <v>0</v>
      </c>
      <c r="K2206">
        <v>0.35702451000000002</v>
      </c>
      <c r="L2206">
        <v>0</v>
      </c>
      <c r="M2206">
        <v>0.34265369699999998</v>
      </c>
      <c r="N2206">
        <v>0</v>
      </c>
      <c r="O2206" t="s">
        <v>813</v>
      </c>
    </row>
    <row r="2207" spans="1:15" x14ac:dyDescent="0.25">
      <c r="A2207" t="s">
        <v>55</v>
      </c>
      <c r="B2207" t="s">
        <v>84</v>
      </c>
      <c r="C2207">
        <v>-13</v>
      </c>
      <c r="D2207">
        <v>248.1</v>
      </c>
      <c r="E2207">
        <v>1</v>
      </c>
      <c r="F2207" t="s">
        <v>26</v>
      </c>
      <c r="G2207" t="s">
        <v>26</v>
      </c>
      <c r="H2207">
        <v>0</v>
      </c>
      <c r="I2207">
        <v>0</v>
      </c>
      <c r="K2207">
        <v>0.69830604600000001</v>
      </c>
      <c r="L2207">
        <v>0</v>
      </c>
      <c r="M2207">
        <v>0.66888829900000002</v>
      </c>
      <c r="N2207">
        <v>0</v>
      </c>
      <c r="O2207" t="s">
        <v>814</v>
      </c>
    </row>
    <row r="2208" spans="1:15" x14ac:dyDescent="0.25">
      <c r="A2208" t="s">
        <v>55</v>
      </c>
      <c r="B2208" t="s">
        <v>84</v>
      </c>
      <c r="C2208">
        <v>248</v>
      </c>
      <c r="D2208">
        <v>1832.1</v>
      </c>
      <c r="E2208">
        <v>0.1</v>
      </c>
      <c r="F2208" t="s">
        <v>26</v>
      </c>
      <c r="G2208" t="s">
        <v>26</v>
      </c>
      <c r="H2208">
        <v>0</v>
      </c>
      <c r="I2208">
        <v>0</v>
      </c>
      <c r="K2208">
        <v>0.55154780400000003</v>
      </c>
      <c r="L2208">
        <v>0</v>
      </c>
      <c r="M2208">
        <v>0.54665417400000005</v>
      </c>
      <c r="N2208">
        <v>0</v>
      </c>
      <c r="O2208" t="s">
        <v>815</v>
      </c>
    </row>
    <row r="2209" spans="1:15" x14ac:dyDescent="0.25">
      <c r="A2209" t="s">
        <v>55</v>
      </c>
      <c r="B2209" t="s">
        <v>84</v>
      </c>
      <c r="C2209">
        <v>248</v>
      </c>
      <c r="D2209">
        <v>1832.1</v>
      </c>
      <c r="E2209">
        <v>1</v>
      </c>
      <c r="F2209" t="s">
        <v>26</v>
      </c>
      <c r="G2209" t="s">
        <v>26</v>
      </c>
      <c r="H2209">
        <v>0</v>
      </c>
      <c r="I2209">
        <v>0</v>
      </c>
      <c r="K2209">
        <v>0.80642889500000003</v>
      </c>
      <c r="L2209">
        <v>0</v>
      </c>
      <c r="M2209">
        <v>0.792988515</v>
      </c>
      <c r="N2209">
        <v>0</v>
      </c>
      <c r="O2209" t="s">
        <v>816</v>
      </c>
    </row>
    <row r="2210" spans="1:15" x14ac:dyDescent="0.25">
      <c r="A2210" t="s">
        <v>55</v>
      </c>
      <c r="B2210" t="s">
        <v>84</v>
      </c>
      <c r="C2210">
        <v>1832</v>
      </c>
      <c r="D2210">
        <v>2500</v>
      </c>
      <c r="E2210">
        <v>0.1</v>
      </c>
      <c r="F2210" t="s">
        <v>26</v>
      </c>
      <c r="G2210" t="s">
        <v>26</v>
      </c>
      <c r="H2210">
        <v>0</v>
      </c>
      <c r="I2210">
        <v>0</v>
      </c>
      <c r="K2210">
        <v>0.83992544099999999</v>
      </c>
      <c r="L2210">
        <v>0</v>
      </c>
      <c r="M2210">
        <v>0.835476043</v>
      </c>
      <c r="N2210">
        <v>0</v>
      </c>
      <c r="O2210" t="s">
        <v>817</v>
      </c>
    </row>
    <row r="2211" spans="1:15" x14ac:dyDescent="0.25">
      <c r="A2211" t="s">
        <v>55</v>
      </c>
      <c r="B2211" t="s">
        <v>84</v>
      </c>
      <c r="C2211">
        <v>1832</v>
      </c>
      <c r="D2211">
        <v>2500</v>
      </c>
      <c r="E2211">
        <v>1</v>
      </c>
      <c r="F2211" t="s">
        <v>26</v>
      </c>
      <c r="G2211" t="s">
        <v>26</v>
      </c>
      <c r="H2211">
        <v>0</v>
      </c>
      <c r="I2211">
        <v>0</v>
      </c>
      <c r="K2211">
        <v>1.0285126790000001</v>
      </c>
      <c r="L2211">
        <v>0</v>
      </c>
      <c r="M2211">
        <v>1.013913319</v>
      </c>
      <c r="N2211">
        <v>0</v>
      </c>
      <c r="O2211" t="s">
        <v>818</v>
      </c>
    </row>
    <row r="2212" spans="1:15" x14ac:dyDescent="0.25">
      <c r="A2212" t="s">
        <v>55</v>
      </c>
      <c r="B2212" t="s">
        <v>84</v>
      </c>
      <c r="C2212">
        <v>2500</v>
      </c>
      <c r="D2212">
        <v>2500.1</v>
      </c>
      <c r="E2212">
        <v>0.1</v>
      </c>
      <c r="F2212" t="s">
        <v>26</v>
      </c>
      <c r="G2212" t="s">
        <v>26</v>
      </c>
      <c r="H2212">
        <v>0</v>
      </c>
      <c r="I2212">
        <v>0</v>
      </c>
      <c r="K2212">
        <v>0.83992544099999999</v>
      </c>
      <c r="L2212">
        <v>0</v>
      </c>
      <c r="M2212">
        <v>0.835476043</v>
      </c>
      <c r="N2212">
        <v>0</v>
      </c>
      <c r="O2212" t="s">
        <v>819</v>
      </c>
    </row>
    <row r="2213" spans="1:15" x14ac:dyDescent="0.25">
      <c r="A2213" t="s">
        <v>55</v>
      </c>
      <c r="B2213" t="s">
        <v>84</v>
      </c>
      <c r="C2213">
        <v>2500</v>
      </c>
      <c r="D2213">
        <v>2500.1</v>
      </c>
      <c r="E2213">
        <v>1</v>
      </c>
      <c r="F2213" t="s">
        <v>26</v>
      </c>
      <c r="G2213" t="s">
        <v>26</v>
      </c>
      <c r="H2213">
        <v>0</v>
      </c>
      <c r="I2213">
        <v>0</v>
      </c>
      <c r="K2213">
        <v>1.0285126790000001</v>
      </c>
      <c r="L2213">
        <v>0</v>
      </c>
      <c r="M2213">
        <v>1.013913319</v>
      </c>
      <c r="N2213">
        <v>0</v>
      </c>
      <c r="O2213" t="s">
        <v>820</v>
      </c>
    </row>
    <row r="2214" spans="1:15" x14ac:dyDescent="0.25">
      <c r="A2214" t="s">
        <v>55</v>
      </c>
      <c r="B2214" t="s">
        <v>85</v>
      </c>
      <c r="C2214">
        <v>-328</v>
      </c>
      <c r="D2214">
        <v>-147.9</v>
      </c>
      <c r="E2214">
        <v>0.1</v>
      </c>
      <c r="F2214" t="s">
        <v>26</v>
      </c>
      <c r="G2214" t="s">
        <v>26</v>
      </c>
      <c r="H2214">
        <v>0</v>
      </c>
      <c r="I2214">
        <v>0</v>
      </c>
      <c r="K2214">
        <v>0.84492191400000005</v>
      </c>
      <c r="L2214">
        <v>0</v>
      </c>
      <c r="M2214">
        <v>0.83553406799999996</v>
      </c>
      <c r="N2214">
        <v>0</v>
      </c>
      <c r="O2214" t="s">
        <v>797</v>
      </c>
    </row>
    <row r="2215" spans="1:15" x14ac:dyDescent="0.25">
      <c r="A2215" t="s">
        <v>55</v>
      </c>
      <c r="B2215" t="s">
        <v>85</v>
      </c>
      <c r="C2215">
        <v>-328</v>
      </c>
      <c r="D2215">
        <v>-147.9</v>
      </c>
      <c r="E2215">
        <v>1</v>
      </c>
      <c r="F2215" t="s">
        <v>26</v>
      </c>
      <c r="G2215" t="s">
        <v>26</v>
      </c>
      <c r="H2215">
        <v>0</v>
      </c>
      <c r="I2215">
        <v>0</v>
      </c>
      <c r="K2215">
        <v>1.0446150599999999</v>
      </c>
      <c r="L2215">
        <v>0</v>
      </c>
      <c r="M2215">
        <v>1.013961133</v>
      </c>
      <c r="N2215">
        <v>0</v>
      </c>
      <c r="O2215" t="s">
        <v>798</v>
      </c>
    </row>
    <row r="2216" spans="1:15" x14ac:dyDescent="0.25">
      <c r="A2216" t="s">
        <v>55</v>
      </c>
      <c r="B2216" t="s">
        <v>85</v>
      </c>
      <c r="C2216">
        <v>-148</v>
      </c>
      <c r="D2216">
        <v>-12.9</v>
      </c>
      <c r="E2216">
        <v>0.1</v>
      </c>
      <c r="F2216" t="s">
        <v>26</v>
      </c>
      <c r="G2216" t="s">
        <v>26</v>
      </c>
      <c r="H2216">
        <v>0</v>
      </c>
      <c r="I2216">
        <v>0</v>
      </c>
      <c r="K2216">
        <v>0.47673872299999998</v>
      </c>
      <c r="L2216">
        <v>0</v>
      </c>
      <c r="M2216">
        <v>0.46495666299999999</v>
      </c>
      <c r="N2216">
        <v>0</v>
      </c>
      <c r="O2216" t="s">
        <v>799</v>
      </c>
    </row>
    <row r="2217" spans="1:15" x14ac:dyDescent="0.25">
      <c r="A2217" t="s">
        <v>55</v>
      </c>
      <c r="B2217" t="s">
        <v>85</v>
      </c>
      <c r="C2217">
        <v>-148</v>
      </c>
      <c r="D2217">
        <v>-12.9</v>
      </c>
      <c r="E2217">
        <v>1</v>
      </c>
      <c r="F2217" t="s">
        <v>26</v>
      </c>
      <c r="G2217" t="s">
        <v>26</v>
      </c>
      <c r="H2217">
        <v>0</v>
      </c>
      <c r="I2217">
        <v>0</v>
      </c>
      <c r="K2217">
        <v>0.76848236400000003</v>
      </c>
      <c r="L2217">
        <v>0</v>
      </c>
      <c r="M2217">
        <v>0.73904309700000004</v>
      </c>
      <c r="N2217">
        <v>0</v>
      </c>
      <c r="O2217" t="s">
        <v>800</v>
      </c>
    </row>
    <row r="2218" spans="1:15" x14ac:dyDescent="0.25">
      <c r="A2218" t="s">
        <v>55</v>
      </c>
      <c r="B2218" t="s">
        <v>85</v>
      </c>
      <c r="C2218">
        <v>-13</v>
      </c>
      <c r="D2218">
        <v>248.1</v>
      </c>
      <c r="E2218">
        <v>0.1</v>
      </c>
      <c r="F2218" t="s">
        <v>26</v>
      </c>
      <c r="G2218" t="s">
        <v>26</v>
      </c>
      <c r="H2218">
        <v>0</v>
      </c>
      <c r="I2218">
        <v>0</v>
      </c>
      <c r="K2218">
        <v>0.41715274200000002</v>
      </c>
      <c r="L2218">
        <v>0</v>
      </c>
      <c r="M2218">
        <v>0.40363510699999999</v>
      </c>
      <c r="N2218">
        <v>0</v>
      </c>
      <c r="O2218" t="s">
        <v>801</v>
      </c>
    </row>
    <row r="2219" spans="1:15" x14ac:dyDescent="0.25">
      <c r="A2219" t="s">
        <v>55</v>
      </c>
      <c r="B2219" t="s">
        <v>85</v>
      </c>
      <c r="C2219">
        <v>-13</v>
      </c>
      <c r="D2219">
        <v>248.1</v>
      </c>
      <c r="E2219">
        <v>1</v>
      </c>
      <c r="F2219" t="s">
        <v>26</v>
      </c>
      <c r="G2219" t="s">
        <v>26</v>
      </c>
      <c r="H2219">
        <v>0</v>
      </c>
      <c r="I2219">
        <v>0</v>
      </c>
      <c r="K2219">
        <v>0.73300869300000004</v>
      </c>
      <c r="L2219">
        <v>0</v>
      </c>
      <c r="M2219">
        <v>0.70208354100000003</v>
      </c>
      <c r="N2219">
        <v>0</v>
      </c>
      <c r="O2219" t="s">
        <v>802</v>
      </c>
    </row>
    <row r="2220" spans="1:15" x14ac:dyDescent="0.25">
      <c r="A2220" t="s">
        <v>55</v>
      </c>
      <c r="B2220" t="s">
        <v>85</v>
      </c>
      <c r="C2220">
        <v>248</v>
      </c>
      <c r="D2220">
        <v>770.1</v>
      </c>
      <c r="E2220">
        <v>0.1</v>
      </c>
      <c r="F2220" t="s">
        <v>26</v>
      </c>
      <c r="G2220" t="s">
        <v>26</v>
      </c>
      <c r="H2220">
        <v>0</v>
      </c>
      <c r="I2220">
        <v>0</v>
      </c>
      <c r="K2220">
        <v>0.391502774</v>
      </c>
      <c r="L2220">
        <v>0</v>
      </c>
      <c r="M2220">
        <v>0.38322325200000001</v>
      </c>
      <c r="N2220">
        <v>0</v>
      </c>
      <c r="O2220" t="s">
        <v>803</v>
      </c>
    </row>
    <row r="2221" spans="1:15" x14ac:dyDescent="0.25">
      <c r="A2221" t="s">
        <v>55</v>
      </c>
      <c r="B2221" t="s">
        <v>85</v>
      </c>
      <c r="C2221">
        <v>248</v>
      </c>
      <c r="D2221">
        <v>770.1</v>
      </c>
      <c r="E2221">
        <v>1</v>
      </c>
      <c r="F2221" t="s">
        <v>26</v>
      </c>
      <c r="G2221" t="s">
        <v>26</v>
      </c>
      <c r="H2221">
        <v>0</v>
      </c>
      <c r="I2221">
        <v>0</v>
      </c>
      <c r="K2221">
        <v>0.70888469099999996</v>
      </c>
      <c r="L2221">
        <v>0</v>
      </c>
      <c r="M2221">
        <v>0.69055054900000001</v>
      </c>
      <c r="N2221">
        <v>0</v>
      </c>
      <c r="O2221" t="s">
        <v>804</v>
      </c>
    </row>
    <row r="2222" spans="1:15" x14ac:dyDescent="0.25">
      <c r="A2222" t="s">
        <v>55</v>
      </c>
      <c r="B2222" t="s">
        <v>85</v>
      </c>
      <c r="C2222">
        <v>770</v>
      </c>
      <c r="D2222">
        <v>2372</v>
      </c>
      <c r="E2222">
        <v>0.1</v>
      </c>
      <c r="F2222" t="s">
        <v>26</v>
      </c>
      <c r="G2222" t="s">
        <v>26</v>
      </c>
      <c r="H2222">
        <v>0</v>
      </c>
      <c r="I2222">
        <v>0</v>
      </c>
      <c r="K2222">
        <v>0.57284718899999998</v>
      </c>
      <c r="L2222">
        <v>0</v>
      </c>
      <c r="M2222">
        <v>0.567220893</v>
      </c>
      <c r="N2222">
        <v>0</v>
      </c>
      <c r="O2222" t="s">
        <v>805</v>
      </c>
    </row>
    <row r="2223" spans="1:15" x14ac:dyDescent="0.25">
      <c r="A2223" t="s">
        <v>55</v>
      </c>
      <c r="B2223" t="s">
        <v>85</v>
      </c>
      <c r="C2223">
        <v>770</v>
      </c>
      <c r="D2223">
        <v>2372</v>
      </c>
      <c r="E2223">
        <v>1</v>
      </c>
      <c r="F2223" t="s">
        <v>26</v>
      </c>
      <c r="G2223" t="s">
        <v>26</v>
      </c>
      <c r="H2223">
        <v>0</v>
      </c>
      <c r="I2223">
        <v>0</v>
      </c>
      <c r="K2223">
        <v>0.82304130200000003</v>
      </c>
      <c r="L2223">
        <v>0</v>
      </c>
      <c r="M2223">
        <v>0.80730387100000001</v>
      </c>
      <c r="N2223">
        <v>0</v>
      </c>
      <c r="O2223" t="s">
        <v>806</v>
      </c>
    </row>
    <row r="2224" spans="1:15" x14ac:dyDescent="0.25">
      <c r="A2224" t="s">
        <v>55</v>
      </c>
      <c r="B2224" t="s">
        <v>85</v>
      </c>
      <c r="C2224">
        <v>2372</v>
      </c>
      <c r="D2224">
        <v>2372.1</v>
      </c>
      <c r="E2224">
        <v>0.1</v>
      </c>
      <c r="F2224" t="s">
        <v>26</v>
      </c>
      <c r="G2224" t="s">
        <v>26</v>
      </c>
      <c r="H2224">
        <v>0</v>
      </c>
      <c r="I2224">
        <v>0</v>
      </c>
      <c r="K2224">
        <v>0.57284718899999998</v>
      </c>
      <c r="L2224">
        <v>0</v>
      </c>
      <c r="M2224">
        <v>0.567220893</v>
      </c>
      <c r="N2224">
        <v>0</v>
      </c>
      <c r="O2224" t="s">
        <v>807</v>
      </c>
    </row>
    <row r="2225" spans="1:15" x14ac:dyDescent="0.25">
      <c r="A2225" t="s">
        <v>55</v>
      </c>
      <c r="B2225" t="s">
        <v>85</v>
      </c>
      <c r="C2225">
        <v>2372</v>
      </c>
      <c r="D2225">
        <v>2372.1</v>
      </c>
      <c r="E2225">
        <v>1</v>
      </c>
      <c r="F2225" t="s">
        <v>26</v>
      </c>
      <c r="G2225" t="s">
        <v>26</v>
      </c>
      <c r="H2225">
        <v>0</v>
      </c>
      <c r="I2225">
        <v>0</v>
      </c>
      <c r="K2225">
        <v>0.82304130200000003</v>
      </c>
      <c r="L2225">
        <v>0</v>
      </c>
      <c r="M2225">
        <v>0.80730387100000001</v>
      </c>
      <c r="N2225">
        <v>0</v>
      </c>
      <c r="O2225" t="s">
        <v>808</v>
      </c>
    </row>
    <row r="2226" spans="1:15" x14ac:dyDescent="0.25">
      <c r="A2226" t="s">
        <v>55</v>
      </c>
      <c r="B2226" t="s">
        <v>89</v>
      </c>
      <c r="C2226">
        <v>-328</v>
      </c>
      <c r="D2226">
        <v>32.1</v>
      </c>
      <c r="E2226">
        <v>0.1</v>
      </c>
      <c r="F2226" t="s">
        <v>26</v>
      </c>
      <c r="G2226" t="s">
        <v>26</v>
      </c>
      <c r="H2226">
        <v>0</v>
      </c>
      <c r="I2226">
        <v>0</v>
      </c>
      <c r="K2226">
        <v>0.219284594</v>
      </c>
      <c r="L2226">
        <v>0</v>
      </c>
      <c r="M2226">
        <v>0.190436296</v>
      </c>
      <c r="N2226">
        <v>0</v>
      </c>
      <c r="O2226" t="s">
        <v>783</v>
      </c>
    </row>
    <row r="2227" spans="1:15" x14ac:dyDescent="0.25">
      <c r="A2227" t="s">
        <v>55</v>
      </c>
      <c r="B2227" t="s">
        <v>89</v>
      </c>
      <c r="C2227">
        <v>-328</v>
      </c>
      <c r="D2227">
        <v>32.1</v>
      </c>
      <c r="E2227">
        <v>1</v>
      </c>
      <c r="F2227" t="s">
        <v>26</v>
      </c>
      <c r="G2227" t="s">
        <v>26</v>
      </c>
      <c r="H2227">
        <v>0</v>
      </c>
      <c r="I2227">
        <v>0</v>
      </c>
      <c r="K2227">
        <v>0.60123441600000005</v>
      </c>
      <c r="L2227">
        <v>0</v>
      </c>
      <c r="M2227">
        <v>0.58897414100000001</v>
      </c>
      <c r="N2227">
        <v>0</v>
      </c>
      <c r="O2227" t="s">
        <v>784</v>
      </c>
    </row>
    <row r="2228" spans="1:15" x14ac:dyDescent="0.25">
      <c r="A2228" t="s">
        <v>55</v>
      </c>
      <c r="B2228" t="s">
        <v>89</v>
      </c>
      <c r="C2228">
        <v>32</v>
      </c>
      <c r="D2228">
        <v>212.1</v>
      </c>
      <c r="E2228">
        <v>0.1</v>
      </c>
      <c r="F2228" t="s">
        <v>26</v>
      </c>
      <c r="G2228" t="s">
        <v>26</v>
      </c>
      <c r="H2228">
        <v>0</v>
      </c>
      <c r="I2228">
        <v>0</v>
      </c>
      <c r="K2228">
        <v>0.28536871200000002</v>
      </c>
      <c r="L2228">
        <v>0</v>
      </c>
      <c r="M2228">
        <v>0.26384759099999999</v>
      </c>
      <c r="N2228">
        <v>0</v>
      </c>
      <c r="O2228" t="s">
        <v>785</v>
      </c>
    </row>
    <row r="2229" spans="1:15" x14ac:dyDescent="0.25">
      <c r="A2229" t="s">
        <v>55</v>
      </c>
      <c r="B2229" t="s">
        <v>89</v>
      </c>
      <c r="C2229">
        <v>32</v>
      </c>
      <c r="D2229">
        <v>212.1</v>
      </c>
      <c r="E2229">
        <v>1</v>
      </c>
      <c r="F2229" t="s">
        <v>26</v>
      </c>
      <c r="G2229" t="s">
        <v>26</v>
      </c>
      <c r="H2229">
        <v>0</v>
      </c>
      <c r="I2229">
        <v>0</v>
      </c>
      <c r="K2229">
        <v>0.611006049</v>
      </c>
      <c r="L2229">
        <v>0</v>
      </c>
      <c r="M2229">
        <v>0.59894583000000001</v>
      </c>
      <c r="N2229">
        <v>0</v>
      </c>
      <c r="O2229" t="s">
        <v>786</v>
      </c>
    </row>
    <row r="2230" spans="1:15" x14ac:dyDescent="0.25">
      <c r="A2230" t="s">
        <v>55</v>
      </c>
      <c r="B2230" t="s">
        <v>89</v>
      </c>
      <c r="C2230">
        <v>212</v>
      </c>
      <c r="D2230">
        <v>572.1</v>
      </c>
      <c r="E2230">
        <v>0.1</v>
      </c>
      <c r="F2230" t="s">
        <v>26</v>
      </c>
      <c r="G2230" t="s">
        <v>26</v>
      </c>
      <c r="H2230">
        <v>0</v>
      </c>
      <c r="I2230">
        <v>0</v>
      </c>
      <c r="K2230">
        <v>0.28536871200000002</v>
      </c>
      <c r="L2230">
        <v>0</v>
      </c>
      <c r="M2230">
        <v>0.26384759099999999</v>
      </c>
      <c r="N2230">
        <v>0</v>
      </c>
      <c r="O2230" t="s">
        <v>787</v>
      </c>
    </row>
    <row r="2231" spans="1:15" x14ac:dyDescent="0.25">
      <c r="A2231" t="s">
        <v>55</v>
      </c>
      <c r="B2231" t="s">
        <v>89</v>
      </c>
      <c r="C2231">
        <v>212</v>
      </c>
      <c r="D2231">
        <v>572.1</v>
      </c>
      <c r="E2231">
        <v>1</v>
      </c>
      <c r="F2231" t="s">
        <v>26</v>
      </c>
      <c r="G2231" t="s">
        <v>26</v>
      </c>
      <c r="H2231">
        <v>0</v>
      </c>
      <c r="I2231">
        <v>0</v>
      </c>
      <c r="K2231">
        <v>0.611006049</v>
      </c>
      <c r="L2231">
        <v>0</v>
      </c>
      <c r="M2231">
        <v>0.59894583000000001</v>
      </c>
      <c r="N2231">
        <v>0</v>
      </c>
      <c r="O2231" t="s">
        <v>788</v>
      </c>
    </row>
    <row r="2232" spans="1:15" x14ac:dyDescent="0.25">
      <c r="A2232" t="s">
        <v>55</v>
      </c>
      <c r="B2232" t="s">
        <v>89</v>
      </c>
      <c r="C2232">
        <v>572</v>
      </c>
      <c r="D2232">
        <v>752.1</v>
      </c>
      <c r="E2232">
        <v>0.1</v>
      </c>
      <c r="F2232" t="s">
        <v>26</v>
      </c>
      <c r="G2232" t="s">
        <v>26</v>
      </c>
      <c r="H2232">
        <v>0</v>
      </c>
      <c r="I2232">
        <v>0</v>
      </c>
      <c r="K2232">
        <v>0.39011774900000001</v>
      </c>
      <c r="L2232">
        <v>0</v>
      </c>
      <c r="M2232">
        <v>0.37466265900000001</v>
      </c>
      <c r="N2232">
        <v>0</v>
      </c>
      <c r="O2232" t="s">
        <v>789</v>
      </c>
    </row>
    <row r="2233" spans="1:15" x14ac:dyDescent="0.25">
      <c r="A2233" t="s">
        <v>55</v>
      </c>
      <c r="B2233" t="s">
        <v>89</v>
      </c>
      <c r="C2233">
        <v>572</v>
      </c>
      <c r="D2233">
        <v>752.1</v>
      </c>
      <c r="E2233">
        <v>1</v>
      </c>
      <c r="F2233" t="s">
        <v>26</v>
      </c>
      <c r="G2233" t="s">
        <v>26</v>
      </c>
      <c r="H2233">
        <v>0</v>
      </c>
      <c r="I2233">
        <v>0</v>
      </c>
      <c r="K2233">
        <v>0.63118059900000001</v>
      </c>
      <c r="L2233">
        <v>0</v>
      </c>
      <c r="M2233">
        <v>0.61951324699999999</v>
      </c>
      <c r="N2233">
        <v>0</v>
      </c>
      <c r="O2233" t="s">
        <v>790</v>
      </c>
    </row>
    <row r="2234" spans="1:15" x14ac:dyDescent="0.25">
      <c r="A2234" t="s">
        <v>55</v>
      </c>
      <c r="B2234" t="s">
        <v>89</v>
      </c>
      <c r="C2234">
        <v>752</v>
      </c>
      <c r="D2234">
        <v>1166.0999999999999</v>
      </c>
      <c r="E2234">
        <v>0.1</v>
      </c>
      <c r="F2234" t="s">
        <v>26</v>
      </c>
      <c r="G2234" t="s">
        <v>26</v>
      </c>
      <c r="H2234">
        <v>0</v>
      </c>
      <c r="I2234">
        <v>0</v>
      </c>
      <c r="K2234">
        <v>0.45987010699999997</v>
      </c>
      <c r="L2234">
        <v>0</v>
      </c>
      <c r="M2234">
        <v>0.44683415799999998</v>
      </c>
      <c r="N2234">
        <v>0</v>
      </c>
      <c r="O2234" t="s">
        <v>791</v>
      </c>
    </row>
    <row r="2235" spans="1:15" x14ac:dyDescent="0.25">
      <c r="A2235" t="s">
        <v>55</v>
      </c>
      <c r="B2235" t="s">
        <v>89</v>
      </c>
      <c r="C2235">
        <v>752</v>
      </c>
      <c r="D2235">
        <v>1166.0999999999999</v>
      </c>
      <c r="E2235">
        <v>1</v>
      </c>
      <c r="F2235" t="s">
        <v>26</v>
      </c>
      <c r="G2235" t="s">
        <v>26</v>
      </c>
      <c r="H2235">
        <v>0</v>
      </c>
      <c r="I2235">
        <v>0</v>
      </c>
      <c r="K2235">
        <v>0.64672529300000003</v>
      </c>
      <c r="L2235">
        <v>0</v>
      </c>
      <c r="M2235">
        <v>0.63534346600000002</v>
      </c>
      <c r="N2235">
        <v>0</v>
      </c>
      <c r="O2235" t="s">
        <v>792</v>
      </c>
    </row>
    <row r="2236" spans="1:15" x14ac:dyDescent="0.25">
      <c r="A2236" t="s">
        <v>55</v>
      </c>
      <c r="B2236" t="s">
        <v>89</v>
      </c>
      <c r="C2236">
        <v>1166</v>
      </c>
      <c r="D2236">
        <v>1472</v>
      </c>
      <c r="E2236">
        <v>0.1</v>
      </c>
      <c r="F2236" t="s">
        <v>26</v>
      </c>
      <c r="G2236" t="s">
        <v>26</v>
      </c>
      <c r="H2236">
        <v>0</v>
      </c>
      <c r="I2236">
        <v>0</v>
      </c>
      <c r="K2236">
        <v>0.77811255300000004</v>
      </c>
      <c r="L2236">
        <v>0</v>
      </c>
      <c r="M2236">
        <v>0.77047997700000004</v>
      </c>
      <c r="N2236">
        <v>0</v>
      </c>
      <c r="O2236" t="s">
        <v>793</v>
      </c>
    </row>
    <row r="2237" spans="1:15" x14ac:dyDescent="0.25">
      <c r="A2237" t="s">
        <v>55</v>
      </c>
      <c r="B2237" t="s">
        <v>89</v>
      </c>
      <c r="C2237">
        <v>1166</v>
      </c>
      <c r="D2237">
        <v>1472</v>
      </c>
      <c r="E2237">
        <v>1</v>
      </c>
      <c r="F2237" t="s">
        <v>26</v>
      </c>
      <c r="G2237" t="s">
        <v>26</v>
      </c>
      <c r="H2237">
        <v>0</v>
      </c>
      <c r="I2237">
        <v>0</v>
      </c>
      <c r="K2237">
        <v>0.73899948299999996</v>
      </c>
      <c r="L2237">
        <v>0</v>
      </c>
      <c r="M2237">
        <v>0.72905963500000004</v>
      </c>
      <c r="N2237">
        <v>0</v>
      </c>
      <c r="O2237" t="s">
        <v>794</v>
      </c>
    </row>
    <row r="2238" spans="1:15" x14ac:dyDescent="0.25">
      <c r="A2238" t="s">
        <v>55</v>
      </c>
      <c r="B2238" t="s">
        <v>89</v>
      </c>
      <c r="C2238">
        <v>1472</v>
      </c>
      <c r="D2238">
        <v>1472.1</v>
      </c>
      <c r="E2238">
        <v>0.1</v>
      </c>
      <c r="F2238" t="s">
        <v>26</v>
      </c>
      <c r="G2238" t="s">
        <v>26</v>
      </c>
      <c r="H2238">
        <v>0</v>
      </c>
      <c r="I2238">
        <v>0</v>
      </c>
      <c r="K2238">
        <v>0.77811255300000004</v>
      </c>
      <c r="L2238">
        <v>0</v>
      </c>
      <c r="M2238">
        <v>0.77047997700000004</v>
      </c>
      <c r="N2238">
        <v>0</v>
      </c>
      <c r="O2238" t="s">
        <v>795</v>
      </c>
    </row>
    <row r="2239" spans="1:15" x14ac:dyDescent="0.25">
      <c r="A2239" t="s">
        <v>55</v>
      </c>
      <c r="B2239" t="s">
        <v>89</v>
      </c>
      <c r="C2239">
        <v>1472</v>
      </c>
      <c r="D2239">
        <v>1472.1</v>
      </c>
      <c r="E2239">
        <v>1</v>
      </c>
      <c r="F2239" t="s">
        <v>26</v>
      </c>
      <c r="G2239" t="s">
        <v>26</v>
      </c>
      <c r="H2239">
        <v>0</v>
      </c>
      <c r="I2239">
        <v>0</v>
      </c>
      <c r="K2239">
        <v>0.73899948299999996</v>
      </c>
      <c r="L2239">
        <v>0</v>
      </c>
      <c r="M2239">
        <v>0.72905963500000004</v>
      </c>
      <c r="N2239">
        <v>0</v>
      </c>
      <c r="O2239" t="s">
        <v>796</v>
      </c>
    </row>
    <row r="2240" spans="1:15" x14ac:dyDescent="0.25">
      <c r="A2240" t="s">
        <v>55</v>
      </c>
      <c r="B2240" t="s">
        <v>90</v>
      </c>
      <c r="C2240">
        <v>-328</v>
      </c>
      <c r="D2240">
        <v>32.1</v>
      </c>
      <c r="E2240">
        <v>0.1</v>
      </c>
      <c r="F2240" t="s">
        <v>26</v>
      </c>
      <c r="G2240" t="s">
        <v>26</v>
      </c>
      <c r="H2240">
        <v>0</v>
      </c>
      <c r="I2240">
        <v>0</v>
      </c>
      <c r="K2240">
        <v>0.16401347099999999</v>
      </c>
      <c r="L2240">
        <v>0</v>
      </c>
      <c r="M2240">
        <v>0.12280337299999999</v>
      </c>
      <c r="N2240">
        <v>0</v>
      </c>
      <c r="O2240" t="s">
        <v>768</v>
      </c>
    </row>
    <row r="2241" spans="1:15" x14ac:dyDescent="0.25">
      <c r="A2241" t="s">
        <v>55</v>
      </c>
      <c r="B2241" t="s">
        <v>90</v>
      </c>
      <c r="C2241">
        <v>-328</v>
      </c>
      <c r="D2241">
        <v>32.1</v>
      </c>
      <c r="E2241">
        <v>1</v>
      </c>
      <c r="F2241" t="s">
        <v>26</v>
      </c>
      <c r="G2241" t="s">
        <v>26</v>
      </c>
      <c r="H2241">
        <v>0</v>
      </c>
      <c r="I2241">
        <v>0</v>
      </c>
      <c r="K2241">
        <v>0.59551113200000005</v>
      </c>
      <c r="L2241">
        <v>0</v>
      </c>
      <c r="M2241">
        <v>0.58313053800000003</v>
      </c>
      <c r="N2241">
        <v>0</v>
      </c>
      <c r="O2241" t="s">
        <v>769</v>
      </c>
    </row>
    <row r="2242" spans="1:15" x14ac:dyDescent="0.25">
      <c r="A2242" t="s">
        <v>55</v>
      </c>
      <c r="B2242" t="s">
        <v>90</v>
      </c>
      <c r="C2242">
        <v>32</v>
      </c>
      <c r="D2242">
        <v>212.1</v>
      </c>
      <c r="E2242">
        <v>0.1</v>
      </c>
      <c r="F2242" t="s">
        <v>26</v>
      </c>
      <c r="G2242" t="s">
        <v>26</v>
      </c>
      <c r="H2242">
        <v>0</v>
      </c>
      <c r="I2242">
        <v>0</v>
      </c>
      <c r="K2242">
        <v>0.19201475800000001</v>
      </c>
      <c r="L2242">
        <v>0</v>
      </c>
      <c r="M2242">
        <v>0.15827165600000001</v>
      </c>
      <c r="N2242">
        <v>0</v>
      </c>
      <c r="O2242" t="s">
        <v>770</v>
      </c>
    </row>
    <row r="2243" spans="1:15" x14ac:dyDescent="0.25">
      <c r="A2243" t="s">
        <v>55</v>
      </c>
      <c r="B2243" t="s">
        <v>90</v>
      </c>
      <c r="C2243">
        <v>212</v>
      </c>
      <c r="D2243">
        <v>500.1</v>
      </c>
      <c r="E2243">
        <v>0.1</v>
      </c>
      <c r="F2243" t="s">
        <v>26</v>
      </c>
      <c r="G2243" t="s">
        <v>26</v>
      </c>
      <c r="H2243">
        <v>0</v>
      </c>
      <c r="I2243">
        <v>0</v>
      </c>
      <c r="K2243">
        <v>0.19201475800000001</v>
      </c>
      <c r="L2243">
        <v>0</v>
      </c>
      <c r="M2243">
        <v>0.15827165600000001</v>
      </c>
      <c r="N2243">
        <v>0</v>
      </c>
      <c r="O2243" t="s">
        <v>771</v>
      </c>
    </row>
    <row r="2244" spans="1:15" x14ac:dyDescent="0.25">
      <c r="A2244" t="s">
        <v>55</v>
      </c>
      <c r="B2244" t="s">
        <v>90</v>
      </c>
      <c r="C2244">
        <v>212</v>
      </c>
      <c r="D2244">
        <v>500.1</v>
      </c>
      <c r="E2244">
        <v>1</v>
      </c>
      <c r="F2244" t="s">
        <v>26</v>
      </c>
      <c r="G2244" t="s">
        <v>26</v>
      </c>
      <c r="H2244">
        <v>0</v>
      </c>
      <c r="I2244">
        <v>0</v>
      </c>
      <c r="K2244">
        <v>0.59860734800000004</v>
      </c>
      <c r="L2244">
        <v>0</v>
      </c>
      <c r="M2244">
        <v>0.58629213899999999</v>
      </c>
      <c r="N2244">
        <v>0</v>
      </c>
      <c r="O2244" t="s">
        <v>772</v>
      </c>
    </row>
    <row r="2245" spans="1:15" x14ac:dyDescent="0.25">
      <c r="A2245" t="s">
        <v>55</v>
      </c>
      <c r="B2245" t="s">
        <v>90</v>
      </c>
      <c r="C2245">
        <v>500</v>
      </c>
      <c r="D2245">
        <v>572.1</v>
      </c>
      <c r="E2245">
        <v>0.1</v>
      </c>
      <c r="F2245" t="s">
        <v>26</v>
      </c>
      <c r="G2245" t="s">
        <v>26</v>
      </c>
      <c r="H2245">
        <v>0</v>
      </c>
      <c r="I2245">
        <v>0</v>
      </c>
      <c r="K2245">
        <v>0.26189677900000002</v>
      </c>
      <c r="L2245">
        <v>0</v>
      </c>
      <c r="M2245">
        <v>0.23826491999999999</v>
      </c>
      <c r="N2245">
        <v>0</v>
      </c>
      <c r="O2245" t="s">
        <v>773</v>
      </c>
    </row>
    <row r="2246" spans="1:15" x14ac:dyDescent="0.25">
      <c r="A2246" t="s">
        <v>55</v>
      </c>
      <c r="B2246" t="s">
        <v>90</v>
      </c>
      <c r="C2246">
        <v>500</v>
      </c>
      <c r="D2246">
        <v>572.1</v>
      </c>
      <c r="E2246">
        <v>1</v>
      </c>
      <c r="F2246" t="s">
        <v>26</v>
      </c>
      <c r="G2246" t="s">
        <v>26</v>
      </c>
      <c r="H2246">
        <v>0</v>
      </c>
      <c r="I2246">
        <v>0</v>
      </c>
      <c r="K2246">
        <v>0.61002542000000004</v>
      </c>
      <c r="L2246">
        <v>0</v>
      </c>
      <c r="M2246">
        <v>0.597945422</v>
      </c>
      <c r="N2246">
        <v>0</v>
      </c>
      <c r="O2246" t="s">
        <v>774</v>
      </c>
    </row>
    <row r="2247" spans="1:15" x14ac:dyDescent="0.25">
      <c r="A2247" t="s">
        <v>55</v>
      </c>
      <c r="B2247" t="s">
        <v>90</v>
      </c>
      <c r="C2247">
        <v>572</v>
      </c>
      <c r="D2247">
        <v>752.1</v>
      </c>
      <c r="E2247">
        <v>0.1</v>
      </c>
      <c r="F2247" t="s">
        <v>26</v>
      </c>
      <c r="G2247" t="s">
        <v>26</v>
      </c>
      <c r="H2247">
        <v>0</v>
      </c>
      <c r="I2247">
        <v>0</v>
      </c>
      <c r="K2247">
        <v>0.29342095699999998</v>
      </c>
      <c r="L2247">
        <v>0</v>
      </c>
      <c r="M2247">
        <v>0.27253643399999999</v>
      </c>
      <c r="N2247">
        <v>0</v>
      </c>
      <c r="O2247" t="s">
        <v>775</v>
      </c>
    </row>
    <row r="2248" spans="1:15" x14ac:dyDescent="0.25">
      <c r="A2248" t="s">
        <v>55</v>
      </c>
      <c r="B2248" t="s">
        <v>90</v>
      </c>
      <c r="C2248">
        <v>572</v>
      </c>
      <c r="D2248">
        <v>752.1</v>
      </c>
      <c r="E2248">
        <v>1</v>
      </c>
      <c r="F2248" t="s">
        <v>26</v>
      </c>
      <c r="G2248" t="s">
        <v>26</v>
      </c>
      <c r="H2248">
        <v>0</v>
      </c>
      <c r="I2248">
        <v>0</v>
      </c>
      <c r="K2248">
        <v>0.61480805800000005</v>
      </c>
      <c r="L2248">
        <v>0</v>
      </c>
      <c r="M2248">
        <v>0.60282390799999996</v>
      </c>
      <c r="N2248">
        <v>0</v>
      </c>
      <c r="O2248" t="s">
        <v>776</v>
      </c>
    </row>
    <row r="2249" spans="1:15" x14ac:dyDescent="0.25">
      <c r="A2249" t="s">
        <v>55</v>
      </c>
      <c r="B2249" t="s">
        <v>90</v>
      </c>
      <c r="C2249">
        <v>752</v>
      </c>
      <c r="D2249">
        <v>1112.0999999999999</v>
      </c>
      <c r="E2249">
        <v>0.1</v>
      </c>
      <c r="F2249" t="s">
        <v>26</v>
      </c>
      <c r="G2249" t="s">
        <v>26</v>
      </c>
      <c r="H2249">
        <v>0</v>
      </c>
      <c r="I2249">
        <v>0</v>
      </c>
      <c r="K2249">
        <v>0.29725496600000001</v>
      </c>
      <c r="L2249">
        <v>0</v>
      </c>
      <c r="M2249">
        <v>0.27666001600000001</v>
      </c>
      <c r="N2249">
        <v>0</v>
      </c>
      <c r="O2249" t="s">
        <v>777</v>
      </c>
    </row>
    <row r="2250" spans="1:15" x14ac:dyDescent="0.25">
      <c r="A2250" t="s">
        <v>55</v>
      </c>
      <c r="B2250" t="s">
        <v>90</v>
      </c>
      <c r="C2250">
        <v>752</v>
      </c>
      <c r="D2250">
        <v>1112.0999999999999</v>
      </c>
      <c r="E2250">
        <v>1</v>
      </c>
      <c r="F2250" t="s">
        <v>26</v>
      </c>
      <c r="G2250" t="s">
        <v>26</v>
      </c>
      <c r="H2250">
        <v>0</v>
      </c>
      <c r="I2250">
        <v>0</v>
      </c>
      <c r="K2250">
        <v>0.61664706700000005</v>
      </c>
      <c r="L2250">
        <v>0</v>
      </c>
      <c r="M2250">
        <v>0.60469936400000002</v>
      </c>
      <c r="N2250">
        <v>0</v>
      </c>
      <c r="O2250" t="s">
        <v>778</v>
      </c>
    </row>
    <row r="2251" spans="1:15" x14ac:dyDescent="0.25">
      <c r="A2251" t="s">
        <v>55</v>
      </c>
      <c r="B2251" t="s">
        <v>90</v>
      </c>
      <c r="C2251">
        <v>1112</v>
      </c>
      <c r="D2251">
        <v>1166</v>
      </c>
      <c r="E2251">
        <v>0.1</v>
      </c>
      <c r="F2251" t="s">
        <v>26</v>
      </c>
      <c r="G2251" t="s">
        <v>26</v>
      </c>
      <c r="H2251">
        <v>0</v>
      </c>
      <c r="I2251">
        <v>0</v>
      </c>
      <c r="K2251">
        <v>0.84698905999999996</v>
      </c>
      <c r="L2251">
        <v>0</v>
      </c>
      <c r="M2251">
        <v>0.83998256900000001</v>
      </c>
      <c r="N2251">
        <v>0</v>
      </c>
      <c r="O2251" t="s">
        <v>779</v>
      </c>
    </row>
    <row r="2252" spans="1:15" x14ac:dyDescent="0.25">
      <c r="A2252" t="s">
        <v>55</v>
      </c>
      <c r="B2252" t="s">
        <v>90</v>
      </c>
      <c r="C2252">
        <v>1112</v>
      </c>
      <c r="D2252">
        <v>1166</v>
      </c>
      <c r="E2252">
        <v>1</v>
      </c>
      <c r="F2252" t="s">
        <v>26</v>
      </c>
      <c r="G2252" t="s">
        <v>26</v>
      </c>
      <c r="H2252">
        <v>0</v>
      </c>
      <c r="I2252">
        <v>0</v>
      </c>
      <c r="K2252">
        <v>1.026249266</v>
      </c>
      <c r="L2252">
        <v>0</v>
      </c>
      <c r="M2252">
        <v>1.019114946</v>
      </c>
      <c r="N2252">
        <v>0</v>
      </c>
      <c r="O2252" t="s">
        <v>780</v>
      </c>
    </row>
    <row r="2253" spans="1:15" x14ac:dyDescent="0.25">
      <c r="A2253" t="s">
        <v>55</v>
      </c>
      <c r="B2253" t="s">
        <v>90</v>
      </c>
      <c r="C2253">
        <v>1166</v>
      </c>
      <c r="D2253">
        <v>1166.0999999999999</v>
      </c>
      <c r="E2253">
        <v>0.1</v>
      </c>
      <c r="F2253" t="s">
        <v>26</v>
      </c>
      <c r="G2253" t="s">
        <v>26</v>
      </c>
      <c r="H2253">
        <v>0</v>
      </c>
      <c r="I2253">
        <v>0</v>
      </c>
      <c r="K2253">
        <v>0.84698905999999996</v>
      </c>
      <c r="L2253">
        <v>0</v>
      </c>
      <c r="M2253">
        <v>0.83998256900000001</v>
      </c>
      <c r="N2253">
        <v>0</v>
      </c>
      <c r="O2253" t="s">
        <v>781</v>
      </c>
    </row>
    <row r="2254" spans="1:15" x14ac:dyDescent="0.25">
      <c r="A2254" t="s">
        <v>55</v>
      </c>
      <c r="B2254" t="s">
        <v>90</v>
      </c>
      <c r="C2254">
        <v>1166</v>
      </c>
      <c r="D2254">
        <v>1166.0999999999999</v>
      </c>
      <c r="E2254">
        <v>1</v>
      </c>
      <c r="F2254" t="s">
        <v>26</v>
      </c>
      <c r="G2254" t="s">
        <v>26</v>
      </c>
      <c r="H2254">
        <v>0</v>
      </c>
      <c r="I2254">
        <v>0</v>
      </c>
      <c r="K2254">
        <v>1.026249266</v>
      </c>
      <c r="L2254">
        <v>0</v>
      </c>
      <c r="M2254">
        <v>1.019114946</v>
      </c>
      <c r="N2254">
        <v>0</v>
      </c>
      <c r="O2254" t="s">
        <v>782</v>
      </c>
    </row>
    <row r="2255" spans="1:15" x14ac:dyDescent="0.25">
      <c r="A2255" t="s">
        <v>55</v>
      </c>
      <c r="B2255" t="s">
        <v>86</v>
      </c>
      <c r="C2255">
        <v>32</v>
      </c>
      <c r="D2255">
        <v>482.1</v>
      </c>
      <c r="E2255">
        <v>0.1</v>
      </c>
      <c r="F2255" t="s">
        <v>26</v>
      </c>
      <c r="G2255" t="s">
        <v>26</v>
      </c>
      <c r="H2255">
        <v>0</v>
      </c>
      <c r="I2255">
        <v>0</v>
      </c>
      <c r="K2255">
        <v>1.196556843</v>
      </c>
      <c r="L2255">
        <v>0</v>
      </c>
      <c r="M2255">
        <v>1.190019234</v>
      </c>
      <c r="N2255">
        <v>0</v>
      </c>
      <c r="O2255" t="s">
        <v>758</v>
      </c>
    </row>
    <row r="2256" spans="1:15" x14ac:dyDescent="0.25">
      <c r="A2256" t="s">
        <v>55</v>
      </c>
      <c r="B2256" t="s">
        <v>86</v>
      </c>
      <c r="C2256">
        <v>32</v>
      </c>
      <c r="D2256">
        <v>482.1</v>
      </c>
      <c r="E2256">
        <v>1</v>
      </c>
      <c r="F2256" t="s">
        <v>26</v>
      </c>
      <c r="G2256" t="s">
        <v>26</v>
      </c>
      <c r="H2256">
        <v>0</v>
      </c>
      <c r="I2256">
        <v>0</v>
      </c>
      <c r="K2256">
        <v>1.3448255570000001</v>
      </c>
      <c r="L2256">
        <v>0</v>
      </c>
      <c r="M2256">
        <v>1.3214180929999999</v>
      </c>
      <c r="N2256">
        <v>0</v>
      </c>
      <c r="O2256" t="s">
        <v>759</v>
      </c>
    </row>
    <row r="2257" spans="1:15" x14ac:dyDescent="0.25">
      <c r="A2257" t="s">
        <v>55</v>
      </c>
      <c r="B2257" t="s">
        <v>86</v>
      </c>
      <c r="C2257">
        <v>482</v>
      </c>
      <c r="D2257">
        <v>752.1</v>
      </c>
      <c r="E2257">
        <v>0.1</v>
      </c>
      <c r="F2257" t="s">
        <v>26</v>
      </c>
      <c r="G2257" t="s">
        <v>26</v>
      </c>
      <c r="H2257">
        <v>0</v>
      </c>
      <c r="I2257">
        <v>0</v>
      </c>
      <c r="K2257">
        <v>0.74216754799999995</v>
      </c>
      <c r="L2257">
        <v>0</v>
      </c>
      <c r="M2257">
        <v>0.73323749500000002</v>
      </c>
      <c r="N2257">
        <v>0</v>
      </c>
      <c r="O2257" t="s">
        <v>760</v>
      </c>
    </row>
    <row r="2258" spans="1:15" x14ac:dyDescent="0.25">
      <c r="A2258" t="s">
        <v>55</v>
      </c>
      <c r="B2258" t="s">
        <v>86</v>
      </c>
      <c r="C2258">
        <v>482</v>
      </c>
      <c r="D2258">
        <v>752.1</v>
      </c>
      <c r="E2258">
        <v>1</v>
      </c>
      <c r="F2258" t="s">
        <v>26</v>
      </c>
      <c r="G2258" t="s">
        <v>26</v>
      </c>
      <c r="H2258">
        <v>0</v>
      </c>
      <c r="I2258">
        <v>0</v>
      </c>
      <c r="K2258">
        <v>0.959343006</v>
      </c>
      <c r="L2258">
        <v>0</v>
      </c>
      <c r="M2258">
        <v>0.931470464</v>
      </c>
      <c r="N2258">
        <v>0</v>
      </c>
      <c r="O2258" t="s">
        <v>761</v>
      </c>
    </row>
    <row r="2259" spans="1:15" x14ac:dyDescent="0.25">
      <c r="A2259" t="s">
        <v>55</v>
      </c>
      <c r="B2259" t="s">
        <v>86</v>
      </c>
      <c r="C2259">
        <v>752</v>
      </c>
      <c r="D2259">
        <v>1832.1</v>
      </c>
      <c r="E2259">
        <v>0.1</v>
      </c>
      <c r="F2259" t="s">
        <v>26</v>
      </c>
      <c r="G2259" t="s">
        <v>26</v>
      </c>
      <c r="H2259">
        <v>0</v>
      </c>
      <c r="I2259">
        <v>0</v>
      </c>
      <c r="K2259">
        <v>0.70146403099999999</v>
      </c>
      <c r="L2259">
        <v>0</v>
      </c>
      <c r="M2259">
        <v>0.69200891799999997</v>
      </c>
      <c r="N2259">
        <v>0</v>
      </c>
      <c r="O2259" t="s">
        <v>762</v>
      </c>
    </row>
    <row r="2260" spans="1:15" x14ac:dyDescent="0.25">
      <c r="A2260" t="s">
        <v>55</v>
      </c>
      <c r="B2260" t="s">
        <v>86</v>
      </c>
      <c r="C2260">
        <v>752</v>
      </c>
      <c r="D2260">
        <v>1832.1</v>
      </c>
      <c r="E2260">
        <v>1</v>
      </c>
      <c r="F2260" t="s">
        <v>26</v>
      </c>
      <c r="G2260" t="s">
        <v>26</v>
      </c>
      <c r="H2260">
        <v>0</v>
      </c>
      <c r="I2260">
        <v>0</v>
      </c>
      <c r="K2260">
        <v>0.92821232499999995</v>
      </c>
      <c r="L2260">
        <v>0</v>
      </c>
      <c r="M2260">
        <v>0.89937552899999995</v>
      </c>
      <c r="N2260">
        <v>0</v>
      </c>
      <c r="O2260" t="s">
        <v>763</v>
      </c>
    </row>
    <row r="2261" spans="1:15" x14ac:dyDescent="0.25">
      <c r="A2261" t="s">
        <v>55</v>
      </c>
      <c r="B2261" t="s">
        <v>86</v>
      </c>
      <c r="C2261">
        <v>1832</v>
      </c>
      <c r="D2261">
        <v>3213</v>
      </c>
      <c r="E2261">
        <v>0.1</v>
      </c>
      <c r="F2261" t="s">
        <v>26</v>
      </c>
      <c r="G2261" t="s">
        <v>26</v>
      </c>
      <c r="H2261">
        <v>0</v>
      </c>
      <c r="I2261">
        <v>0</v>
      </c>
      <c r="K2261">
        <v>0.96694891999999999</v>
      </c>
      <c r="L2261">
        <v>0</v>
      </c>
      <c r="M2261">
        <v>0.96011185300000002</v>
      </c>
      <c r="N2261">
        <v>0</v>
      </c>
      <c r="O2261" t="s">
        <v>764</v>
      </c>
    </row>
    <row r="2262" spans="1:15" x14ac:dyDescent="0.25">
      <c r="A2262" t="s">
        <v>55</v>
      </c>
      <c r="B2262" t="s">
        <v>86</v>
      </c>
      <c r="C2262">
        <v>1832</v>
      </c>
      <c r="D2262">
        <v>3213</v>
      </c>
      <c r="E2262">
        <v>1</v>
      </c>
      <c r="F2262" t="s">
        <v>26</v>
      </c>
      <c r="G2262" t="s">
        <v>26</v>
      </c>
      <c r="H2262">
        <v>0</v>
      </c>
      <c r="I2262">
        <v>0</v>
      </c>
      <c r="K2262">
        <v>1.142154345</v>
      </c>
      <c r="L2262">
        <v>0</v>
      </c>
      <c r="M2262">
        <v>1.1188452840000001</v>
      </c>
      <c r="N2262">
        <v>0</v>
      </c>
      <c r="O2262" t="s">
        <v>765</v>
      </c>
    </row>
    <row r="2263" spans="1:15" x14ac:dyDescent="0.25">
      <c r="A2263" t="s">
        <v>55</v>
      </c>
      <c r="B2263" t="s">
        <v>86</v>
      </c>
      <c r="C2263">
        <v>3213</v>
      </c>
      <c r="D2263">
        <v>3213.1</v>
      </c>
      <c r="E2263">
        <v>0.1</v>
      </c>
      <c r="F2263" t="s">
        <v>26</v>
      </c>
      <c r="G2263" t="s">
        <v>26</v>
      </c>
      <c r="H2263">
        <v>0</v>
      </c>
      <c r="I2263">
        <v>0</v>
      </c>
      <c r="K2263">
        <v>0.96694891999999999</v>
      </c>
      <c r="L2263">
        <v>0</v>
      </c>
      <c r="M2263">
        <v>0.96011185300000002</v>
      </c>
      <c r="N2263">
        <v>0</v>
      </c>
      <c r="O2263" t="s">
        <v>766</v>
      </c>
    </row>
    <row r="2264" spans="1:15" x14ac:dyDescent="0.25">
      <c r="A2264" t="s">
        <v>55</v>
      </c>
      <c r="B2264" t="s">
        <v>86</v>
      </c>
      <c r="C2264">
        <v>3213</v>
      </c>
      <c r="D2264">
        <v>3213.1</v>
      </c>
      <c r="E2264">
        <v>1</v>
      </c>
      <c r="F2264" t="s">
        <v>26</v>
      </c>
      <c r="G2264" t="s">
        <v>26</v>
      </c>
      <c r="H2264">
        <v>0</v>
      </c>
      <c r="I2264">
        <v>0</v>
      </c>
      <c r="K2264">
        <v>1.142154345</v>
      </c>
      <c r="L2264">
        <v>0</v>
      </c>
      <c r="M2264">
        <v>1.1188452840000001</v>
      </c>
      <c r="N2264">
        <v>0</v>
      </c>
      <c r="O2264" t="s">
        <v>767</v>
      </c>
    </row>
    <row r="2265" spans="1:15" x14ac:dyDescent="0.25">
      <c r="A2265" t="s">
        <v>55</v>
      </c>
      <c r="B2265" t="s">
        <v>87</v>
      </c>
      <c r="C2265">
        <v>32</v>
      </c>
      <c r="D2265">
        <v>482.1</v>
      </c>
      <c r="E2265">
        <v>0.1</v>
      </c>
      <c r="F2265" t="s">
        <v>26</v>
      </c>
      <c r="G2265" t="s">
        <v>26</v>
      </c>
      <c r="H2265">
        <v>0</v>
      </c>
      <c r="I2265">
        <v>0</v>
      </c>
      <c r="K2265">
        <v>0.99102046200000005</v>
      </c>
      <c r="L2265">
        <v>0</v>
      </c>
      <c r="M2265">
        <v>0.98329333299999999</v>
      </c>
      <c r="N2265">
        <v>0</v>
      </c>
      <c r="O2265" t="s">
        <v>748</v>
      </c>
    </row>
    <row r="2266" spans="1:15" x14ac:dyDescent="0.25">
      <c r="A2266" t="s">
        <v>55</v>
      </c>
      <c r="B2266" t="s">
        <v>87</v>
      </c>
      <c r="C2266">
        <v>32</v>
      </c>
      <c r="D2266">
        <v>482.1</v>
      </c>
      <c r="E2266">
        <v>1</v>
      </c>
      <c r="F2266" t="s">
        <v>26</v>
      </c>
      <c r="G2266" t="s">
        <v>26</v>
      </c>
      <c r="H2266">
        <v>0</v>
      </c>
      <c r="I2266">
        <v>0</v>
      </c>
      <c r="K2266">
        <v>1.165284896</v>
      </c>
      <c r="L2266">
        <v>0</v>
      </c>
      <c r="M2266">
        <v>1.1388001480000001</v>
      </c>
      <c r="N2266">
        <v>0</v>
      </c>
      <c r="O2266" t="s">
        <v>749</v>
      </c>
    </row>
    <row r="2267" spans="1:15" x14ac:dyDescent="0.25">
      <c r="A2267" t="s">
        <v>55</v>
      </c>
      <c r="B2267" t="s">
        <v>87</v>
      </c>
      <c r="C2267">
        <v>482</v>
      </c>
      <c r="D2267">
        <v>1832.1</v>
      </c>
      <c r="E2267">
        <v>0.1</v>
      </c>
      <c r="F2267" t="s">
        <v>26</v>
      </c>
      <c r="G2267" t="s">
        <v>26</v>
      </c>
      <c r="H2267">
        <v>0</v>
      </c>
      <c r="I2267">
        <v>0</v>
      </c>
      <c r="K2267">
        <v>0.76311401300000004</v>
      </c>
      <c r="L2267">
        <v>0</v>
      </c>
      <c r="M2267">
        <v>0.75443194000000002</v>
      </c>
      <c r="N2267">
        <v>0</v>
      </c>
      <c r="O2267" t="s">
        <v>750</v>
      </c>
    </row>
    <row r="2268" spans="1:15" x14ac:dyDescent="0.25">
      <c r="A2268" t="s">
        <v>55</v>
      </c>
      <c r="B2268" t="s">
        <v>87</v>
      </c>
      <c r="C2268">
        <v>482</v>
      </c>
      <c r="D2268">
        <v>1832.1</v>
      </c>
      <c r="E2268">
        <v>1</v>
      </c>
      <c r="F2268" t="s">
        <v>26</v>
      </c>
      <c r="G2268" t="s">
        <v>26</v>
      </c>
      <c r="H2268">
        <v>0</v>
      </c>
      <c r="I2268">
        <v>0</v>
      </c>
      <c r="K2268">
        <v>0.97705967599999999</v>
      </c>
      <c r="L2268">
        <v>0</v>
      </c>
      <c r="M2268">
        <v>0.94824445800000001</v>
      </c>
      <c r="N2268">
        <v>0</v>
      </c>
      <c r="O2268" t="s">
        <v>751</v>
      </c>
    </row>
    <row r="2269" spans="1:15" x14ac:dyDescent="0.25">
      <c r="A2269" t="s">
        <v>55</v>
      </c>
      <c r="B2269" t="s">
        <v>87</v>
      </c>
      <c r="C2269">
        <v>1832</v>
      </c>
      <c r="D2269">
        <v>2552.1</v>
      </c>
      <c r="E2269">
        <v>0.1</v>
      </c>
      <c r="F2269" t="s">
        <v>26</v>
      </c>
      <c r="G2269" t="s">
        <v>26</v>
      </c>
      <c r="H2269">
        <v>0</v>
      </c>
      <c r="I2269">
        <v>0</v>
      </c>
      <c r="K2269">
        <v>0.78273955799999995</v>
      </c>
      <c r="L2269">
        <v>0</v>
      </c>
      <c r="M2269">
        <v>0.77427758000000002</v>
      </c>
      <c r="N2269">
        <v>0</v>
      </c>
      <c r="O2269" t="s">
        <v>752</v>
      </c>
    </row>
    <row r="2270" spans="1:15" x14ac:dyDescent="0.25">
      <c r="A2270" t="s">
        <v>55</v>
      </c>
      <c r="B2270" t="s">
        <v>87</v>
      </c>
      <c r="C2270">
        <v>1832</v>
      </c>
      <c r="D2270">
        <v>2552.1</v>
      </c>
      <c r="E2270">
        <v>1</v>
      </c>
      <c r="F2270" t="s">
        <v>26</v>
      </c>
      <c r="G2270" t="s">
        <v>26</v>
      </c>
      <c r="H2270">
        <v>0</v>
      </c>
      <c r="I2270">
        <v>0</v>
      </c>
      <c r="K2270">
        <v>0.99106384700000005</v>
      </c>
      <c r="L2270">
        <v>0</v>
      </c>
      <c r="M2270">
        <v>0.96410879699999996</v>
      </c>
      <c r="N2270">
        <v>0</v>
      </c>
      <c r="O2270" t="s">
        <v>753</v>
      </c>
    </row>
    <row r="2271" spans="1:15" x14ac:dyDescent="0.25">
      <c r="A2271" t="s">
        <v>55</v>
      </c>
      <c r="B2271" t="s">
        <v>87</v>
      </c>
      <c r="C2271">
        <v>2552</v>
      </c>
      <c r="D2271">
        <v>3213</v>
      </c>
      <c r="E2271">
        <v>0.1</v>
      </c>
      <c r="F2271" t="s">
        <v>26</v>
      </c>
      <c r="G2271" t="s">
        <v>26</v>
      </c>
      <c r="H2271">
        <v>0</v>
      </c>
      <c r="I2271">
        <v>0</v>
      </c>
      <c r="K2271">
        <v>0.96727748899999999</v>
      </c>
      <c r="L2271">
        <v>0</v>
      </c>
      <c r="M2271">
        <v>0.96044275999999995</v>
      </c>
      <c r="N2271">
        <v>0</v>
      </c>
      <c r="O2271" t="s">
        <v>754</v>
      </c>
    </row>
    <row r="2272" spans="1:15" x14ac:dyDescent="0.25">
      <c r="A2272" t="s">
        <v>55</v>
      </c>
      <c r="B2272" t="s">
        <v>87</v>
      </c>
      <c r="C2272">
        <v>2552</v>
      </c>
      <c r="D2272">
        <v>3213</v>
      </c>
      <c r="E2272">
        <v>1</v>
      </c>
      <c r="F2272" t="s">
        <v>26</v>
      </c>
      <c r="G2272" t="s">
        <v>26</v>
      </c>
      <c r="H2272">
        <v>0</v>
      </c>
      <c r="I2272">
        <v>0</v>
      </c>
      <c r="K2272">
        <v>1.142432525</v>
      </c>
      <c r="L2272">
        <v>0</v>
      </c>
      <c r="M2272">
        <v>1.1191292580000001</v>
      </c>
      <c r="N2272">
        <v>0</v>
      </c>
      <c r="O2272" t="s">
        <v>755</v>
      </c>
    </row>
    <row r="2273" spans="1:15" x14ac:dyDescent="0.25">
      <c r="A2273" t="s">
        <v>55</v>
      </c>
      <c r="B2273" t="s">
        <v>87</v>
      </c>
      <c r="C2273">
        <v>3213</v>
      </c>
      <c r="D2273">
        <v>3213.1</v>
      </c>
      <c r="E2273">
        <v>0.1</v>
      </c>
      <c r="F2273" t="s">
        <v>26</v>
      </c>
      <c r="G2273" t="s">
        <v>26</v>
      </c>
      <c r="H2273">
        <v>0</v>
      </c>
      <c r="I2273">
        <v>0</v>
      </c>
      <c r="K2273">
        <v>0.96727748899999999</v>
      </c>
      <c r="L2273">
        <v>0</v>
      </c>
      <c r="M2273">
        <v>0.96044275999999995</v>
      </c>
      <c r="N2273">
        <v>0</v>
      </c>
      <c r="O2273" t="s">
        <v>756</v>
      </c>
    </row>
    <row r="2274" spans="1:15" x14ac:dyDescent="0.25">
      <c r="A2274" t="s">
        <v>55</v>
      </c>
      <c r="B2274" t="s">
        <v>87</v>
      </c>
      <c r="C2274">
        <v>3213</v>
      </c>
      <c r="D2274">
        <v>3213.1</v>
      </c>
      <c r="E2274">
        <v>1</v>
      </c>
      <c r="F2274" t="s">
        <v>26</v>
      </c>
      <c r="G2274" t="s">
        <v>26</v>
      </c>
      <c r="H2274">
        <v>0</v>
      </c>
      <c r="I2274">
        <v>0</v>
      </c>
      <c r="K2274">
        <v>1.142432525</v>
      </c>
      <c r="L2274">
        <v>0</v>
      </c>
      <c r="M2274">
        <v>1.1191292580000001</v>
      </c>
      <c r="N2274">
        <v>0</v>
      </c>
      <c r="O2274" t="s">
        <v>757</v>
      </c>
    </row>
    <row r="2275" spans="1:15" x14ac:dyDescent="0.25">
      <c r="A2275" t="s">
        <v>55</v>
      </c>
      <c r="B2275" t="s">
        <v>88</v>
      </c>
      <c r="C2275">
        <v>-418</v>
      </c>
      <c r="D2275">
        <v>-237.9</v>
      </c>
      <c r="E2275">
        <v>0.1</v>
      </c>
      <c r="F2275" t="s">
        <v>26</v>
      </c>
      <c r="G2275" t="s">
        <v>26</v>
      </c>
      <c r="H2275">
        <v>0</v>
      </c>
      <c r="I2275">
        <v>0</v>
      </c>
      <c r="K2275">
        <v>0.55536480200000005</v>
      </c>
      <c r="L2275">
        <v>0</v>
      </c>
      <c r="M2275">
        <v>0.55057507900000002</v>
      </c>
      <c r="N2275">
        <v>0</v>
      </c>
      <c r="O2275" t="s">
        <v>738</v>
      </c>
    </row>
    <row r="2276" spans="1:15" x14ac:dyDescent="0.25">
      <c r="A2276" t="s">
        <v>55</v>
      </c>
      <c r="B2276" t="s">
        <v>88</v>
      </c>
      <c r="C2276">
        <v>-418</v>
      </c>
      <c r="D2276">
        <v>-237.9</v>
      </c>
      <c r="E2276">
        <v>1</v>
      </c>
      <c r="F2276" t="s">
        <v>26</v>
      </c>
      <c r="G2276" t="s">
        <v>26</v>
      </c>
      <c r="H2276">
        <v>0</v>
      </c>
      <c r="I2276">
        <v>0</v>
      </c>
      <c r="K2276">
        <v>0.80890141400000004</v>
      </c>
      <c r="L2276">
        <v>0</v>
      </c>
      <c r="M2276">
        <v>0.79569649899999995</v>
      </c>
      <c r="N2276">
        <v>0</v>
      </c>
      <c r="O2276" t="s">
        <v>739</v>
      </c>
    </row>
    <row r="2277" spans="1:15" x14ac:dyDescent="0.25">
      <c r="A2277" t="s">
        <v>55</v>
      </c>
      <c r="B2277" t="s">
        <v>88</v>
      </c>
      <c r="C2277">
        <v>-238</v>
      </c>
      <c r="D2277">
        <v>32.1</v>
      </c>
      <c r="E2277">
        <v>0.1</v>
      </c>
      <c r="F2277" t="s">
        <v>26</v>
      </c>
      <c r="G2277" t="s">
        <v>26</v>
      </c>
      <c r="H2277">
        <v>0</v>
      </c>
      <c r="I2277">
        <v>0</v>
      </c>
      <c r="K2277">
        <v>0.29307530900000001</v>
      </c>
      <c r="L2277">
        <v>0</v>
      </c>
      <c r="M2277">
        <v>0.28549186100000001</v>
      </c>
      <c r="N2277">
        <v>0</v>
      </c>
      <c r="O2277" t="s">
        <v>740</v>
      </c>
    </row>
    <row r="2278" spans="1:15" x14ac:dyDescent="0.25">
      <c r="A2278" t="s">
        <v>55</v>
      </c>
      <c r="B2278" t="s">
        <v>88</v>
      </c>
      <c r="C2278">
        <v>-238</v>
      </c>
      <c r="D2278">
        <v>32.1</v>
      </c>
      <c r="E2278">
        <v>1</v>
      </c>
      <c r="F2278" t="s">
        <v>26</v>
      </c>
      <c r="G2278" t="s">
        <v>26</v>
      </c>
      <c r="H2278">
        <v>0</v>
      </c>
      <c r="I2278">
        <v>0</v>
      </c>
      <c r="K2278">
        <v>0.65502346499999997</v>
      </c>
      <c r="L2278">
        <v>0</v>
      </c>
      <c r="M2278">
        <v>0.64148702499999999</v>
      </c>
      <c r="N2278">
        <v>0</v>
      </c>
      <c r="O2278" t="s">
        <v>741</v>
      </c>
    </row>
    <row r="2279" spans="1:15" x14ac:dyDescent="0.25">
      <c r="A2279" t="s">
        <v>55</v>
      </c>
      <c r="B2279" t="s">
        <v>88</v>
      </c>
      <c r="C2279">
        <v>32</v>
      </c>
      <c r="D2279">
        <v>248.1</v>
      </c>
      <c r="E2279">
        <v>0.1</v>
      </c>
      <c r="F2279" t="s">
        <v>26</v>
      </c>
      <c r="G2279" t="s">
        <v>26</v>
      </c>
      <c r="H2279">
        <v>0</v>
      </c>
      <c r="I2279">
        <v>0</v>
      </c>
      <c r="K2279">
        <v>0.20014928100000001</v>
      </c>
      <c r="L2279">
        <v>0</v>
      </c>
      <c r="M2279">
        <v>0.19650714699999999</v>
      </c>
      <c r="N2279">
        <v>0</v>
      </c>
      <c r="O2279" t="s">
        <v>742</v>
      </c>
    </row>
    <row r="2280" spans="1:15" x14ac:dyDescent="0.25">
      <c r="A2280" t="s">
        <v>55</v>
      </c>
      <c r="B2280" t="s">
        <v>88</v>
      </c>
      <c r="C2280">
        <v>32</v>
      </c>
      <c r="D2280">
        <v>248.1</v>
      </c>
      <c r="E2280">
        <v>1</v>
      </c>
      <c r="F2280" t="s">
        <v>26</v>
      </c>
      <c r="G2280" t="s">
        <v>26</v>
      </c>
      <c r="H2280">
        <v>0</v>
      </c>
      <c r="I2280">
        <v>0</v>
      </c>
      <c r="K2280">
        <v>0.61187724499999996</v>
      </c>
      <c r="L2280">
        <v>0</v>
      </c>
      <c r="M2280">
        <v>0.60713677099999996</v>
      </c>
      <c r="N2280">
        <v>0</v>
      </c>
      <c r="O2280" t="s">
        <v>743</v>
      </c>
    </row>
    <row r="2281" spans="1:15" x14ac:dyDescent="0.25">
      <c r="A2281" t="s">
        <v>55</v>
      </c>
      <c r="B2281" t="s">
        <v>88</v>
      </c>
      <c r="C2281">
        <v>248</v>
      </c>
      <c r="D2281">
        <v>752</v>
      </c>
      <c r="E2281">
        <v>0.1</v>
      </c>
      <c r="F2281" t="s">
        <v>26</v>
      </c>
      <c r="G2281" t="s">
        <v>26</v>
      </c>
      <c r="H2281">
        <v>0</v>
      </c>
      <c r="I2281">
        <v>0</v>
      </c>
      <c r="K2281">
        <v>0.17895368</v>
      </c>
      <c r="L2281">
        <v>0</v>
      </c>
      <c r="M2281">
        <v>0.17487064799999999</v>
      </c>
      <c r="N2281">
        <v>0</v>
      </c>
      <c r="O2281" t="s">
        <v>744</v>
      </c>
    </row>
    <row r="2282" spans="1:15" x14ac:dyDescent="0.25">
      <c r="A2282" t="s">
        <v>55</v>
      </c>
      <c r="B2282" t="s">
        <v>88</v>
      </c>
      <c r="C2282">
        <v>248</v>
      </c>
      <c r="D2282">
        <v>752</v>
      </c>
      <c r="E2282">
        <v>1</v>
      </c>
      <c r="F2282" t="s">
        <v>26</v>
      </c>
      <c r="G2282" t="s">
        <v>26</v>
      </c>
      <c r="H2282">
        <v>0</v>
      </c>
      <c r="I2282">
        <v>0</v>
      </c>
      <c r="K2282">
        <v>0.60527551300000004</v>
      </c>
      <c r="L2282">
        <v>0</v>
      </c>
      <c r="M2282">
        <v>0.600482925</v>
      </c>
      <c r="N2282">
        <v>0</v>
      </c>
      <c r="O2282" t="s">
        <v>745</v>
      </c>
    </row>
    <row r="2283" spans="1:15" x14ac:dyDescent="0.25">
      <c r="A2283" t="s">
        <v>55</v>
      </c>
      <c r="B2283" t="s">
        <v>88</v>
      </c>
      <c r="C2283">
        <v>752</v>
      </c>
      <c r="D2283">
        <v>752.1</v>
      </c>
      <c r="E2283">
        <v>0.1</v>
      </c>
      <c r="F2283" t="s">
        <v>26</v>
      </c>
      <c r="G2283" t="s">
        <v>26</v>
      </c>
      <c r="H2283">
        <v>0</v>
      </c>
      <c r="I2283">
        <v>0</v>
      </c>
      <c r="K2283">
        <v>0.17895368</v>
      </c>
      <c r="L2283">
        <v>0</v>
      </c>
      <c r="M2283">
        <v>0.17487064799999999</v>
      </c>
      <c r="N2283">
        <v>0</v>
      </c>
      <c r="O2283" t="s">
        <v>746</v>
      </c>
    </row>
    <row r="2284" spans="1:15" x14ac:dyDescent="0.25">
      <c r="A2284" t="s">
        <v>55</v>
      </c>
      <c r="B2284" t="s">
        <v>88</v>
      </c>
      <c r="C2284">
        <v>752</v>
      </c>
      <c r="D2284">
        <v>752.1</v>
      </c>
      <c r="E2284">
        <v>1</v>
      </c>
      <c r="F2284" t="s">
        <v>26</v>
      </c>
      <c r="G2284" t="s">
        <v>26</v>
      </c>
      <c r="H2284">
        <v>0</v>
      </c>
      <c r="I2284">
        <v>0</v>
      </c>
      <c r="K2284">
        <v>0.60527551300000004</v>
      </c>
      <c r="L2284">
        <v>0</v>
      </c>
      <c r="M2284">
        <v>0.600482925</v>
      </c>
      <c r="N2284">
        <v>0</v>
      </c>
      <c r="O2284" t="s">
        <v>747</v>
      </c>
    </row>
    <row r="2285" spans="1:15" x14ac:dyDescent="0.25">
      <c r="A2285" t="s">
        <v>55</v>
      </c>
      <c r="B2285" t="s">
        <v>17</v>
      </c>
      <c r="C2285">
        <v>0</v>
      </c>
      <c r="D2285">
        <v>120.001</v>
      </c>
      <c r="E2285">
        <v>1E-3</v>
      </c>
      <c r="F2285" t="s">
        <v>9</v>
      </c>
      <c r="G2285" t="s">
        <v>9</v>
      </c>
      <c r="H2285">
        <v>0</v>
      </c>
      <c r="I2285">
        <v>0</v>
      </c>
      <c r="K2285">
        <v>6.0000000000000001E-3</v>
      </c>
      <c r="L2285">
        <v>1.2999999999999999E-5</v>
      </c>
      <c r="M2285">
        <v>1.2888999999999999E-3</v>
      </c>
      <c r="N2285">
        <v>2.8E-5</v>
      </c>
      <c r="O2285" t="s">
        <v>708</v>
      </c>
    </row>
    <row r="2286" spans="1:15" x14ac:dyDescent="0.25">
      <c r="A2286" t="s">
        <v>55</v>
      </c>
      <c r="B2286" t="s">
        <v>17</v>
      </c>
      <c r="C2286">
        <v>0</v>
      </c>
      <c r="D2286">
        <v>120.001</v>
      </c>
      <c r="E2286">
        <v>0.01</v>
      </c>
      <c r="F2286" t="s">
        <v>9</v>
      </c>
      <c r="G2286" t="s">
        <v>9</v>
      </c>
      <c r="H2286">
        <v>0</v>
      </c>
      <c r="I2286">
        <v>0</v>
      </c>
      <c r="K2286">
        <v>6.0575999999999998E-3</v>
      </c>
      <c r="L2286">
        <v>1.5807E-5</v>
      </c>
      <c r="M2286">
        <v>5.8809999999999999E-3</v>
      </c>
      <c r="N2286">
        <v>1.26E-5</v>
      </c>
      <c r="O2286" t="s">
        <v>709</v>
      </c>
    </row>
    <row r="2287" spans="1:15" x14ac:dyDescent="0.25">
      <c r="A2287" t="s">
        <v>55</v>
      </c>
      <c r="B2287" t="s">
        <v>17</v>
      </c>
      <c r="C2287">
        <v>0</v>
      </c>
      <c r="D2287">
        <v>120.001</v>
      </c>
      <c r="E2287">
        <v>0.1</v>
      </c>
      <c r="F2287" t="s">
        <v>9</v>
      </c>
      <c r="G2287" t="s">
        <v>9</v>
      </c>
      <c r="H2287">
        <v>0</v>
      </c>
      <c r="I2287">
        <v>0</v>
      </c>
      <c r="K2287">
        <v>5.7819000000000002E-2</v>
      </c>
      <c r="L2287">
        <v>3.3129000000000001E-6</v>
      </c>
      <c r="M2287">
        <v>5.7745999999999999E-2</v>
      </c>
      <c r="N2287">
        <v>1.4481E-6</v>
      </c>
      <c r="O2287" t="s">
        <v>710</v>
      </c>
    </row>
    <row r="2288" spans="1:15" x14ac:dyDescent="0.25">
      <c r="A2288" t="s">
        <v>55</v>
      </c>
      <c r="B2288" t="s">
        <v>17</v>
      </c>
      <c r="C2288">
        <v>0</v>
      </c>
      <c r="D2288">
        <v>120.001</v>
      </c>
      <c r="E2288">
        <v>1</v>
      </c>
      <c r="F2288" t="s">
        <v>9</v>
      </c>
      <c r="G2288" t="s">
        <v>9</v>
      </c>
      <c r="H2288">
        <v>0</v>
      </c>
      <c r="I2288">
        <v>0</v>
      </c>
      <c r="K2288">
        <v>0.57738999999999996</v>
      </c>
      <c r="L2288">
        <v>8.9635999999999996E-7</v>
      </c>
      <c r="M2288">
        <v>0.57735999999999998</v>
      </c>
      <c r="N2288">
        <v>1.4506E-7</v>
      </c>
      <c r="O2288" t="s">
        <v>711</v>
      </c>
    </row>
    <row r="2289" spans="1:15" x14ac:dyDescent="0.25">
      <c r="A2289" t="s">
        <v>55</v>
      </c>
      <c r="B2289" t="s">
        <v>17</v>
      </c>
      <c r="C2289">
        <v>0</v>
      </c>
      <c r="D2289">
        <v>120.001</v>
      </c>
      <c r="E2289">
        <v>10</v>
      </c>
      <c r="F2289" t="s">
        <v>9</v>
      </c>
      <c r="G2289" t="s">
        <v>9</v>
      </c>
      <c r="H2289">
        <v>0</v>
      </c>
      <c r="I2289">
        <v>0</v>
      </c>
      <c r="K2289">
        <v>5.7736000000000001</v>
      </c>
      <c r="L2289">
        <v>3.1507999999999999E-7</v>
      </c>
      <c r="M2289">
        <v>5.7736000000000001</v>
      </c>
      <c r="N2289">
        <v>1.4505999999999999E-8</v>
      </c>
      <c r="O2289" t="s">
        <v>712</v>
      </c>
    </row>
    <row r="2290" spans="1:15" x14ac:dyDescent="0.25">
      <c r="A2290" t="s">
        <v>55</v>
      </c>
      <c r="B2290" t="s">
        <v>17</v>
      </c>
      <c r="C2290">
        <v>0</v>
      </c>
      <c r="D2290">
        <v>120.001</v>
      </c>
      <c r="E2290">
        <v>100</v>
      </c>
      <c r="F2290" t="s">
        <v>9</v>
      </c>
      <c r="G2290" t="s">
        <v>9</v>
      </c>
      <c r="H2290">
        <v>0</v>
      </c>
      <c r="I2290">
        <v>0</v>
      </c>
      <c r="K2290">
        <v>57.735999999999997</v>
      </c>
      <c r="L2290">
        <v>1.2167999999999999E-7</v>
      </c>
      <c r="M2290">
        <v>57.735999999999997</v>
      </c>
      <c r="N2290">
        <v>1.4510000000000001E-9</v>
      </c>
      <c r="O2290" t="s">
        <v>713</v>
      </c>
    </row>
    <row r="2291" spans="1:15" x14ac:dyDescent="0.25">
      <c r="A2291" t="s">
        <v>55</v>
      </c>
      <c r="B2291" t="s">
        <v>17</v>
      </c>
      <c r="C2291">
        <v>0</v>
      </c>
      <c r="D2291">
        <v>120.001</v>
      </c>
      <c r="E2291">
        <v>1000</v>
      </c>
      <c r="F2291" t="s">
        <v>9</v>
      </c>
      <c r="G2291" t="s">
        <v>9</v>
      </c>
      <c r="H2291">
        <v>0</v>
      </c>
      <c r="I2291">
        <v>0</v>
      </c>
      <c r="K2291">
        <v>577.36</v>
      </c>
      <c r="L2291">
        <v>4.8236000000000003E-8</v>
      </c>
      <c r="M2291">
        <v>577.36</v>
      </c>
      <c r="N2291">
        <v>1.4499999999999999E-10</v>
      </c>
      <c r="O2291" t="s">
        <v>714</v>
      </c>
    </row>
    <row r="2292" spans="1:15" x14ac:dyDescent="0.25">
      <c r="A2292" t="s">
        <v>55</v>
      </c>
      <c r="B2292" t="s">
        <v>17</v>
      </c>
      <c r="C2292">
        <v>120</v>
      </c>
      <c r="D2292">
        <v>1200.01</v>
      </c>
      <c r="E2292">
        <v>0.01</v>
      </c>
      <c r="F2292" t="s">
        <v>9</v>
      </c>
      <c r="G2292" t="s">
        <v>9</v>
      </c>
      <c r="H2292">
        <v>0</v>
      </c>
      <c r="I2292">
        <v>0</v>
      </c>
      <c r="K2292">
        <v>5.8000000000000003E-2</v>
      </c>
      <c r="L2292">
        <v>9.5000000000000005E-6</v>
      </c>
      <c r="M2292">
        <v>4.1865000000000001E-3</v>
      </c>
      <c r="N2292">
        <v>2.6727E-5</v>
      </c>
      <c r="O2292" t="s">
        <v>715</v>
      </c>
    </row>
    <row r="2293" spans="1:15" x14ac:dyDescent="0.25">
      <c r="A2293" t="s">
        <v>55</v>
      </c>
      <c r="B2293" t="s">
        <v>17</v>
      </c>
      <c r="C2293">
        <v>120</v>
      </c>
      <c r="D2293">
        <v>1200.01</v>
      </c>
      <c r="E2293">
        <v>0.1</v>
      </c>
      <c r="F2293" t="s">
        <v>9</v>
      </c>
      <c r="G2293" t="s">
        <v>9</v>
      </c>
      <c r="H2293">
        <v>0</v>
      </c>
      <c r="I2293">
        <v>0</v>
      </c>
      <c r="K2293">
        <v>5.8519000000000002E-2</v>
      </c>
      <c r="L2293">
        <v>1.0244000000000001E-5</v>
      </c>
      <c r="M2293">
        <v>5.6807999999999997E-2</v>
      </c>
      <c r="N2293">
        <v>9.2701999999999998E-6</v>
      </c>
      <c r="O2293" t="s">
        <v>716</v>
      </c>
    </row>
    <row r="2294" spans="1:15" x14ac:dyDescent="0.25">
      <c r="A2294" t="s">
        <v>55</v>
      </c>
      <c r="B2294" t="s">
        <v>17</v>
      </c>
      <c r="C2294">
        <v>120</v>
      </c>
      <c r="D2294">
        <v>1200.01</v>
      </c>
      <c r="E2294">
        <v>1</v>
      </c>
      <c r="F2294" t="s">
        <v>9</v>
      </c>
      <c r="G2294" t="s">
        <v>9</v>
      </c>
      <c r="H2294">
        <v>0</v>
      </c>
      <c r="I2294">
        <v>0</v>
      </c>
      <c r="K2294">
        <v>0.57794999999999996</v>
      </c>
      <c r="L2294">
        <v>1.5972999999999999E-6</v>
      </c>
      <c r="M2294">
        <v>0.57725000000000004</v>
      </c>
      <c r="N2294">
        <v>1.0094E-6</v>
      </c>
      <c r="O2294" t="s">
        <v>717</v>
      </c>
    </row>
    <row r="2295" spans="1:15" x14ac:dyDescent="0.25">
      <c r="A2295" t="s">
        <v>55</v>
      </c>
      <c r="B2295" t="s">
        <v>17</v>
      </c>
      <c r="C2295">
        <v>120</v>
      </c>
      <c r="D2295">
        <v>1200.01</v>
      </c>
      <c r="E2295">
        <v>10</v>
      </c>
      <c r="F2295" t="s">
        <v>9</v>
      </c>
      <c r="G2295" t="s">
        <v>9</v>
      </c>
      <c r="H2295">
        <v>0</v>
      </c>
      <c r="I2295">
        <v>0</v>
      </c>
      <c r="K2295">
        <v>5.7739000000000003</v>
      </c>
      <c r="L2295">
        <v>3.3757000000000002E-7</v>
      </c>
      <c r="M2295">
        <v>5.7735000000000003</v>
      </c>
      <c r="N2295">
        <v>1.0104E-7</v>
      </c>
      <c r="O2295" t="s">
        <v>718</v>
      </c>
    </row>
    <row r="2296" spans="1:15" x14ac:dyDescent="0.25">
      <c r="A2296" t="s">
        <v>55</v>
      </c>
      <c r="B2296" t="s">
        <v>17</v>
      </c>
      <c r="C2296">
        <v>1200</v>
      </c>
      <c r="D2296">
        <v>12001</v>
      </c>
      <c r="E2296">
        <v>0.1</v>
      </c>
      <c r="F2296" t="s">
        <v>9</v>
      </c>
      <c r="G2296" t="s">
        <v>9</v>
      </c>
      <c r="H2296">
        <v>0</v>
      </c>
      <c r="I2296">
        <v>0</v>
      </c>
      <c r="K2296">
        <v>0.58496999999999999</v>
      </c>
      <c r="L2296">
        <v>9.8285999999999994E-6</v>
      </c>
      <c r="M2296">
        <v>0.56786000000000003</v>
      </c>
      <c r="N2296">
        <v>8.8367999999999998E-6</v>
      </c>
      <c r="O2296" t="s">
        <v>719</v>
      </c>
    </row>
    <row r="2297" spans="1:15" x14ac:dyDescent="0.25">
      <c r="A2297" t="s">
        <v>55</v>
      </c>
      <c r="B2297" t="s">
        <v>17</v>
      </c>
      <c r="C2297">
        <v>1200</v>
      </c>
      <c r="D2297">
        <v>12001</v>
      </c>
      <c r="E2297">
        <v>1</v>
      </c>
      <c r="F2297" t="s">
        <v>9</v>
      </c>
      <c r="G2297" t="s">
        <v>9</v>
      </c>
      <c r="H2297">
        <v>0</v>
      </c>
      <c r="I2297">
        <v>0</v>
      </c>
      <c r="K2297">
        <v>5.7794999999999996</v>
      </c>
      <c r="L2297">
        <v>1.5456000000000001E-6</v>
      </c>
      <c r="M2297">
        <v>5.7725</v>
      </c>
      <c r="N2297">
        <v>9.5753999999999998E-7</v>
      </c>
      <c r="O2297" t="s">
        <v>720</v>
      </c>
    </row>
    <row r="2298" spans="1:15" x14ac:dyDescent="0.25">
      <c r="A2298" t="s">
        <v>55</v>
      </c>
      <c r="B2298" t="s">
        <v>17</v>
      </c>
      <c r="C2298">
        <v>1200</v>
      </c>
      <c r="D2298">
        <v>12001</v>
      </c>
      <c r="E2298">
        <v>10</v>
      </c>
      <c r="F2298" t="s">
        <v>9</v>
      </c>
      <c r="G2298" t="s">
        <v>9</v>
      </c>
      <c r="H2298">
        <v>0</v>
      </c>
      <c r="I2298">
        <v>0</v>
      </c>
      <c r="K2298">
        <v>57.738999999999997</v>
      </c>
      <c r="L2298">
        <v>3.3237E-7</v>
      </c>
      <c r="M2298">
        <v>57.734999999999999</v>
      </c>
      <c r="N2298">
        <v>9.5840000000000003E-8</v>
      </c>
      <c r="O2298" t="s">
        <v>721</v>
      </c>
    </row>
    <row r="2299" spans="1:15" x14ac:dyDescent="0.25">
      <c r="A2299" t="s">
        <v>55</v>
      </c>
      <c r="B2299" t="s">
        <v>17</v>
      </c>
      <c r="C2299">
        <v>12000</v>
      </c>
      <c r="D2299">
        <v>120010</v>
      </c>
      <c r="E2299">
        <v>1</v>
      </c>
      <c r="F2299" t="s">
        <v>9</v>
      </c>
      <c r="G2299" t="s">
        <v>9</v>
      </c>
      <c r="H2299">
        <v>0</v>
      </c>
      <c r="I2299">
        <v>0</v>
      </c>
      <c r="K2299">
        <v>19</v>
      </c>
      <c r="L2299">
        <v>2.8E-5</v>
      </c>
      <c r="M2299">
        <v>17.329999999999998</v>
      </c>
      <c r="N2299">
        <v>2.8853999999999999E-5</v>
      </c>
      <c r="O2299" t="s">
        <v>722</v>
      </c>
    </row>
    <row r="2300" spans="1:15" x14ac:dyDescent="0.25">
      <c r="A2300" t="s">
        <v>55</v>
      </c>
      <c r="B2300" t="s">
        <v>17</v>
      </c>
      <c r="C2300">
        <v>12000</v>
      </c>
      <c r="D2300">
        <v>120010</v>
      </c>
      <c r="E2300">
        <v>10</v>
      </c>
      <c r="F2300" t="s">
        <v>9</v>
      </c>
      <c r="G2300" t="s">
        <v>9</v>
      </c>
      <c r="H2300">
        <v>0</v>
      </c>
      <c r="I2300">
        <v>0</v>
      </c>
      <c r="K2300">
        <v>19</v>
      </c>
      <c r="L2300">
        <v>2.8E-5</v>
      </c>
      <c r="M2300">
        <v>18.254999999999999</v>
      </c>
      <c r="N2300">
        <v>2.7640999999999998E-5</v>
      </c>
      <c r="O2300" t="s">
        <v>723</v>
      </c>
    </row>
    <row r="2301" spans="1:15" x14ac:dyDescent="0.25">
      <c r="A2301" t="s">
        <v>55</v>
      </c>
      <c r="B2301" t="s">
        <v>17</v>
      </c>
      <c r="C2301">
        <v>12000</v>
      </c>
      <c r="D2301">
        <v>120010</v>
      </c>
      <c r="E2301">
        <v>100</v>
      </c>
      <c r="F2301" t="s">
        <v>9</v>
      </c>
      <c r="G2301" t="s">
        <v>9</v>
      </c>
      <c r="H2301">
        <v>0</v>
      </c>
      <c r="I2301">
        <v>0</v>
      </c>
      <c r="K2301">
        <v>60.591999999999999</v>
      </c>
      <c r="L2301">
        <v>1.1287000000000001E-5</v>
      </c>
      <c r="M2301">
        <v>60.268999999999998</v>
      </c>
      <c r="N2301">
        <v>9.1177999999999993E-6</v>
      </c>
      <c r="O2301" t="s">
        <v>724</v>
      </c>
    </row>
    <row r="2302" spans="1:15" x14ac:dyDescent="0.25">
      <c r="A2302" t="s">
        <v>55</v>
      </c>
      <c r="B2302" t="s">
        <v>17</v>
      </c>
      <c r="C2302">
        <v>12000</v>
      </c>
      <c r="D2302">
        <v>120010</v>
      </c>
      <c r="E2302">
        <v>1000</v>
      </c>
      <c r="F2302" t="s">
        <v>9</v>
      </c>
      <c r="G2302" t="s">
        <v>9</v>
      </c>
      <c r="H2302">
        <v>0</v>
      </c>
      <c r="I2302">
        <v>0</v>
      </c>
      <c r="K2302">
        <v>577.75</v>
      </c>
      <c r="L2302">
        <v>1.9059E-6</v>
      </c>
      <c r="M2302">
        <v>577.61</v>
      </c>
      <c r="N2302">
        <v>9.6075000000000008E-7</v>
      </c>
      <c r="O2302" t="s">
        <v>725</v>
      </c>
    </row>
    <row r="2303" spans="1:15" x14ac:dyDescent="0.25">
      <c r="A2303" t="s">
        <v>55</v>
      </c>
      <c r="B2303" t="s">
        <v>17</v>
      </c>
      <c r="C2303">
        <v>120000</v>
      </c>
      <c r="D2303">
        <v>1200010</v>
      </c>
      <c r="E2303">
        <v>10</v>
      </c>
      <c r="F2303" t="s">
        <v>9</v>
      </c>
      <c r="G2303" t="s">
        <v>9</v>
      </c>
      <c r="H2303">
        <v>0</v>
      </c>
      <c r="I2303">
        <v>0</v>
      </c>
      <c r="K2303">
        <v>60</v>
      </c>
      <c r="L2303">
        <v>1.5999999999999999E-5</v>
      </c>
      <c r="M2303">
        <v>18.158999999999999</v>
      </c>
      <c r="N2303">
        <v>2.8435000000000001E-5</v>
      </c>
      <c r="O2303" t="s">
        <v>726</v>
      </c>
    </row>
    <row r="2304" spans="1:15" x14ac:dyDescent="0.25">
      <c r="A2304" t="s">
        <v>55</v>
      </c>
      <c r="B2304" t="s">
        <v>17</v>
      </c>
      <c r="C2304">
        <v>120000</v>
      </c>
      <c r="D2304">
        <v>1200010</v>
      </c>
      <c r="E2304">
        <v>100</v>
      </c>
      <c r="F2304" t="s">
        <v>9</v>
      </c>
      <c r="G2304" t="s">
        <v>9</v>
      </c>
      <c r="H2304">
        <v>0</v>
      </c>
      <c r="I2304">
        <v>0</v>
      </c>
      <c r="K2304">
        <v>60.875999999999998</v>
      </c>
      <c r="L2304">
        <v>1.8461000000000002E-5</v>
      </c>
      <c r="M2304">
        <v>59.55</v>
      </c>
      <c r="N2304">
        <v>1.5104E-5</v>
      </c>
      <c r="O2304" t="s">
        <v>727</v>
      </c>
    </row>
    <row r="2305" spans="1:15" x14ac:dyDescent="0.25">
      <c r="A2305" t="s">
        <v>55</v>
      </c>
      <c r="B2305" t="s">
        <v>17</v>
      </c>
      <c r="C2305">
        <v>120000</v>
      </c>
      <c r="D2305">
        <v>1200010</v>
      </c>
      <c r="E2305">
        <v>1000</v>
      </c>
      <c r="F2305" t="s">
        <v>9</v>
      </c>
      <c r="G2305" t="s">
        <v>9</v>
      </c>
      <c r="H2305">
        <v>0</v>
      </c>
      <c r="I2305">
        <v>0</v>
      </c>
      <c r="K2305">
        <v>578.01</v>
      </c>
      <c r="L2305">
        <v>3.8670999999999998E-6</v>
      </c>
      <c r="M2305">
        <v>577.51</v>
      </c>
      <c r="N2305">
        <v>1.8143999999999999E-6</v>
      </c>
      <c r="O2305" t="s">
        <v>728</v>
      </c>
    </row>
    <row r="2306" spans="1:15" x14ac:dyDescent="0.25">
      <c r="A2306" t="s">
        <v>55</v>
      </c>
      <c r="B2306" t="s">
        <v>17</v>
      </c>
      <c r="C2306">
        <v>120000</v>
      </c>
      <c r="D2306">
        <v>1200010</v>
      </c>
      <c r="E2306">
        <v>10000</v>
      </c>
      <c r="F2306" t="s">
        <v>9</v>
      </c>
      <c r="G2306" t="s">
        <v>9</v>
      </c>
      <c r="H2306">
        <v>0</v>
      </c>
      <c r="I2306">
        <v>0</v>
      </c>
      <c r="K2306">
        <v>5773.8</v>
      </c>
      <c r="L2306">
        <v>1.0097E-6</v>
      </c>
      <c r="M2306">
        <v>5773.6</v>
      </c>
      <c r="N2306">
        <v>1.8185999999999999E-7</v>
      </c>
      <c r="O2306" t="s">
        <v>729</v>
      </c>
    </row>
    <row r="2307" spans="1:15" x14ac:dyDescent="0.25">
      <c r="A2307" t="s">
        <v>55</v>
      </c>
      <c r="B2307" t="s">
        <v>17</v>
      </c>
      <c r="C2307">
        <v>1200000</v>
      </c>
      <c r="D2307">
        <v>2000000</v>
      </c>
      <c r="E2307">
        <v>100</v>
      </c>
      <c r="F2307" t="s">
        <v>9</v>
      </c>
      <c r="G2307" t="s">
        <v>10</v>
      </c>
      <c r="H2307">
        <v>0</v>
      </c>
      <c r="I2307">
        <v>0</v>
      </c>
      <c r="K2307">
        <v>0.43</v>
      </c>
      <c r="L2307">
        <v>1.2999999999999999E-4</v>
      </c>
      <c r="M2307">
        <v>-0.35824</v>
      </c>
      <c r="N2307">
        <v>3.6326000000000002E-4</v>
      </c>
      <c r="O2307" t="s">
        <v>730</v>
      </c>
    </row>
    <row r="2308" spans="1:15" x14ac:dyDescent="0.25">
      <c r="A2308" t="s">
        <v>55</v>
      </c>
      <c r="B2308" t="s">
        <v>17</v>
      </c>
      <c r="C2308">
        <v>1200000</v>
      </c>
      <c r="D2308">
        <v>2000000</v>
      </c>
      <c r="E2308">
        <v>1000</v>
      </c>
      <c r="F2308" t="s">
        <v>9</v>
      </c>
      <c r="G2308" t="s">
        <v>10</v>
      </c>
      <c r="H2308">
        <v>0</v>
      </c>
      <c r="I2308">
        <v>0</v>
      </c>
      <c r="K2308">
        <v>0.43</v>
      </c>
      <c r="L2308">
        <v>1.4137000000000001E-4</v>
      </c>
      <c r="M2308">
        <v>0.42565999999999998</v>
      </c>
      <c r="N2308">
        <v>1.2836E-4</v>
      </c>
      <c r="O2308" t="s">
        <v>731</v>
      </c>
    </row>
    <row r="2309" spans="1:15" x14ac:dyDescent="0.25">
      <c r="A2309" t="s">
        <v>55</v>
      </c>
      <c r="B2309" t="s">
        <v>17</v>
      </c>
      <c r="C2309">
        <v>1200000</v>
      </c>
      <c r="D2309">
        <v>2000000</v>
      </c>
      <c r="E2309">
        <v>10000</v>
      </c>
      <c r="F2309" t="s">
        <v>9</v>
      </c>
      <c r="G2309" t="s">
        <v>10</v>
      </c>
      <c r="H2309">
        <v>0</v>
      </c>
      <c r="I2309">
        <v>0</v>
      </c>
      <c r="K2309">
        <v>5.7549000000000001</v>
      </c>
      <c r="L2309">
        <v>2.1951E-5</v>
      </c>
      <c r="M2309">
        <v>5.7569999999999997</v>
      </c>
      <c r="N2309">
        <v>1.4015E-5</v>
      </c>
      <c r="O2309" t="s">
        <v>732</v>
      </c>
    </row>
    <row r="2310" spans="1:15" x14ac:dyDescent="0.25">
      <c r="A2310" t="s">
        <v>55</v>
      </c>
      <c r="B2310" t="s">
        <v>17</v>
      </c>
      <c r="C2310">
        <v>1200000</v>
      </c>
      <c r="D2310">
        <v>2000000</v>
      </c>
      <c r="E2310">
        <v>100000</v>
      </c>
      <c r="F2310" t="s">
        <v>9</v>
      </c>
      <c r="G2310" t="s">
        <v>10</v>
      </c>
      <c r="H2310">
        <v>0</v>
      </c>
      <c r="I2310">
        <v>0</v>
      </c>
      <c r="K2310">
        <v>57.732999999999997</v>
      </c>
      <c r="L2310">
        <v>4.5960999999999999E-6</v>
      </c>
      <c r="M2310">
        <v>57.734000000000002</v>
      </c>
      <c r="N2310">
        <v>1.4028999999999999E-6</v>
      </c>
      <c r="O2310" t="s">
        <v>733</v>
      </c>
    </row>
    <row r="2311" spans="1:15" x14ac:dyDescent="0.25">
      <c r="A2311" t="s">
        <v>55</v>
      </c>
      <c r="B2311" t="s">
        <v>17</v>
      </c>
      <c r="C2311">
        <v>2000000</v>
      </c>
      <c r="D2311">
        <v>2001000</v>
      </c>
      <c r="E2311">
        <v>100</v>
      </c>
      <c r="F2311" t="s">
        <v>9</v>
      </c>
      <c r="G2311" t="s">
        <v>10</v>
      </c>
      <c r="H2311">
        <v>0</v>
      </c>
      <c r="I2311">
        <v>0</v>
      </c>
      <c r="K2311">
        <v>0.43</v>
      </c>
      <c r="L2311">
        <v>1.2999999999999999E-4</v>
      </c>
      <c r="M2311">
        <v>-0.35824</v>
      </c>
      <c r="N2311">
        <v>3.6326000000000002E-4</v>
      </c>
      <c r="O2311" t="s">
        <v>734</v>
      </c>
    </row>
    <row r="2312" spans="1:15" x14ac:dyDescent="0.25">
      <c r="A2312" t="s">
        <v>55</v>
      </c>
      <c r="B2312" t="s">
        <v>17</v>
      </c>
      <c r="C2312">
        <v>2000000</v>
      </c>
      <c r="D2312">
        <v>2001000</v>
      </c>
      <c r="E2312">
        <v>1000</v>
      </c>
      <c r="F2312" t="s">
        <v>9</v>
      </c>
      <c r="G2312" t="s">
        <v>10</v>
      </c>
      <c r="H2312">
        <v>0</v>
      </c>
      <c r="I2312">
        <v>0</v>
      </c>
      <c r="K2312">
        <v>0.43</v>
      </c>
      <c r="L2312">
        <v>1.4137000000000001E-4</v>
      </c>
      <c r="M2312">
        <v>0.42565999999999998</v>
      </c>
      <c r="N2312">
        <v>1.2836E-4</v>
      </c>
      <c r="O2312" t="s">
        <v>735</v>
      </c>
    </row>
    <row r="2313" spans="1:15" x14ac:dyDescent="0.25">
      <c r="A2313" t="s">
        <v>55</v>
      </c>
      <c r="B2313" t="s">
        <v>17</v>
      </c>
      <c r="C2313">
        <v>2000000</v>
      </c>
      <c r="D2313">
        <v>2001000</v>
      </c>
      <c r="E2313">
        <v>10000</v>
      </c>
      <c r="F2313" t="s">
        <v>9</v>
      </c>
      <c r="G2313" t="s">
        <v>10</v>
      </c>
      <c r="H2313">
        <v>0</v>
      </c>
      <c r="I2313">
        <v>0</v>
      </c>
      <c r="K2313">
        <v>5.7549000000000001</v>
      </c>
      <c r="L2313">
        <v>2.1951E-5</v>
      </c>
      <c r="M2313">
        <v>5.7569999999999997</v>
      </c>
      <c r="N2313">
        <v>1.4015E-5</v>
      </c>
      <c r="O2313" t="s">
        <v>736</v>
      </c>
    </row>
    <row r="2314" spans="1:15" x14ac:dyDescent="0.25">
      <c r="A2314" t="s">
        <v>55</v>
      </c>
      <c r="B2314" t="s">
        <v>17</v>
      </c>
      <c r="C2314">
        <v>2000000</v>
      </c>
      <c r="D2314">
        <v>2001000</v>
      </c>
      <c r="E2314">
        <v>100000</v>
      </c>
      <c r="F2314" t="s">
        <v>9</v>
      </c>
      <c r="G2314" t="s">
        <v>10</v>
      </c>
      <c r="H2314">
        <v>0</v>
      </c>
      <c r="I2314">
        <v>0</v>
      </c>
      <c r="K2314">
        <v>57.732999999999997</v>
      </c>
      <c r="L2314">
        <v>4.5960999999999999E-6</v>
      </c>
      <c r="M2314">
        <v>57.734000000000002</v>
      </c>
      <c r="N2314">
        <v>1.4028999999999999E-6</v>
      </c>
      <c r="O2314" t="s">
        <v>737</v>
      </c>
    </row>
    <row r="2315" spans="1:15" x14ac:dyDescent="0.25">
      <c r="A2315" t="s">
        <v>55</v>
      </c>
      <c r="B2315" t="s">
        <v>7</v>
      </c>
      <c r="C2315">
        <v>0</v>
      </c>
      <c r="D2315">
        <v>11.000999999999999</v>
      </c>
      <c r="E2315">
        <v>1E-3</v>
      </c>
      <c r="F2315" t="s">
        <v>104</v>
      </c>
      <c r="G2315" t="s">
        <v>48</v>
      </c>
      <c r="H2315">
        <v>0</v>
      </c>
      <c r="I2315">
        <v>0</v>
      </c>
      <c r="K2315">
        <v>12</v>
      </c>
      <c r="L2315">
        <v>0.14000000000000001</v>
      </c>
      <c r="M2315">
        <v>11.576000000000001</v>
      </c>
      <c r="N2315">
        <v>0.13830000000000001</v>
      </c>
      <c r="O2315" t="s">
        <v>629</v>
      </c>
    </row>
    <row r="2316" spans="1:15" x14ac:dyDescent="0.25">
      <c r="A2316" t="s">
        <v>55</v>
      </c>
      <c r="B2316" t="s">
        <v>7</v>
      </c>
      <c r="C2316">
        <v>0</v>
      </c>
      <c r="D2316">
        <v>11.000999999999999</v>
      </c>
      <c r="E2316">
        <v>0.01</v>
      </c>
      <c r="F2316" t="s">
        <v>104</v>
      </c>
      <c r="G2316" t="s">
        <v>48</v>
      </c>
      <c r="H2316">
        <v>0</v>
      </c>
      <c r="I2316">
        <v>0</v>
      </c>
      <c r="K2316">
        <v>12.939</v>
      </c>
      <c r="L2316">
        <v>0.12581000000000001</v>
      </c>
      <c r="M2316">
        <v>12.935</v>
      </c>
      <c r="N2316">
        <v>0.12525</v>
      </c>
      <c r="O2316" t="s">
        <v>630</v>
      </c>
    </row>
    <row r="2317" spans="1:15" x14ac:dyDescent="0.25">
      <c r="A2317" t="s">
        <v>55</v>
      </c>
      <c r="B2317" t="s">
        <v>7</v>
      </c>
      <c r="C2317">
        <v>0</v>
      </c>
      <c r="D2317">
        <v>11.000999999999999</v>
      </c>
      <c r="E2317">
        <v>0.1</v>
      </c>
      <c r="F2317" t="s">
        <v>104</v>
      </c>
      <c r="G2317" t="s">
        <v>48</v>
      </c>
      <c r="H2317">
        <v>0</v>
      </c>
      <c r="I2317">
        <v>0</v>
      </c>
      <c r="K2317">
        <v>59.143999999999998</v>
      </c>
      <c r="L2317">
        <v>2.9356E-2</v>
      </c>
      <c r="M2317">
        <v>59.140999999999998</v>
      </c>
      <c r="N2317">
        <v>2.8788000000000001E-2</v>
      </c>
      <c r="O2317" t="s">
        <v>631</v>
      </c>
    </row>
    <row r="2318" spans="1:15" x14ac:dyDescent="0.25">
      <c r="A2318" t="s">
        <v>55</v>
      </c>
      <c r="B2318" t="s">
        <v>7</v>
      </c>
      <c r="C2318">
        <v>0</v>
      </c>
      <c r="D2318">
        <v>11.000999999999999</v>
      </c>
      <c r="E2318">
        <v>1</v>
      </c>
      <c r="F2318" t="s">
        <v>104</v>
      </c>
      <c r="G2318" t="s">
        <v>48</v>
      </c>
      <c r="H2318">
        <v>0</v>
      </c>
      <c r="I2318">
        <v>0</v>
      </c>
      <c r="K2318">
        <v>580.12</v>
      </c>
      <c r="L2318">
        <v>3.176E-3</v>
      </c>
      <c r="M2318">
        <v>580.12</v>
      </c>
      <c r="N2318">
        <v>2.9426999999999999E-3</v>
      </c>
      <c r="O2318" t="s">
        <v>632</v>
      </c>
    </row>
    <row r="2319" spans="1:15" x14ac:dyDescent="0.25">
      <c r="A2319" t="s">
        <v>55</v>
      </c>
      <c r="B2319" t="s">
        <v>7</v>
      </c>
      <c r="C2319">
        <v>0</v>
      </c>
      <c r="D2319">
        <v>11.000999999999999</v>
      </c>
      <c r="E2319">
        <v>10</v>
      </c>
      <c r="F2319" t="s">
        <v>104</v>
      </c>
      <c r="G2319" t="s">
        <v>48</v>
      </c>
      <c r="H2319">
        <v>0</v>
      </c>
      <c r="I2319">
        <v>0</v>
      </c>
      <c r="K2319">
        <v>5800</v>
      </c>
      <c r="L2319">
        <v>3.8767000000000001E-4</v>
      </c>
      <c r="M2319">
        <v>5800</v>
      </c>
      <c r="N2319">
        <v>2.9433999999999998E-4</v>
      </c>
      <c r="O2319" t="s">
        <v>633</v>
      </c>
    </row>
    <row r="2320" spans="1:15" x14ac:dyDescent="0.25">
      <c r="A2320" t="s">
        <v>55</v>
      </c>
      <c r="B2320" t="s">
        <v>7</v>
      </c>
      <c r="C2320">
        <v>0</v>
      </c>
      <c r="D2320">
        <v>11.000999999999999</v>
      </c>
      <c r="E2320">
        <v>100</v>
      </c>
      <c r="F2320" t="s">
        <v>104</v>
      </c>
      <c r="G2320" t="s">
        <v>48</v>
      </c>
      <c r="H2320">
        <v>0</v>
      </c>
      <c r="I2320">
        <v>0</v>
      </c>
      <c r="K2320">
        <v>58000</v>
      </c>
      <c r="L2320">
        <v>6.6765000000000002E-5</v>
      </c>
      <c r="M2320">
        <v>58000</v>
      </c>
      <c r="N2320">
        <v>2.9434E-5</v>
      </c>
      <c r="O2320" t="s">
        <v>634</v>
      </c>
    </row>
    <row r="2321" spans="1:15" x14ac:dyDescent="0.25">
      <c r="A2321" t="s">
        <v>55</v>
      </c>
      <c r="B2321" t="s">
        <v>7</v>
      </c>
      <c r="C2321">
        <v>0</v>
      </c>
      <c r="D2321">
        <v>11.000999999999999</v>
      </c>
      <c r="E2321">
        <v>1000</v>
      </c>
      <c r="F2321" t="s">
        <v>104</v>
      </c>
      <c r="G2321" t="s">
        <v>48</v>
      </c>
      <c r="H2321">
        <v>0</v>
      </c>
      <c r="I2321">
        <v>0</v>
      </c>
      <c r="K2321">
        <v>580000</v>
      </c>
      <c r="L2321">
        <v>1.7876E-5</v>
      </c>
      <c r="M2321">
        <v>580000</v>
      </c>
      <c r="N2321">
        <v>2.9434000000000001E-6</v>
      </c>
      <c r="O2321" t="s">
        <v>635</v>
      </c>
    </row>
    <row r="2322" spans="1:15" x14ac:dyDescent="0.25">
      <c r="A2322" t="s">
        <v>55</v>
      </c>
      <c r="B2322" t="s">
        <v>7</v>
      </c>
      <c r="C2322">
        <v>0</v>
      </c>
      <c r="D2322">
        <v>11.000999999999999</v>
      </c>
      <c r="E2322">
        <v>10000</v>
      </c>
      <c r="F2322" t="s">
        <v>104</v>
      </c>
      <c r="G2322" t="s">
        <v>48</v>
      </c>
      <c r="H2322">
        <v>0</v>
      </c>
      <c r="I2322">
        <v>0</v>
      </c>
      <c r="K2322">
        <v>5800000</v>
      </c>
      <c r="L2322">
        <v>6.2674000000000003E-6</v>
      </c>
      <c r="M2322">
        <v>5800000</v>
      </c>
      <c r="N2322">
        <v>2.9434999999999999E-7</v>
      </c>
      <c r="O2322" t="s">
        <v>636</v>
      </c>
    </row>
    <row r="2323" spans="1:15" x14ac:dyDescent="0.25">
      <c r="A2323" t="s">
        <v>55</v>
      </c>
      <c r="B2323" t="s">
        <v>7</v>
      </c>
      <c r="C2323">
        <v>0</v>
      </c>
      <c r="D2323">
        <v>11.000999999999999</v>
      </c>
      <c r="E2323">
        <v>100000</v>
      </c>
      <c r="F2323" t="s">
        <v>104</v>
      </c>
      <c r="G2323" t="s">
        <v>48</v>
      </c>
      <c r="H2323">
        <v>0</v>
      </c>
      <c r="I2323">
        <v>0</v>
      </c>
      <c r="K2323">
        <v>58000000</v>
      </c>
      <c r="L2323">
        <v>2.4177000000000002E-6</v>
      </c>
      <c r="M2323">
        <v>58000000</v>
      </c>
      <c r="N2323">
        <v>2.9391999999999999E-8</v>
      </c>
      <c r="O2323" t="s">
        <v>637</v>
      </c>
    </row>
    <row r="2324" spans="1:15" x14ac:dyDescent="0.25">
      <c r="A2324" t="s">
        <v>55</v>
      </c>
      <c r="B2324" t="s">
        <v>7</v>
      </c>
      <c r="C2324">
        <v>0</v>
      </c>
      <c r="D2324">
        <v>11.000999999999999</v>
      </c>
      <c r="E2324">
        <v>1000000</v>
      </c>
      <c r="F2324" t="s">
        <v>104</v>
      </c>
      <c r="G2324" t="s">
        <v>48</v>
      </c>
      <c r="H2324">
        <v>0</v>
      </c>
      <c r="I2324">
        <v>0</v>
      </c>
      <c r="K2324">
        <v>580000000</v>
      </c>
      <c r="L2324">
        <v>9.5148999999999995E-7</v>
      </c>
      <c r="M2324">
        <v>580000000</v>
      </c>
      <c r="N2324">
        <v>0</v>
      </c>
      <c r="O2324" t="s">
        <v>638</v>
      </c>
    </row>
    <row r="2325" spans="1:15" x14ac:dyDescent="0.25">
      <c r="A2325" t="s">
        <v>55</v>
      </c>
      <c r="B2325" t="s">
        <v>7</v>
      </c>
      <c r="C2325">
        <v>0</v>
      </c>
      <c r="D2325">
        <v>11.000999999999999</v>
      </c>
      <c r="E2325">
        <v>10000000</v>
      </c>
      <c r="F2325" t="s">
        <v>104</v>
      </c>
      <c r="G2325" t="s">
        <v>48</v>
      </c>
      <c r="H2325">
        <v>0</v>
      </c>
      <c r="I2325">
        <v>0</v>
      </c>
      <c r="K2325">
        <v>5800000000</v>
      </c>
      <c r="L2325">
        <v>0</v>
      </c>
      <c r="M2325">
        <v>5800000000</v>
      </c>
      <c r="N2325">
        <v>0</v>
      </c>
      <c r="O2325" t="s">
        <v>639</v>
      </c>
    </row>
    <row r="2326" spans="1:15" x14ac:dyDescent="0.25">
      <c r="A2326" t="s">
        <v>55</v>
      </c>
      <c r="B2326" t="s">
        <v>7</v>
      </c>
      <c r="C2326">
        <v>11</v>
      </c>
      <c r="D2326">
        <v>33.000999999999998</v>
      </c>
      <c r="E2326">
        <v>1E-3</v>
      </c>
      <c r="F2326" t="s">
        <v>104</v>
      </c>
      <c r="G2326" t="s">
        <v>48</v>
      </c>
      <c r="H2326">
        <v>0</v>
      </c>
      <c r="I2326">
        <v>0</v>
      </c>
      <c r="K2326">
        <v>18</v>
      </c>
      <c r="L2326">
        <v>0.14000000000000001</v>
      </c>
      <c r="M2326">
        <v>17.338999999999999</v>
      </c>
      <c r="N2326">
        <v>0.13885</v>
      </c>
      <c r="O2326" t="s">
        <v>640</v>
      </c>
    </row>
    <row r="2327" spans="1:15" x14ac:dyDescent="0.25">
      <c r="A2327" t="s">
        <v>55</v>
      </c>
      <c r="B2327" t="s">
        <v>7</v>
      </c>
      <c r="C2327">
        <v>11</v>
      </c>
      <c r="D2327">
        <v>33.000999999999998</v>
      </c>
      <c r="E2327">
        <v>0.01</v>
      </c>
      <c r="F2327" t="s">
        <v>104</v>
      </c>
      <c r="G2327" t="s">
        <v>48</v>
      </c>
      <c r="H2327">
        <v>0</v>
      </c>
      <c r="I2327">
        <v>0</v>
      </c>
      <c r="K2327">
        <v>18.263000000000002</v>
      </c>
      <c r="L2327">
        <v>0.13372000000000001</v>
      </c>
      <c r="M2327">
        <v>18.257999999999999</v>
      </c>
      <c r="N2327">
        <v>0.13356999999999999</v>
      </c>
      <c r="O2327" t="s">
        <v>641</v>
      </c>
    </row>
    <row r="2328" spans="1:15" x14ac:dyDescent="0.25">
      <c r="A2328" t="s">
        <v>55</v>
      </c>
      <c r="B2328" t="s">
        <v>7</v>
      </c>
      <c r="C2328">
        <v>11</v>
      </c>
      <c r="D2328">
        <v>33.000999999999998</v>
      </c>
      <c r="E2328">
        <v>0.1</v>
      </c>
      <c r="F2328" t="s">
        <v>104</v>
      </c>
      <c r="G2328" t="s">
        <v>48</v>
      </c>
      <c r="H2328">
        <v>0</v>
      </c>
      <c r="I2328">
        <v>0</v>
      </c>
      <c r="K2328">
        <v>60.487000000000002</v>
      </c>
      <c r="L2328">
        <v>4.6303999999999998E-2</v>
      </c>
      <c r="M2328">
        <v>60.481000000000002</v>
      </c>
      <c r="N2328">
        <v>4.6039999999999998E-2</v>
      </c>
      <c r="O2328" t="s">
        <v>642</v>
      </c>
    </row>
    <row r="2329" spans="1:15" x14ac:dyDescent="0.25">
      <c r="A2329" t="s">
        <v>55</v>
      </c>
      <c r="B2329" t="s">
        <v>7</v>
      </c>
      <c r="C2329">
        <v>11</v>
      </c>
      <c r="D2329">
        <v>33.000999999999998</v>
      </c>
      <c r="E2329">
        <v>1</v>
      </c>
      <c r="F2329" t="s">
        <v>104</v>
      </c>
      <c r="G2329" t="s">
        <v>48</v>
      </c>
      <c r="H2329">
        <v>0</v>
      </c>
      <c r="I2329">
        <v>0</v>
      </c>
      <c r="K2329">
        <v>580.26</v>
      </c>
      <c r="L2329">
        <v>4.9937999999999996E-3</v>
      </c>
      <c r="M2329">
        <v>580.25</v>
      </c>
      <c r="N2329">
        <v>4.8783000000000003E-3</v>
      </c>
      <c r="O2329" t="s">
        <v>643</v>
      </c>
    </row>
    <row r="2330" spans="1:15" x14ac:dyDescent="0.25">
      <c r="A2330" t="s">
        <v>55</v>
      </c>
      <c r="B2330" t="s">
        <v>7</v>
      </c>
      <c r="C2330">
        <v>33</v>
      </c>
      <c r="D2330">
        <v>110.01</v>
      </c>
      <c r="E2330">
        <v>1E-3</v>
      </c>
      <c r="F2330" t="s">
        <v>104</v>
      </c>
      <c r="G2330" t="s">
        <v>48</v>
      </c>
      <c r="H2330">
        <v>0</v>
      </c>
      <c r="I2330">
        <v>0</v>
      </c>
      <c r="K2330">
        <v>18</v>
      </c>
      <c r="L2330">
        <v>0.1</v>
      </c>
      <c r="M2330">
        <v>17.341999999999999</v>
      </c>
      <c r="N2330">
        <v>0.10406</v>
      </c>
      <c r="O2330" t="s">
        <v>644</v>
      </c>
    </row>
    <row r="2331" spans="1:15" x14ac:dyDescent="0.25">
      <c r="A2331" t="s">
        <v>55</v>
      </c>
      <c r="B2331" t="s">
        <v>7</v>
      </c>
      <c r="C2331">
        <v>33</v>
      </c>
      <c r="D2331">
        <v>110.01</v>
      </c>
      <c r="E2331">
        <v>0.01</v>
      </c>
      <c r="F2331" t="s">
        <v>104</v>
      </c>
      <c r="G2331" t="s">
        <v>48</v>
      </c>
      <c r="H2331">
        <v>0</v>
      </c>
      <c r="I2331">
        <v>0</v>
      </c>
      <c r="K2331">
        <v>18.224</v>
      </c>
      <c r="L2331">
        <v>0.10151</v>
      </c>
      <c r="M2331">
        <v>18.221</v>
      </c>
      <c r="N2331">
        <v>0.10128</v>
      </c>
      <c r="O2331" t="s">
        <v>645</v>
      </c>
    </row>
    <row r="2332" spans="1:15" x14ac:dyDescent="0.25">
      <c r="A2332" t="s">
        <v>55</v>
      </c>
      <c r="B2332" t="s">
        <v>7</v>
      </c>
      <c r="C2332">
        <v>33</v>
      </c>
      <c r="D2332">
        <v>110.01</v>
      </c>
      <c r="E2332">
        <v>0.1</v>
      </c>
      <c r="F2332" t="s">
        <v>104</v>
      </c>
      <c r="G2332" t="s">
        <v>48</v>
      </c>
      <c r="H2332">
        <v>0</v>
      </c>
      <c r="I2332">
        <v>0</v>
      </c>
      <c r="K2332">
        <v>60.259</v>
      </c>
      <c r="L2332">
        <v>4.1284000000000001E-2</v>
      </c>
      <c r="M2332">
        <v>60.259</v>
      </c>
      <c r="N2332">
        <v>4.0820000000000002E-2</v>
      </c>
      <c r="O2332" t="s">
        <v>646</v>
      </c>
    </row>
    <row r="2333" spans="1:15" x14ac:dyDescent="0.25">
      <c r="A2333" t="s">
        <v>55</v>
      </c>
      <c r="B2333" t="s">
        <v>7</v>
      </c>
      <c r="C2333">
        <v>33</v>
      </c>
      <c r="D2333">
        <v>110.01</v>
      </c>
      <c r="E2333">
        <v>1</v>
      </c>
      <c r="F2333" t="s">
        <v>104</v>
      </c>
      <c r="G2333" t="s">
        <v>48</v>
      </c>
      <c r="H2333">
        <v>0</v>
      </c>
      <c r="I2333">
        <v>0</v>
      </c>
      <c r="K2333">
        <v>580.23</v>
      </c>
      <c r="L2333">
        <v>4.6533E-3</v>
      </c>
      <c r="M2333">
        <v>580.23</v>
      </c>
      <c r="N2333">
        <v>4.4422000000000003E-3</v>
      </c>
      <c r="O2333" t="s">
        <v>647</v>
      </c>
    </row>
    <row r="2334" spans="1:15" x14ac:dyDescent="0.25">
      <c r="A2334" t="s">
        <v>55</v>
      </c>
      <c r="B2334" t="s">
        <v>7</v>
      </c>
      <c r="C2334">
        <v>110</v>
      </c>
      <c r="D2334">
        <v>330.01</v>
      </c>
      <c r="E2334">
        <v>1E-3</v>
      </c>
      <c r="F2334" t="s">
        <v>104</v>
      </c>
      <c r="G2334" t="s">
        <v>48</v>
      </c>
      <c r="H2334">
        <v>0</v>
      </c>
      <c r="I2334">
        <v>0</v>
      </c>
      <c r="K2334">
        <v>25</v>
      </c>
      <c r="L2334">
        <v>0.3</v>
      </c>
      <c r="M2334">
        <v>24.812000000000001</v>
      </c>
      <c r="N2334">
        <v>0.29687000000000002</v>
      </c>
      <c r="O2334" t="s">
        <v>648</v>
      </c>
    </row>
    <row r="2335" spans="1:15" x14ac:dyDescent="0.25">
      <c r="A2335" t="s">
        <v>55</v>
      </c>
      <c r="B2335" t="s">
        <v>7</v>
      </c>
      <c r="C2335">
        <v>110</v>
      </c>
      <c r="D2335">
        <v>330.01</v>
      </c>
      <c r="E2335">
        <v>0.01</v>
      </c>
      <c r="F2335" t="s">
        <v>104</v>
      </c>
      <c r="G2335" t="s">
        <v>48</v>
      </c>
      <c r="H2335">
        <v>0</v>
      </c>
      <c r="I2335">
        <v>0</v>
      </c>
      <c r="K2335">
        <v>25.358000000000001</v>
      </c>
      <c r="L2335">
        <v>0.29479</v>
      </c>
      <c r="M2335">
        <v>25.35</v>
      </c>
      <c r="N2335">
        <v>0.29441000000000001</v>
      </c>
      <c r="O2335" t="s">
        <v>649</v>
      </c>
    </row>
    <row r="2336" spans="1:15" x14ac:dyDescent="0.25">
      <c r="A2336" t="s">
        <v>55</v>
      </c>
      <c r="B2336" t="s">
        <v>7</v>
      </c>
      <c r="C2336">
        <v>110</v>
      </c>
      <c r="D2336">
        <v>330.01</v>
      </c>
      <c r="E2336">
        <v>0.1</v>
      </c>
      <c r="F2336" t="s">
        <v>104</v>
      </c>
      <c r="G2336" t="s">
        <v>48</v>
      </c>
      <c r="H2336">
        <v>0</v>
      </c>
      <c r="I2336">
        <v>0</v>
      </c>
      <c r="K2336">
        <v>61.466000000000001</v>
      </c>
      <c r="L2336">
        <v>0.18435000000000001</v>
      </c>
      <c r="M2336">
        <v>61.46</v>
      </c>
      <c r="N2336">
        <v>0.18304999999999999</v>
      </c>
      <c r="O2336" t="s">
        <v>650</v>
      </c>
    </row>
    <row r="2337" spans="1:15" x14ac:dyDescent="0.25">
      <c r="A2337" t="s">
        <v>55</v>
      </c>
      <c r="B2337" t="s">
        <v>7</v>
      </c>
      <c r="C2337">
        <v>110</v>
      </c>
      <c r="D2337">
        <v>330.01</v>
      </c>
      <c r="E2337">
        <v>1</v>
      </c>
      <c r="F2337" t="s">
        <v>104</v>
      </c>
      <c r="G2337" t="s">
        <v>48</v>
      </c>
      <c r="H2337">
        <v>0</v>
      </c>
      <c r="I2337">
        <v>0</v>
      </c>
      <c r="K2337">
        <v>580.25</v>
      </c>
      <c r="L2337">
        <v>2.4237000000000002E-2</v>
      </c>
      <c r="M2337">
        <v>580.25</v>
      </c>
      <c r="N2337">
        <v>2.3449000000000001E-2</v>
      </c>
      <c r="O2337" t="s">
        <v>651</v>
      </c>
    </row>
    <row r="2338" spans="1:15" x14ac:dyDescent="0.25">
      <c r="A2338" t="s">
        <v>55</v>
      </c>
      <c r="B2338" t="s">
        <v>7</v>
      </c>
      <c r="C2338">
        <v>330</v>
      </c>
      <c r="D2338">
        <v>1100.01</v>
      </c>
      <c r="E2338">
        <v>0.01</v>
      </c>
      <c r="F2338" t="s">
        <v>104</v>
      </c>
      <c r="G2338" t="s">
        <v>48</v>
      </c>
      <c r="H2338">
        <v>0</v>
      </c>
      <c r="I2338">
        <v>0</v>
      </c>
      <c r="K2338">
        <v>28</v>
      </c>
      <c r="L2338">
        <v>0.1</v>
      </c>
      <c r="M2338">
        <v>23.818000000000001</v>
      </c>
      <c r="N2338">
        <v>0.10366</v>
      </c>
      <c r="O2338" t="s">
        <v>652</v>
      </c>
    </row>
    <row r="2339" spans="1:15" x14ac:dyDescent="0.25">
      <c r="A2339" t="s">
        <v>55</v>
      </c>
      <c r="B2339" t="s">
        <v>7</v>
      </c>
      <c r="C2339">
        <v>330</v>
      </c>
      <c r="D2339">
        <v>1100.01</v>
      </c>
      <c r="E2339">
        <v>0.1</v>
      </c>
      <c r="F2339" t="s">
        <v>104</v>
      </c>
      <c r="G2339" t="s">
        <v>48</v>
      </c>
      <c r="H2339">
        <v>0</v>
      </c>
      <c r="I2339">
        <v>0</v>
      </c>
      <c r="K2339">
        <v>52.968000000000004</v>
      </c>
      <c r="L2339">
        <v>8.7891999999999998E-2</v>
      </c>
      <c r="M2339">
        <v>52.866999999999997</v>
      </c>
      <c r="N2339">
        <v>8.7789000000000006E-2</v>
      </c>
      <c r="O2339" t="s">
        <v>653</v>
      </c>
    </row>
    <row r="2340" spans="1:15" x14ac:dyDescent="0.25">
      <c r="A2340" t="s">
        <v>55</v>
      </c>
      <c r="B2340" t="s">
        <v>7</v>
      </c>
      <c r="C2340">
        <v>330</v>
      </c>
      <c r="D2340">
        <v>1100.01</v>
      </c>
      <c r="E2340">
        <v>1</v>
      </c>
      <c r="F2340" t="s">
        <v>104</v>
      </c>
      <c r="G2340" t="s">
        <v>48</v>
      </c>
      <c r="H2340">
        <v>0</v>
      </c>
      <c r="I2340">
        <v>0</v>
      </c>
      <c r="K2340">
        <v>577.20000000000005</v>
      </c>
      <c r="L2340">
        <v>1.7401E-2</v>
      </c>
      <c r="M2340">
        <v>577.17999999999995</v>
      </c>
      <c r="N2340">
        <v>1.7221E-2</v>
      </c>
      <c r="O2340" t="s">
        <v>654</v>
      </c>
    </row>
    <row r="2341" spans="1:15" x14ac:dyDescent="0.25">
      <c r="A2341" t="s">
        <v>55</v>
      </c>
      <c r="B2341" t="s">
        <v>7</v>
      </c>
      <c r="C2341">
        <v>330</v>
      </c>
      <c r="D2341">
        <v>1100.01</v>
      </c>
      <c r="E2341">
        <v>10</v>
      </c>
      <c r="F2341" t="s">
        <v>104</v>
      </c>
      <c r="G2341" t="s">
        <v>48</v>
      </c>
      <c r="H2341">
        <v>0</v>
      </c>
      <c r="I2341">
        <v>0</v>
      </c>
      <c r="K2341">
        <v>5799.7</v>
      </c>
      <c r="L2341">
        <v>1.8247999999999999E-3</v>
      </c>
      <c r="M2341">
        <v>5799.7</v>
      </c>
      <c r="N2341">
        <v>1.75E-3</v>
      </c>
      <c r="O2341" t="s">
        <v>655</v>
      </c>
    </row>
    <row r="2342" spans="1:15" x14ac:dyDescent="0.25">
      <c r="A2342" t="s">
        <v>55</v>
      </c>
      <c r="B2342" t="s">
        <v>7</v>
      </c>
      <c r="C2342">
        <v>1100</v>
      </c>
      <c r="D2342">
        <v>3300.1</v>
      </c>
      <c r="E2342">
        <v>0.01</v>
      </c>
      <c r="F2342" t="s">
        <v>104</v>
      </c>
      <c r="G2342" t="s">
        <v>49</v>
      </c>
      <c r="H2342">
        <v>0</v>
      </c>
      <c r="I2342">
        <v>0</v>
      </c>
      <c r="K2342">
        <v>0.25</v>
      </c>
      <c r="L2342">
        <v>1E-4</v>
      </c>
      <c r="M2342">
        <v>0.23096</v>
      </c>
      <c r="N2342">
        <v>1.0411E-4</v>
      </c>
      <c r="O2342" t="s">
        <v>656</v>
      </c>
    </row>
    <row r="2343" spans="1:15" x14ac:dyDescent="0.25">
      <c r="A2343" t="s">
        <v>55</v>
      </c>
      <c r="B2343" t="s">
        <v>7</v>
      </c>
      <c r="C2343">
        <v>1100</v>
      </c>
      <c r="D2343">
        <v>3300.1</v>
      </c>
      <c r="E2343">
        <v>0.1</v>
      </c>
      <c r="F2343" t="s">
        <v>104</v>
      </c>
      <c r="G2343" t="s">
        <v>49</v>
      </c>
      <c r="H2343">
        <v>0</v>
      </c>
      <c r="I2343">
        <v>0</v>
      </c>
      <c r="K2343">
        <v>0.25</v>
      </c>
      <c r="L2343">
        <v>1.0329E-4</v>
      </c>
      <c r="M2343">
        <v>0.23666000000000001</v>
      </c>
      <c r="N2343">
        <v>1.0325E-4</v>
      </c>
      <c r="O2343" t="s">
        <v>657</v>
      </c>
    </row>
    <row r="2344" spans="1:15" x14ac:dyDescent="0.25">
      <c r="A2344" t="s">
        <v>55</v>
      </c>
      <c r="B2344" t="s">
        <v>7</v>
      </c>
      <c r="C2344">
        <v>1100</v>
      </c>
      <c r="D2344">
        <v>3300.1</v>
      </c>
      <c r="E2344">
        <v>1</v>
      </c>
      <c r="F2344" t="s">
        <v>104</v>
      </c>
      <c r="G2344" t="s">
        <v>49</v>
      </c>
      <c r="H2344">
        <v>0</v>
      </c>
      <c r="I2344">
        <v>0</v>
      </c>
      <c r="K2344">
        <v>0.60487000000000002</v>
      </c>
      <c r="L2344">
        <v>6.4429000000000003E-5</v>
      </c>
      <c r="M2344">
        <v>0.60441</v>
      </c>
      <c r="N2344">
        <v>6.4220999999999994E-5</v>
      </c>
      <c r="O2344" t="s">
        <v>658</v>
      </c>
    </row>
    <row r="2345" spans="1:15" x14ac:dyDescent="0.25">
      <c r="A2345" t="s">
        <v>55</v>
      </c>
      <c r="B2345" t="s">
        <v>7</v>
      </c>
      <c r="C2345">
        <v>1100</v>
      </c>
      <c r="D2345">
        <v>3300.1</v>
      </c>
      <c r="E2345">
        <v>10</v>
      </c>
      <c r="F2345" t="s">
        <v>104</v>
      </c>
      <c r="G2345" t="s">
        <v>49</v>
      </c>
      <c r="H2345">
        <v>0</v>
      </c>
      <c r="I2345">
        <v>0</v>
      </c>
      <c r="K2345">
        <v>5.8014000000000001</v>
      </c>
      <c r="L2345">
        <v>8.3760999999999993E-6</v>
      </c>
      <c r="M2345">
        <v>5.8011999999999997</v>
      </c>
      <c r="N2345">
        <v>8.2293999999999995E-6</v>
      </c>
      <c r="O2345" t="s">
        <v>659</v>
      </c>
    </row>
    <row r="2346" spans="1:15" x14ac:dyDescent="0.25">
      <c r="A2346" t="s">
        <v>55</v>
      </c>
      <c r="B2346" t="s">
        <v>7</v>
      </c>
      <c r="C2346">
        <v>3300</v>
      </c>
      <c r="D2346">
        <v>11001</v>
      </c>
      <c r="E2346">
        <v>0.1</v>
      </c>
      <c r="F2346" t="s">
        <v>104</v>
      </c>
      <c r="G2346" t="s">
        <v>49</v>
      </c>
      <c r="H2346">
        <v>0</v>
      </c>
      <c r="I2346">
        <v>0</v>
      </c>
      <c r="K2346">
        <v>0.17</v>
      </c>
      <c r="L2346">
        <v>1E-4</v>
      </c>
      <c r="M2346">
        <v>0.12474</v>
      </c>
      <c r="N2346">
        <v>1.0353000000000001E-4</v>
      </c>
      <c r="O2346" t="s">
        <v>660</v>
      </c>
    </row>
    <row r="2347" spans="1:15" x14ac:dyDescent="0.25">
      <c r="A2347" t="s">
        <v>55</v>
      </c>
      <c r="B2347" t="s">
        <v>7</v>
      </c>
      <c r="C2347">
        <v>3300</v>
      </c>
      <c r="D2347">
        <v>11001</v>
      </c>
      <c r="E2347">
        <v>1</v>
      </c>
      <c r="F2347" t="s">
        <v>104</v>
      </c>
      <c r="G2347" t="s">
        <v>49</v>
      </c>
      <c r="H2347">
        <v>0</v>
      </c>
      <c r="I2347">
        <v>0</v>
      </c>
      <c r="K2347">
        <v>0.46536</v>
      </c>
      <c r="L2347">
        <v>8.4151000000000001E-5</v>
      </c>
      <c r="M2347">
        <v>0.46464</v>
      </c>
      <c r="N2347">
        <v>8.4043999999999997E-5</v>
      </c>
      <c r="O2347" t="s">
        <v>661</v>
      </c>
    </row>
    <row r="2348" spans="1:15" x14ac:dyDescent="0.25">
      <c r="A2348" t="s">
        <v>55</v>
      </c>
      <c r="B2348" t="s">
        <v>7</v>
      </c>
      <c r="C2348">
        <v>3300</v>
      </c>
      <c r="D2348">
        <v>11001</v>
      </c>
      <c r="E2348">
        <v>10</v>
      </c>
      <c r="F2348" t="s">
        <v>104</v>
      </c>
      <c r="G2348" t="s">
        <v>49</v>
      </c>
      <c r="H2348">
        <v>0</v>
      </c>
      <c r="I2348">
        <v>0</v>
      </c>
      <c r="K2348">
        <v>5.7682000000000002</v>
      </c>
      <c r="L2348">
        <v>1.5398000000000001E-5</v>
      </c>
      <c r="M2348">
        <v>5.7682000000000002</v>
      </c>
      <c r="N2348">
        <v>1.5238E-5</v>
      </c>
      <c r="O2348" t="s">
        <v>662</v>
      </c>
    </row>
    <row r="2349" spans="1:15" x14ac:dyDescent="0.25">
      <c r="A2349" t="s">
        <v>55</v>
      </c>
      <c r="B2349" t="s">
        <v>7</v>
      </c>
      <c r="C2349">
        <v>3300</v>
      </c>
      <c r="D2349">
        <v>11001</v>
      </c>
      <c r="E2349">
        <v>100</v>
      </c>
      <c r="F2349" t="s">
        <v>104</v>
      </c>
      <c r="G2349" t="s">
        <v>49</v>
      </c>
      <c r="H2349">
        <v>0</v>
      </c>
      <c r="I2349">
        <v>0</v>
      </c>
      <c r="K2349">
        <v>57.997</v>
      </c>
      <c r="L2349">
        <v>1.6098E-6</v>
      </c>
      <c r="M2349">
        <v>57.997</v>
      </c>
      <c r="N2349">
        <v>1.5437999999999999E-6</v>
      </c>
      <c r="O2349" t="s">
        <v>663</v>
      </c>
    </row>
    <row r="2350" spans="1:15" x14ac:dyDescent="0.25">
      <c r="A2350" t="s">
        <v>55</v>
      </c>
      <c r="B2350" t="s">
        <v>7</v>
      </c>
      <c r="C2350">
        <v>11000</v>
      </c>
      <c r="D2350">
        <v>33001</v>
      </c>
      <c r="E2350">
        <v>0.1</v>
      </c>
      <c r="F2350" t="s">
        <v>104</v>
      </c>
      <c r="G2350" t="s">
        <v>49</v>
      </c>
      <c r="H2350">
        <v>0</v>
      </c>
      <c r="I2350">
        <v>0</v>
      </c>
      <c r="K2350">
        <v>1.3</v>
      </c>
      <c r="L2350">
        <v>1E-4</v>
      </c>
      <c r="M2350">
        <v>1.1560999999999999</v>
      </c>
      <c r="N2350">
        <v>1.0412E-4</v>
      </c>
      <c r="O2350" t="s">
        <v>664</v>
      </c>
    </row>
    <row r="2351" spans="1:15" x14ac:dyDescent="0.25">
      <c r="A2351" t="s">
        <v>55</v>
      </c>
      <c r="B2351" t="s">
        <v>7</v>
      </c>
      <c r="C2351">
        <v>11000</v>
      </c>
      <c r="D2351">
        <v>33001</v>
      </c>
      <c r="E2351">
        <v>1</v>
      </c>
      <c r="F2351" t="s">
        <v>104</v>
      </c>
      <c r="G2351" t="s">
        <v>49</v>
      </c>
      <c r="H2351">
        <v>0</v>
      </c>
      <c r="I2351">
        <v>0</v>
      </c>
      <c r="K2351">
        <v>1.3</v>
      </c>
      <c r="L2351">
        <v>1.0253E-4</v>
      </c>
      <c r="M2351">
        <v>1.2442</v>
      </c>
      <c r="N2351">
        <v>1.0252E-4</v>
      </c>
      <c r="O2351" t="s">
        <v>665</v>
      </c>
    </row>
    <row r="2352" spans="1:15" x14ac:dyDescent="0.25">
      <c r="A2352" t="s">
        <v>55</v>
      </c>
      <c r="B2352" t="s">
        <v>7</v>
      </c>
      <c r="C2352">
        <v>11000</v>
      </c>
      <c r="D2352">
        <v>33001</v>
      </c>
      <c r="E2352">
        <v>10</v>
      </c>
      <c r="F2352" t="s">
        <v>104</v>
      </c>
      <c r="G2352" t="s">
        <v>49</v>
      </c>
      <c r="H2352">
        <v>0</v>
      </c>
      <c r="I2352">
        <v>0</v>
      </c>
      <c r="K2352">
        <v>5.6614000000000004</v>
      </c>
      <c r="L2352">
        <v>5.2695000000000003E-5</v>
      </c>
      <c r="M2352">
        <v>5.6604999999999999</v>
      </c>
      <c r="N2352">
        <v>5.2621000000000003E-5</v>
      </c>
      <c r="O2352" t="s">
        <v>666</v>
      </c>
    </row>
    <row r="2353" spans="1:15" x14ac:dyDescent="0.25">
      <c r="A2353" t="s">
        <v>55</v>
      </c>
      <c r="B2353" t="s">
        <v>7</v>
      </c>
      <c r="C2353">
        <v>11000</v>
      </c>
      <c r="D2353">
        <v>33001</v>
      </c>
      <c r="E2353">
        <v>100</v>
      </c>
      <c r="F2353" t="s">
        <v>104</v>
      </c>
      <c r="G2353" t="s">
        <v>49</v>
      </c>
      <c r="H2353">
        <v>0</v>
      </c>
      <c r="I2353">
        <v>0</v>
      </c>
      <c r="K2353">
        <v>57.978000000000002</v>
      </c>
      <c r="L2353">
        <v>6.2175000000000002E-6</v>
      </c>
      <c r="M2353">
        <v>57.978000000000002</v>
      </c>
      <c r="N2353">
        <v>6.1738000000000001E-6</v>
      </c>
      <c r="O2353" t="s">
        <v>667</v>
      </c>
    </row>
    <row r="2354" spans="1:15" x14ac:dyDescent="0.25">
      <c r="A2354" t="s">
        <v>55</v>
      </c>
      <c r="B2354" t="s">
        <v>7</v>
      </c>
      <c r="C2354">
        <v>33000</v>
      </c>
      <c r="D2354">
        <v>110010</v>
      </c>
      <c r="E2354">
        <v>1</v>
      </c>
      <c r="F2354" t="s">
        <v>104</v>
      </c>
      <c r="G2354" t="s">
        <v>49</v>
      </c>
      <c r="H2354">
        <v>0</v>
      </c>
      <c r="I2354">
        <v>0</v>
      </c>
      <c r="K2354">
        <v>1.3</v>
      </c>
      <c r="L2354">
        <v>1.2999999999999999E-4</v>
      </c>
      <c r="M2354">
        <v>1.2346999999999999</v>
      </c>
      <c r="N2354">
        <v>1.2664999999999999E-4</v>
      </c>
      <c r="O2354" t="s">
        <v>668</v>
      </c>
    </row>
    <row r="2355" spans="1:15" x14ac:dyDescent="0.25">
      <c r="A2355" t="s">
        <v>55</v>
      </c>
      <c r="B2355" t="s">
        <v>7</v>
      </c>
      <c r="C2355">
        <v>33000</v>
      </c>
      <c r="D2355">
        <v>110010</v>
      </c>
      <c r="E2355">
        <v>10</v>
      </c>
      <c r="F2355" t="s">
        <v>104</v>
      </c>
      <c r="G2355" t="s">
        <v>49</v>
      </c>
      <c r="H2355">
        <v>0</v>
      </c>
      <c r="I2355">
        <v>0</v>
      </c>
      <c r="K2355">
        <v>4.3529999999999998</v>
      </c>
      <c r="L2355">
        <v>1.0805E-4</v>
      </c>
      <c r="M2355">
        <v>4.3501000000000003</v>
      </c>
      <c r="N2355">
        <v>1.0797E-4</v>
      </c>
      <c r="O2355" t="s">
        <v>669</v>
      </c>
    </row>
    <row r="2356" spans="1:15" x14ac:dyDescent="0.25">
      <c r="A2356" t="s">
        <v>55</v>
      </c>
      <c r="B2356" t="s">
        <v>7</v>
      </c>
      <c r="C2356">
        <v>33000</v>
      </c>
      <c r="D2356">
        <v>110010</v>
      </c>
      <c r="E2356">
        <v>100</v>
      </c>
      <c r="F2356" t="s">
        <v>104</v>
      </c>
      <c r="G2356" t="s">
        <v>49</v>
      </c>
      <c r="H2356">
        <v>0</v>
      </c>
      <c r="I2356">
        <v>0</v>
      </c>
      <c r="K2356">
        <v>57.521000000000001</v>
      </c>
      <c r="L2356">
        <v>2.2172999999999999E-5</v>
      </c>
      <c r="M2356">
        <v>57.521999999999998</v>
      </c>
      <c r="N2356">
        <v>2.2050999999999999E-5</v>
      </c>
      <c r="O2356" t="s">
        <v>670</v>
      </c>
    </row>
    <row r="2357" spans="1:15" x14ac:dyDescent="0.25">
      <c r="A2357" t="s">
        <v>55</v>
      </c>
      <c r="B2357" t="s">
        <v>7</v>
      </c>
      <c r="C2357">
        <v>33000</v>
      </c>
      <c r="D2357">
        <v>110010</v>
      </c>
      <c r="E2357">
        <v>1000</v>
      </c>
      <c r="F2357" t="s">
        <v>104</v>
      </c>
      <c r="G2357" t="s">
        <v>49</v>
      </c>
      <c r="H2357">
        <v>0</v>
      </c>
      <c r="I2357">
        <v>0</v>
      </c>
      <c r="K2357">
        <v>579.95000000000005</v>
      </c>
      <c r="L2357">
        <v>2.2971E-6</v>
      </c>
      <c r="M2357">
        <v>579.95000000000005</v>
      </c>
      <c r="N2357">
        <v>2.2465E-6</v>
      </c>
      <c r="O2357" t="s">
        <v>671</v>
      </c>
    </row>
    <row r="2358" spans="1:15" x14ac:dyDescent="0.25">
      <c r="A2358" t="s">
        <v>55</v>
      </c>
      <c r="B2358" t="s">
        <v>7</v>
      </c>
      <c r="C2358">
        <v>110000</v>
      </c>
      <c r="D2358">
        <v>330010</v>
      </c>
      <c r="E2358">
        <v>1</v>
      </c>
      <c r="F2358" t="s">
        <v>104</v>
      </c>
      <c r="G2358" t="s">
        <v>49</v>
      </c>
      <c r="H2358">
        <v>0</v>
      </c>
      <c r="I2358">
        <v>0</v>
      </c>
      <c r="K2358">
        <v>12</v>
      </c>
      <c r="L2358">
        <v>1.3999999999999999E-4</v>
      </c>
      <c r="M2358">
        <v>11.565</v>
      </c>
      <c r="N2358">
        <v>1.393E-4</v>
      </c>
      <c r="O2358" t="s">
        <v>672</v>
      </c>
    </row>
    <row r="2359" spans="1:15" x14ac:dyDescent="0.25">
      <c r="A2359" t="s">
        <v>55</v>
      </c>
      <c r="B2359" t="s">
        <v>7</v>
      </c>
      <c r="C2359">
        <v>110000</v>
      </c>
      <c r="D2359">
        <v>330010</v>
      </c>
      <c r="E2359">
        <v>10</v>
      </c>
      <c r="F2359" t="s">
        <v>104</v>
      </c>
      <c r="G2359" t="s">
        <v>49</v>
      </c>
      <c r="H2359">
        <v>0</v>
      </c>
      <c r="I2359">
        <v>0</v>
      </c>
      <c r="K2359">
        <v>12.289</v>
      </c>
      <c r="L2359">
        <v>1.3783999999999999E-4</v>
      </c>
      <c r="M2359">
        <v>12.284000000000001</v>
      </c>
      <c r="N2359">
        <v>1.3782000000000001E-4</v>
      </c>
      <c r="O2359" t="s">
        <v>673</v>
      </c>
    </row>
    <row r="2360" spans="1:15" x14ac:dyDescent="0.25">
      <c r="A2360" t="s">
        <v>55</v>
      </c>
      <c r="B2360" t="s">
        <v>7</v>
      </c>
      <c r="C2360">
        <v>110000</v>
      </c>
      <c r="D2360">
        <v>330010</v>
      </c>
      <c r="E2360">
        <v>100</v>
      </c>
      <c r="F2360" t="s">
        <v>104</v>
      </c>
      <c r="G2360" t="s">
        <v>49</v>
      </c>
      <c r="H2360">
        <v>0</v>
      </c>
      <c r="I2360">
        <v>0</v>
      </c>
      <c r="K2360">
        <v>55.026000000000003</v>
      </c>
      <c r="L2360">
        <v>8.0747999999999993E-5</v>
      </c>
      <c r="M2360">
        <v>55.024000000000001</v>
      </c>
      <c r="N2360">
        <v>8.0667000000000005E-5</v>
      </c>
      <c r="O2360" t="s">
        <v>674</v>
      </c>
    </row>
    <row r="2361" spans="1:15" x14ac:dyDescent="0.25">
      <c r="A2361" t="s">
        <v>55</v>
      </c>
      <c r="B2361" t="s">
        <v>7</v>
      </c>
      <c r="C2361">
        <v>110000</v>
      </c>
      <c r="D2361">
        <v>330010</v>
      </c>
      <c r="E2361">
        <v>1000</v>
      </c>
      <c r="F2361" t="s">
        <v>104</v>
      </c>
      <c r="G2361" t="s">
        <v>49</v>
      </c>
      <c r="H2361">
        <v>0</v>
      </c>
      <c r="I2361">
        <v>0</v>
      </c>
      <c r="K2361">
        <v>579.51</v>
      </c>
      <c r="L2361">
        <v>1.0142E-5</v>
      </c>
      <c r="M2361">
        <v>579.51</v>
      </c>
      <c r="N2361">
        <v>1.0091E-5</v>
      </c>
      <c r="O2361" t="s">
        <v>675</v>
      </c>
    </row>
    <row r="2362" spans="1:15" x14ac:dyDescent="0.25">
      <c r="A2362" t="s">
        <v>55</v>
      </c>
      <c r="B2362" t="s">
        <v>7</v>
      </c>
      <c r="C2362">
        <v>330000</v>
      </c>
      <c r="D2362">
        <v>1100010</v>
      </c>
      <c r="E2362">
        <v>10</v>
      </c>
      <c r="F2362" t="s">
        <v>104</v>
      </c>
      <c r="G2362" t="s">
        <v>49</v>
      </c>
      <c r="H2362">
        <v>0</v>
      </c>
      <c r="I2362">
        <v>0</v>
      </c>
      <c r="K2362">
        <v>16</v>
      </c>
      <c r="L2362">
        <v>1.7000000000000001E-4</v>
      </c>
      <c r="M2362">
        <v>12.340999999999999</v>
      </c>
      <c r="N2362">
        <v>1.7274E-4</v>
      </c>
      <c r="O2362" t="s">
        <v>676</v>
      </c>
    </row>
    <row r="2363" spans="1:15" x14ac:dyDescent="0.25">
      <c r="A2363" t="s">
        <v>55</v>
      </c>
      <c r="B2363" t="s">
        <v>7</v>
      </c>
      <c r="C2363">
        <v>330000</v>
      </c>
      <c r="D2363">
        <v>1100010</v>
      </c>
      <c r="E2363">
        <v>100</v>
      </c>
      <c r="F2363" t="s">
        <v>104</v>
      </c>
      <c r="G2363" t="s">
        <v>49</v>
      </c>
      <c r="H2363">
        <v>0</v>
      </c>
      <c r="I2363">
        <v>0</v>
      </c>
      <c r="K2363">
        <v>38.744</v>
      </c>
      <c r="L2363">
        <v>1.5613000000000001E-4</v>
      </c>
      <c r="M2363">
        <v>38.701999999999998</v>
      </c>
      <c r="N2363">
        <v>1.5610999999999999E-4</v>
      </c>
      <c r="O2363" t="s">
        <v>677</v>
      </c>
    </row>
    <row r="2364" spans="1:15" x14ac:dyDescent="0.25">
      <c r="A2364" t="s">
        <v>55</v>
      </c>
      <c r="B2364" t="s">
        <v>7</v>
      </c>
      <c r="C2364">
        <v>330000</v>
      </c>
      <c r="D2364">
        <v>1100010</v>
      </c>
      <c r="E2364">
        <v>1000</v>
      </c>
      <c r="F2364" t="s">
        <v>104</v>
      </c>
      <c r="G2364" t="s">
        <v>49</v>
      </c>
      <c r="H2364">
        <v>0</v>
      </c>
      <c r="I2364">
        <v>0</v>
      </c>
      <c r="K2364">
        <v>571.17999999999995</v>
      </c>
      <c r="L2364">
        <v>3.9240999999999999E-5</v>
      </c>
      <c r="M2364">
        <v>571.17999999999995</v>
      </c>
      <c r="N2364">
        <v>3.9165000000000002E-5</v>
      </c>
      <c r="O2364" t="s">
        <v>678</v>
      </c>
    </row>
    <row r="2365" spans="1:15" x14ac:dyDescent="0.25">
      <c r="A2365" t="s">
        <v>55</v>
      </c>
      <c r="B2365" t="s">
        <v>7</v>
      </c>
      <c r="C2365">
        <v>330000</v>
      </c>
      <c r="D2365">
        <v>1100010</v>
      </c>
      <c r="E2365">
        <v>10000</v>
      </c>
      <c r="F2365" t="s">
        <v>104</v>
      </c>
      <c r="G2365" t="s">
        <v>49</v>
      </c>
      <c r="H2365">
        <v>0</v>
      </c>
      <c r="I2365">
        <v>0</v>
      </c>
      <c r="K2365">
        <v>5799.1</v>
      </c>
      <c r="L2365">
        <v>4.0775999999999997E-6</v>
      </c>
      <c r="M2365">
        <v>5799.1</v>
      </c>
      <c r="N2365">
        <v>4.0446000000000002E-6</v>
      </c>
      <c r="O2365" t="s">
        <v>679</v>
      </c>
    </row>
    <row r="2366" spans="1:15" x14ac:dyDescent="0.25">
      <c r="A2366" t="s">
        <v>55</v>
      </c>
      <c r="B2366" t="s">
        <v>7</v>
      </c>
      <c r="C2366">
        <v>1100000</v>
      </c>
      <c r="D2366">
        <v>3301000</v>
      </c>
      <c r="E2366">
        <v>10</v>
      </c>
      <c r="F2366" t="s">
        <v>104</v>
      </c>
      <c r="G2366" t="s">
        <v>50</v>
      </c>
      <c r="H2366">
        <v>0</v>
      </c>
      <c r="I2366">
        <v>0</v>
      </c>
      <c r="K2366">
        <v>0.19</v>
      </c>
      <c r="L2366">
        <v>1.6999999999999999E-7</v>
      </c>
      <c r="M2366">
        <v>0.17338999999999999</v>
      </c>
      <c r="N2366">
        <v>1.7317999999999999E-7</v>
      </c>
      <c r="O2366" t="s">
        <v>680</v>
      </c>
    </row>
    <row r="2367" spans="1:15" x14ac:dyDescent="0.25">
      <c r="A2367" t="s">
        <v>55</v>
      </c>
      <c r="B2367" t="s">
        <v>7</v>
      </c>
      <c r="C2367">
        <v>1100000</v>
      </c>
      <c r="D2367">
        <v>3301000</v>
      </c>
      <c r="E2367">
        <v>100</v>
      </c>
      <c r="F2367" t="s">
        <v>104</v>
      </c>
      <c r="G2367" t="s">
        <v>50</v>
      </c>
      <c r="H2367">
        <v>0</v>
      </c>
      <c r="I2367">
        <v>0</v>
      </c>
      <c r="K2367">
        <v>0.19</v>
      </c>
      <c r="L2367">
        <v>1.7214999999999999E-7</v>
      </c>
      <c r="M2367">
        <v>0.17910000000000001</v>
      </c>
      <c r="N2367">
        <v>1.7212999999999999E-7</v>
      </c>
      <c r="O2367" t="s">
        <v>681</v>
      </c>
    </row>
    <row r="2368" spans="1:15" x14ac:dyDescent="0.25">
      <c r="A2368" t="s">
        <v>55</v>
      </c>
      <c r="B2368" t="s">
        <v>7</v>
      </c>
      <c r="C2368">
        <v>1100000</v>
      </c>
      <c r="D2368">
        <v>3301000</v>
      </c>
      <c r="E2368">
        <v>1000</v>
      </c>
      <c r="F2368" t="s">
        <v>104</v>
      </c>
      <c r="G2368" t="s">
        <v>50</v>
      </c>
      <c r="H2368">
        <v>0</v>
      </c>
      <c r="I2368">
        <v>0</v>
      </c>
      <c r="K2368">
        <v>0.55515999999999999</v>
      </c>
      <c r="L2368">
        <v>1.1804E-7</v>
      </c>
      <c r="M2368">
        <v>0.55501</v>
      </c>
      <c r="N2368">
        <v>1.1789000000000001E-7</v>
      </c>
      <c r="O2368" t="s">
        <v>682</v>
      </c>
    </row>
    <row r="2369" spans="1:15" x14ac:dyDescent="0.25">
      <c r="A2369" t="s">
        <v>55</v>
      </c>
      <c r="B2369" t="s">
        <v>7</v>
      </c>
      <c r="C2369">
        <v>1100000</v>
      </c>
      <c r="D2369">
        <v>3301000</v>
      </c>
      <c r="E2369">
        <v>10000</v>
      </c>
      <c r="F2369" t="s">
        <v>104</v>
      </c>
      <c r="G2369" t="s">
        <v>50</v>
      </c>
      <c r="H2369">
        <v>0</v>
      </c>
      <c r="I2369">
        <v>0</v>
      </c>
      <c r="K2369">
        <v>5.7933000000000003</v>
      </c>
      <c r="L2369">
        <v>1.6590000000000002E-8</v>
      </c>
      <c r="M2369">
        <v>5.7933000000000003</v>
      </c>
      <c r="N2369">
        <v>1.6469E-8</v>
      </c>
      <c r="O2369" t="s">
        <v>683</v>
      </c>
    </row>
    <row r="2370" spans="1:15" x14ac:dyDescent="0.25">
      <c r="A2370" t="s">
        <v>55</v>
      </c>
      <c r="B2370" t="s">
        <v>7</v>
      </c>
      <c r="C2370">
        <v>3300000</v>
      </c>
      <c r="D2370">
        <v>11001000</v>
      </c>
      <c r="E2370">
        <v>100</v>
      </c>
      <c r="F2370" t="s">
        <v>104</v>
      </c>
      <c r="G2370" t="s">
        <v>50</v>
      </c>
      <c r="H2370">
        <v>0</v>
      </c>
      <c r="I2370">
        <v>0</v>
      </c>
      <c r="K2370">
        <v>0.33</v>
      </c>
      <c r="L2370">
        <v>6.8999999999999996E-7</v>
      </c>
      <c r="M2370">
        <v>0.29032999999999998</v>
      </c>
      <c r="N2370">
        <v>6.9271999999999997E-7</v>
      </c>
      <c r="O2370" t="s">
        <v>684</v>
      </c>
    </row>
    <row r="2371" spans="1:15" x14ac:dyDescent="0.25">
      <c r="A2371" t="s">
        <v>55</v>
      </c>
      <c r="B2371" t="s">
        <v>7</v>
      </c>
      <c r="C2371">
        <v>3300000</v>
      </c>
      <c r="D2371">
        <v>11001000</v>
      </c>
      <c r="E2371">
        <v>1000</v>
      </c>
      <c r="F2371" t="s">
        <v>104</v>
      </c>
      <c r="G2371" t="s">
        <v>50</v>
      </c>
      <c r="H2371">
        <v>0</v>
      </c>
      <c r="I2371">
        <v>0</v>
      </c>
      <c r="K2371">
        <v>0.37289</v>
      </c>
      <c r="L2371">
        <v>6.8714999999999996E-7</v>
      </c>
      <c r="M2371">
        <v>0.37252000000000002</v>
      </c>
      <c r="N2371">
        <v>6.8716000000000002E-7</v>
      </c>
      <c r="O2371" t="s">
        <v>685</v>
      </c>
    </row>
    <row r="2372" spans="1:15" x14ac:dyDescent="0.25">
      <c r="A2372" t="s">
        <v>55</v>
      </c>
      <c r="B2372" t="s">
        <v>7</v>
      </c>
      <c r="C2372">
        <v>3300000</v>
      </c>
      <c r="D2372">
        <v>11001000</v>
      </c>
      <c r="E2372">
        <v>10000</v>
      </c>
      <c r="F2372" t="s">
        <v>104</v>
      </c>
      <c r="G2372" t="s">
        <v>50</v>
      </c>
      <c r="H2372">
        <v>0</v>
      </c>
      <c r="I2372">
        <v>0</v>
      </c>
      <c r="K2372">
        <v>4.8625999999999996</v>
      </c>
      <c r="L2372">
        <v>4.4971999999999998E-7</v>
      </c>
      <c r="M2372">
        <v>4.8623000000000003</v>
      </c>
      <c r="N2372">
        <v>4.4966000000000002E-7</v>
      </c>
      <c r="O2372" t="s">
        <v>686</v>
      </c>
    </row>
    <row r="2373" spans="1:15" x14ac:dyDescent="0.25">
      <c r="A2373" t="s">
        <v>55</v>
      </c>
      <c r="B2373" t="s">
        <v>7</v>
      </c>
      <c r="C2373">
        <v>3300000</v>
      </c>
      <c r="D2373">
        <v>11001000</v>
      </c>
      <c r="E2373">
        <v>100000</v>
      </c>
      <c r="F2373" t="s">
        <v>104</v>
      </c>
      <c r="G2373" t="s">
        <v>50</v>
      </c>
      <c r="H2373">
        <v>0</v>
      </c>
      <c r="I2373">
        <v>0</v>
      </c>
      <c r="K2373">
        <v>57.851999999999997</v>
      </c>
      <c r="L2373">
        <v>6.2356000000000006E-8</v>
      </c>
      <c r="M2373">
        <v>57.851999999999997</v>
      </c>
      <c r="N2373">
        <v>6.2304E-8</v>
      </c>
      <c r="O2373" t="s">
        <v>687</v>
      </c>
    </row>
    <row r="2374" spans="1:15" x14ac:dyDescent="0.25">
      <c r="A2374" t="s">
        <v>55</v>
      </c>
      <c r="B2374" t="s">
        <v>7</v>
      </c>
      <c r="C2374">
        <v>11000000</v>
      </c>
      <c r="D2374">
        <v>33001000</v>
      </c>
      <c r="E2374">
        <v>100</v>
      </c>
      <c r="F2374" t="s">
        <v>104</v>
      </c>
      <c r="G2374" t="s">
        <v>50</v>
      </c>
      <c r="H2374">
        <v>0</v>
      </c>
      <c r="I2374">
        <v>0</v>
      </c>
      <c r="K2374">
        <v>2.9</v>
      </c>
      <c r="L2374">
        <v>1.1999999999999999E-6</v>
      </c>
      <c r="M2374">
        <v>2.8873000000000002</v>
      </c>
      <c r="N2374">
        <v>1.1547999999999999E-6</v>
      </c>
      <c r="O2374" t="s">
        <v>688</v>
      </c>
    </row>
    <row r="2375" spans="1:15" x14ac:dyDescent="0.25">
      <c r="A2375" t="s">
        <v>55</v>
      </c>
      <c r="B2375" t="s">
        <v>7</v>
      </c>
      <c r="C2375">
        <v>11000000</v>
      </c>
      <c r="D2375">
        <v>33001000</v>
      </c>
      <c r="E2375">
        <v>1000</v>
      </c>
      <c r="F2375" t="s">
        <v>104</v>
      </c>
      <c r="G2375" t="s">
        <v>50</v>
      </c>
      <c r="H2375">
        <v>0</v>
      </c>
      <c r="I2375">
        <v>0</v>
      </c>
      <c r="K2375">
        <v>2.9003999999999999</v>
      </c>
      <c r="L2375">
        <v>1.1544999999999999E-6</v>
      </c>
      <c r="M2375">
        <v>2.9</v>
      </c>
      <c r="N2375">
        <v>1.1544999999999999E-6</v>
      </c>
      <c r="O2375" t="s">
        <v>689</v>
      </c>
    </row>
    <row r="2376" spans="1:15" x14ac:dyDescent="0.25">
      <c r="A2376" t="s">
        <v>55</v>
      </c>
      <c r="B2376" t="s">
        <v>7</v>
      </c>
      <c r="C2376">
        <v>11000000</v>
      </c>
      <c r="D2376">
        <v>33001000</v>
      </c>
      <c r="E2376">
        <v>10000</v>
      </c>
      <c r="F2376" t="s">
        <v>104</v>
      </c>
      <c r="G2376" t="s">
        <v>50</v>
      </c>
      <c r="H2376">
        <v>0</v>
      </c>
      <c r="I2376">
        <v>0</v>
      </c>
      <c r="K2376">
        <v>4.2484000000000002</v>
      </c>
      <c r="L2376">
        <v>1.1259000000000001E-6</v>
      </c>
      <c r="M2376">
        <v>4.2477999999999998</v>
      </c>
      <c r="N2376">
        <v>1.1259000000000001E-6</v>
      </c>
      <c r="O2376" t="s">
        <v>690</v>
      </c>
    </row>
    <row r="2377" spans="1:15" x14ac:dyDescent="0.25">
      <c r="A2377" t="s">
        <v>55</v>
      </c>
      <c r="B2377" t="s">
        <v>7</v>
      </c>
      <c r="C2377">
        <v>11000000</v>
      </c>
      <c r="D2377">
        <v>33001000</v>
      </c>
      <c r="E2377">
        <v>100000</v>
      </c>
      <c r="F2377" t="s">
        <v>104</v>
      </c>
      <c r="G2377" t="s">
        <v>50</v>
      </c>
      <c r="H2377">
        <v>0</v>
      </c>
      <c r="I2377">
        <v>0</v>
      </c>
      <c r="K2377">
        <v>54.575000000000003</v>
      </c>
      <c r="L2377">
        <v>4.9851999999999999E-7</v>
      </c>
      <c r="M2377">
        <v>54.575000000000003</v>
      </c>
      <c r="N2377">
        <v>4.9846000000000003E-7</v>
      </c>
      <c r="O2377" t="s">
        <v>691</v>
      </c>
    </row>
    <row r="2378" spans="1:15" x14ac:dyDescent="0.25">
      <c r="A2378" t="s">
        <v>55</v>
      </c>
      <c r="B2378" t="s">
        <v>7</v>
      </c>
      <c r="C2378">
        <v>33000000</v>
      </c>
      <c r="D2378">
        <v>110010000</v>
      </c>
      <c r="E2378">
        <v>1000</v>
      </c>
      <c r="F2378" t="s">
        <v>104</v>
      </c>
      <c r="G2378" t="s">
        <v>50</v>
      </c>
      <c r="H2378">
        <v>0</v>
      </c>
      <c r="I2378">
        <v>0</v>
      </c>
      <c r="K2378">
        <v>3.5</v>
      </c>
      <c r="L2378">
        <v>5.8000000000000004E-6</v>
      </c>
      <c r="M2378">
        <v>3.4662999999999999</v>
      </c>
      <c r="N2378">
        <v>5.7734999999999999E-6</v>
      </c>
      <c r="O2378" t="s">
        <v>692</v>
      </c>
    </row>
    <row r="2379" spans="1:15" x14ac:dyDescent="0.25">
      <c r="A2379" t="s">
        <v>55</v>
      </c>
      <c r="B2379" t="s">
        <v>7</v>
      </c>
      <c r="C2379">
        <v>33000000</v>
      </c>
      <c r="D2379">
        <v>110010000</v>
      </c>
      <c r="E2379">
        <v>10000</v>
      </c>
      <c r="F2379" t="s">
        <v>104</v>
      </c>
      <c r="G2379" t="s">
        <v>50</v>
      </c>
      <c r="H2379">
        <v>0</v>
      </c>
      <c r="I2379">
        <v>0</v>
      </c>
      <c r="K2379">
        <v>3.5802999999999998</v>
      </c>
      <c r="L2379">
        <v>5.7726999999999998E-6</v>
      </c>
      <c r="M2379">
        <v>3.5792000000000002</v>
      </c>
      <c r="N2379">
        <v>5.7726999999999998E-6</v>
      </c>
      <c r="O2379" t="s">
        <v>693</v>
      </c>
    </row>
    <row r="2380" spans="1:15" x14ac:dyDescent="0.25">
      <c r="A2380" t="s">
        <v>55</v>
      </c>
      <c r="B2380" t="s">
        <v>7</v>
      </c>
      <c r="C2380">
        <v>33000000</v>
      </c>
      <c r="D2380">
        <v>110010000</v>
      </c>
      <c r="E2380">
        <v>100000</v>
      </c>
      <c r="F2380" t="s">
        <v>104</v>
      </c>
      <c r="G2380" t="s">
        <v>50</v>
      </c>
      <c r="H2380">
        <v>0</v>
      </c>
      <c r="I2380">
        <v>0</v>
      </c>
      <c r="K2380">
        <v>14.462999999999999</v>
      </c>
      <c r="L2380">
        <v>5.6975000000000001E-6</v>
      </c>
      <c r="M2380">
        <v>14.465</v>
      </c>
      <c r="N2380">
        <v>5.6973999999999999E-6</v>
      </c>
      <c r="O2380" t="s">
        <v>694</v>
      </c>
    </row>
    <row r="2381" spans="1:15" x14ac:dyDescent="0.25">
      <c r="A2381" t="s">
        <v>55</v>
      </c>
      <c r="B2381" t="s">
        <v>7</v>
      </c>
      <c r="C2381">
        <v>33000000</v>
      </c>
      <c r="D2381">
        <v>110010000</v>
      </c>
      <c r="E2381">
        <v>1000000</v>
      </c>
      <c r="F2381" t="s">
        <v>104</v>
      </c>
      <c r="G2381" t="s">
        <v>50</v>
      </c>
      <c r="H2381">
        <v>0</v>
      </c>
      <c r="I2381">
        <v>0</v>
      </c>
      <c r="K2381">
        <v>503.99</v>
      </c>
      <c r="L2381">
        <v>3.2606000000000002E-6</v>
      </c>
      <c r="M2381">
        <v>503.99</v>
      </c>
      <c r="N2381">
        <v>3.2605E-6</v>
      </c>
      <c r="O2381" t="s">
        <v>695</v>
      </c>
    </row>
    <row r="2382" spans="1:15" x14ac:dyDescent="0.25">
      <c r="A2382" t="s">
        <v>55</v>
      </c>
      <c r="B2382" t="s">
        <v>7</v>
      </c>
      <c r="C2382">
        <v>110000000</v>
      </c>
      <c r="D2382">
        <v>330010000</v>
      </c>
      <c r="E2382">
        <v>1000</v>
      </c>
      <c r="F2382" t="s">
        <v>104</v>
      </c>
      <c r="G2382" t="s">
        <v>50</v>
      </c>
      <c r="H2382">
        <v>0</v>
      </c>
      <c r="I2382">
        <v>0</v>
      </c>
      <c r="K2382">
        <v>120</v>
      </c>
      <c r="L2382">
        <v>5.8000000000000004E-6</v>
      </c>
      <c r="M2382">
        <v>115.47</v>
      </c>
      <c r="N2382">
        <v>5.7734999999999999E-6</v>
      </c>
      <c r="O2382" t="s">
        <v>696</v>
      </c>
    </row>
    <row r="2383" spans="1:15" x14ac:dyDescent="0.25">
      <c r="A2383" t="s">
        <v>55</v>
      </c>
      <c r="B2383" t="s">
        <v>7</v>
      </c>
      <c r="C2383">
        <v>110000000</v>
      </c>
      <c r="D2383">
        <v>330010000</v>
      </c>
      <c r="E2383">
        <v>10000</v>
      </c>
      <c r="F2383" t="s">
        <v>104</v>
      </c>
      <c r="G2383" t="s">
        <v>50</v>
      </c>
      <c r="H2383">
        <v>0</v>
      </c>
      <c r="I2383">
        <v>0</v>
      </c>
      <c r="K2383">
        <v>120</v>
      </c>
      <c r="L2383">
        <v>5.7733999999999996E-6</v>
      </c>
      <c r="M2383">
        <v>115.52</v>
      </c>
      <c r="N2383">
        <v>5.7733999999999996E-6</v>
      </c>
      <c r="O2383" t="s">
        <v>697</v>
      </c>
    </row>
    <row r="2384" spans="1:15" x14ac:dyDescent="0.25">
      <c r="A2384" t="s">
        <v>55</v>
      </c>
      <c r="B2384" t="s">
        <v>7</v>
      </c>
      <c r="C2384">
        <v>110000000</v>
      </c>
      <c r="D2384">
        <v>330010000</v>
      </c>
      <c r="E2384">
        <v>100000</v>
      </c>
      <c r="F2384" t="s">
        <v>104</v>
      </c>
      <c r="G2384" t="s">
        <v>50</v>
      </c>
      <c r="H2384">
        <v>0</v>
      </c>
      <c r="I2384">
        <v>0</v>
      </c>
      <c r="K2384">
        <v>120</v>
      </c>
      <c r="L2384">
        <v>5.7671000000000002E-6</v>
      </c>
      <c r="M2384">
        <v>118.42</v>
      </c>
      <c r="N2384">
        <v>5.7671000000000002E-6</v>
      </c>
      <c r="O2384" t="s">
        <v>698</v>
      </c>
    </row>
    <row r="2385" spans="1:15" x14ac:dyDescent="0.25">
      <c r="A2385" t="s">
        <v>55</v>
      </c>
      <c r="B2385" t="s">
        <v>7</v>
      </c>
      <c r="C2385">
        <v>110000000</v>
      </c>
      <c r="D2385">
        <v>330010000</v>
      </c>
      <c r="E2385">
        <v>1000000</v>
      </c>
      <c r="F2385" t="s">
        <v>104</v>
      </c>
      <c r="G2385" t="s">
        <v>50</v>
      </c>
      <c r="H2385">
        <v>0</v>
      </c>
      <c r="I2385">
        <v>0</v>
      </c>
      <c r="K2385">
        <v>371.66</v>
      </c>
      <c r="L2385">
        <v>5.2445000000000004E-6</v>
      </c>
      <c r="M2385">
        <v>371.67</v>
      </c>
      <c r="N2385">
        <v>5.2444000000000001E-6</v>
      </c>
      <c r="O2385" t="s">
        <v>699</v>
      </c>
    </row>
    <row r="2386" spans="1:15" x14ac:dyDescent="0.25">
      <c r="A2386" t="s">
        <v>55</v>
      </c>
      <c r="B2386" t="s">
        <v>7</v>
      </c>
      <c r="C2386">
        <v>330000000</v>
      </c>
      <c r="D2386">
        <v>1100010000</v>
      </c>
      <c r="E2386">
        <v>10000</v>
      </c>
      <c r="F2386" t="s">
        <v>104</v>
      </c>
      <c r="G2386" t="s">
        <v>50</v>
      </c>
      <c r="H2386">
        <v>0</v>
      </c>
      <c r="I2386">
        <v>0</v>
      </c>
      <c r="K2386">
        <v>930</v>
      </c>
      <c r="L2386">
        <v>1.7E-5</v>
      </c>
      <c r="M2386">
        <v>577.19000000000005</v>
      </c>
      <c r="N2386">
        <v>1.7320999999999999E-5</v>
      </c>
      <c r="O2386" t="s">
        <v>700</v>
      </c>
    </row>
    <row r="2387" spans="1:15" x14ac:dyDescent="0.25">
      <c r="A2387" t="s">
        <v>55</v>
      </c>
      <c r="B2387" t="s">
        <v>7</v>
      </c>
      <c r="C2387">
        <v>330000000</v>
      </c>
      <c r="D2387">
        <v>1100010000</v>
      </c>
      <c r="E2387">
        <v>100000</v>
      </c>
      <c r="F2387" t="s">
        <v>104</v>
      </c>
      <c r="G2387" t="s">
        <v>50</v>
      </c>
      <c r="H2387">
        <v>0</v>
      </c>
      <c r="I2387">
        <v>0</v>
      </c>
      <c r="K2387">
        <v>930</v>
      </c>
      <c r="L2387">
        <v>1.732E-5</v>
      </c>
      <c r="M2387">
        <v>578</v>
      </c>
      <c r="N2387">
        <v>1.732E-5</v>
      </c>
      <c r="O2387" t="s">
        <v>701</v>
      </c>
    </row>
    <row r="2388" spans="1:15" x14ac:dyDescent="0.25">
      <c r="A2388" t="s">
        <v>55</v>
      </c>
      <c r="B2388" t="s">
        <v>7</v>
      </c>
      <c r="C2388">
        <v>330000000</v>
      </c>
      <c r="D2388">
        <v>1100010000</v>
      </c>
      <c r="E2388">
        <v>1000000</v>
      </c>
      <c r="F2388" t="s">
        <v>104</v>
      </c>
      <c r="G2388" t="s">
        <v>50</v>
      </c>
      <c r="H2388">
        <v>0</v>
      </c>
      <c r="I2388">
        <v>0</v>
      </c>
      <c r="K2388">
        <v>930</v>
      </c>
      <c r="L2388">
        <v>1.7297000000000001E-5</v>
      </c>
      <c r="M2388">
        <v>611.79</v>
      </c>
      <c r="N2388">
        <v>1.7297000000000001E-5</v>
      </c>
      <c r="O2388" t="s">
        <v>702</v>
      </c>
    </row>
    <row r="2389" spans="1:15" x14ac:dyDescent="0.25">
      <c r="A2389" t="s">
        <v>55</v>
      </c>
      <c r="B2389" t="s">
        <v>7</v>
      </c>
      <c r="C2389">
        <v>330000000</v>
      </c>
      <c r="D2389">
        <v>1100010000</v>
      </c>
      <c r="E2389">
        <v>10000000</v>
      </c>
      <c r="F2389" t="s">
        <v>104</v>
      </c>
      <c r="G2389" t="s">
        <v>50</v>
      </c>
      <c r="H2389">
        <v>0</v>
      </c>
      <c r="I2389">
        <v>0</v>
      </c>
      <c r="K2389">
        <v>3454.2</v>
      </c>
      <c r="L2389">
        <v>1.5468000000000002E-5</v>
      </c>
      <c r="M2389">
        <v>3454.1</v>
      </c>
      <c r="N2389">
        <v>1.5468000000000002E-5</v>
      </c>
      <c r="O2389" t="s">
        <v>703</v>
      </c>
    </row>
    <row r="2390" spans="1:15" x14ac:dyDescent="0.25">
      <c r="A2390" t="s">
        <v>55</v>
      </c>
      <c r="B2390" t="s">
        <v>7</v>
      </c>
      <c r="C2390">
        <v>1100000000</v>
      </c>
      <c r="D2390">
        <v>1101000000</v>
      </c>
      <c r="E2390">
        <v>10000</v>
      </c>
      <c r="F2390" t="s">
        <v>104</v>
      </c>
      <c r="G2390" t="s">
        <v>50</v>
      </c>
      <c r="H2390">
        <v>0</v>
      </c>
      <c r="I2390">
        <v>0</v>
      </c>
      <c r="K2390">
        <v>930</v>
      </c>
      <c r="L2390">
        <v>1.7E-5</v>
      </c>
      <c r="M2390">
        <v>577.19000000000005</v>
      </c>
      <c r="N2390">
        <v>1.7320999999999999E-5</v>
      </c>
      <c r="O2390" t="s">
        <v>704</v>
      </c>
    </row>
    <row r="2391" spans="1:15" x14ac:dyDescent="0.25">
      <c r="A2391" t="s">
        <v>55</v>
      </c>
      <c r="B2391" t="s">
        <v>7</v>
      </c>
      <c r="C2391">
        <v>1100000000</v>
      </c>
      <c r="D2391">
        <v>1101000000</v>
      </c>
      <c r="E2391">
        <v>100000</v>
      </c>
      <c r="F2391" t="s">
        <v>104</v>
      </c>
      <c r="G2391" t="s">
        <v>50</v>
      </c>
      <c r="H2391">
        <v>0</v>
      </c>
      <c r="I2391">
        <v>0</v>
      </c>
      <c r="K2391">
        <v>930</v>
      </c>
      <c r="L2391">
        <v>1.732E-5</v>
      </c>
      <c r="M2391">
        <v>578</v>
      </c>
      <c r="N2391">
        <v>1.732E-5</v>
      </c>
      <c r="O2391" t="s">
        <v>705</v>
      </c>
    </row>
    <row r="2392" spans="1:15" x14ac:dyDescent="0.25">
      <c r="A2392" t="s">
        <v>55</v>
      </c>
      <c r="B2392" t="s">
        <v>7</v>
      </c>
      <c r="C2392">
        <v>1100000000</v>
      </c>
      <c r="D2392">
        <v>1101000000</v>
      </c>
      <c r="E2392">
        <v>1000000</v>
      </c>
      <c r="F2392" t="s">
        <v>104</v>
      </c>
      <c r="G2392" t="s">
        <v>50</v>
      </c>
      <c r="H2392">
        <v>0</v>
      </c>
      <c r="I2392">
        <v>0</v>
      </c>
      <c r="K2392">
        <v>930</v>
      </c>
      <c r="L2392">
        <v>1.7297000000000001E-5</v>
      </c>
      <c r="M2392">
        <v>611.79</v>
      </c>
      <c r="N2392">
        <v>1.7297000000000001E-5</v>
      </c>
      <c r="O2392" t="s">
        <v>706</v>
      </c>
    </row>
    <row r="2393" spans="1:15" x14ac:dyDescent="0.25">
      <c r="A2393" t="s">
        <v>55</v>
      </c>
      <c r="B2393" t="s">
        <v>7</v>
      </c>
      <c r="C2393">
        <v>1100000000</v>
      </c>
      <c r="D2393">
        <v>1101000000</v>
      </c>
      <c r="E2393">
        <v>10000000</v>
      </c>
      <c r="F2393" t="s">
        <v>104</v>
      </c>
      <c r="G2393" t="s">
        <v>50</v>
      </c>
      <c r="H2393">
        <v>0</v>
      </c>
      <c r="I2393">
        <v>0</v>
      </c>
      <c r="K2393">
        <v>3454.2</v>
      </c>
      <c r="L2393">
        <v>1.5468000000000002E-5</v>
      </c>
      <c r="M2393">
        <v>3454.1</v>
      </c>
      <c r="N2393">
        <v>1.5468000000000002E-5</v>
      </c>
      <c r="O2393" t="s">
        <v>707</v>
      </c>
    </row>
    <row r="2394" spans="1:15" x14ac:dyDescent="0.25">
      <c r="A2394" t="s">
        <v>70</v>
      </c>
      <c r="B2394" t="s">
        <v>47</v>
      </c>
      <c r="C2394">
        <v>1.0000000000000001E-5</v>
      </c>
      <c r="D2394">
        <v>1.0399999999999999E-4</v>
      </c>
      <c r="E2394">
        <v>1.0000000000000001E-9</v>
      </c>
      <c r="F2394" t="s">
        <v>13</v>
      </c>
      <c r="G2394" t="s">
        <v>11</v>
      </c>
      <c r="H2394">
        <v>0.01</v>
      </c>
      <c r="I2394">
        <v>2</v>
      </c>
      <c r="J2394" t="s">
        <v>10</v>
      </c>
      <c r="K2394">
        <v>0.47</v>
      </c>
      <c r="L2394">
        <v>1200</v>
      </c>
      <c r="M2394">
        <v>0.46304000000000001</v>
      </c>
      <c r="N2394">
        <v>1233.9000000000001</v>
      </c>
      <c r="O2394" t="s">
        <v>2521</v>
      </c>
    </row>
    <row r="2395" spans="1:15" x14ac:dyDescent="0.25">
      <c r="A2395" t="s">
        <v>70</v>
      </c>
      <c r="B2395" t="s">
        <v>47</v>
      </c>
      <c r="C2395">
        <v>1.0000000000000001E-5</v>
      </c>
      <c r="D2395">
        <v>1.0399999999999999E-4</v>
      </c>
      <c r="E2395">
        <v>1E-8</v>
      </c>
      <c r="F2395" t="s">
        <v>13</v>
      </c>
      <c r="G2395" t="s">
        <v>11</v>
      </c>
      <c r="H2395">
        <v>0.01</v>
      </c>
      <c r="I2395">
        <v>2</v>
      </c>
      <c r="J2395" t="s">
        <v>10</v>
      </c>
      <c r="K2395">
        <v>0.47</v>
      </c>
      <c r="L2395">
        <v>1234</v>
      </c>
      <c r="M2395">
        <v>0.46307999999999999</v>
      </c>
      <c r="N2395">
        <v>1233.9000000000001</v>
      </c>
      <c r="O2395" t="s">
        <v>2522</v>
      </c>
    </row>
    <row r="2396" spans="1:15" x14ac:dyDescent="0.25">
      <c r="A2396" t="s">
        <v>70</v>
      </c>
      <c r="B2396" t="s">
        <v>47</v>
      </c>
      <c r="C2396">
        <v>1.0000000000000001E-5</v>
      </c>
      <c r="D2396">
        <v>1.0399999999999999E-4</v>
      </c>
      <c r="E2396">
        <v>9.9999999999999995E-8</v>
      </c>
      <c r="F2396" t="s">
        <v>13</v>
      </c>
      <c r="G2396" t="s">
        <v>11</v>
      </c>
      <c r="H2396">
        <v>0.01</v>
      </c>
      <c r="I2396">
        <v>2</v>
      </c>
      <c r="J2396" t="s">
        <v>10</v>
      </c>
      <c r="K2396">
        <v>0.47</v>
      </c>
      <c r="L2396">
        <v>1227.5</v>
      </c>
      <c r="M2396">
        <v>0.46660000000000001</v>
      </c>
      <c r="N2396">
        <v>1227</v>
      </c>
      <c r="O2396" t="s">
        <v>2523</v>
      </c>
    </row>
    <row r="2397" spans="1:15" x14ac:dyDescent="0.25">
      <c r="A2397" t="s">
        <v>70</v>
      </c>
      <c r="B2397" t="s">
        <v>47</v>
      </c>
      <c r="C2397">
        <v>1.0000000000000001E-5</v>
      </c>
      <c r="D2397">
        <v>1.0399999999999999E-4</v>
      </c>
      <c r="E2397">
        <v>9.9999999999999995E-7</v>
      </c>
      <c r="F2397" t="s">
        <v>13</v>
      </c>
      <c r="G2397" t="s">
        <v>11</v>
      </c>
      <c r="H2397">
        <v>0.01</v>
      </c>
      <c r="I2397">
        <v>2</v>
      </c>
      <c r="J2397" t="s">
        <v>10</v>
      </c>
      <c r="K2397">
        <v>0.73980999999999997</v>
      </c>
      <c r="L2397">
        <v>857.29</v>
      </c>
      <c r="M2397">
        <v>0.73978999999999995</v>
      </c>
      <c r="N2397">
        <v>855.77</v>
      </c>
      <c r="O2397" t="s">
        <v>2524</v>
      </c>
    </row>
    <row r="2398" spans="1:15" x14ac:dyDescent="0.25">
      <c r="A2398" t="s">
        <v>70</v>
      </c>
      <c r="B2398" t="s">
        <v>47</v>
      </c>
      <c r="C2398">
        <v>1.0000000000000001E-5</v>
      </c>
      <c r="D2398">
        <v>1.0399999999999999E-4</v>
      </c>
      <c r="E2398">
        <v>1.0000000000000001E-5</v>
      </c>
      <c r="F2398" t="s">
        <v>13</v>
      </c>
      <c r="G2398" t="s">
        <v>11</v>
      </c>
      <c r="H2398">
        <v>0.01</v>
      </c>
      <c r="I2398">
        <v>2</v>
      </c>
      <c r="J2398" t="s">
        <v>10</v>
      </c>
      <c r="K2398">
        <v>5.8087999999999997</v>
      </c>
      <c r="L2398">
        <v>394.38</v>
      </c>
      <c r="M2398">
        <v>5.8087999999999997</v>
      </c>
      <c r="N2398">
        <v>393.5</v>
      </c>
      <c r="O2398" t="s">
        <v>2845</v>
      </c>
    </row>
    <row r="2399" spans="1:15" x14ac:dyDescent="0.25">
      <c r="A2399" t="s">
        <v>70</v>
      </c>
      <c r="B2399" t="s">
        <v>47</v>
      </c>
      <c r="C2399">
        <v>1E-4</v>
      </c>
      <c r="D2399">
        <v>1.0399999999999999E-3</v>
      </c>
      <c r="E2399">
        <v>1E-8</v>
      </c>
      <c r="F2399" t="s">
        <v>13</v>
      </c>
      <c r="G2399" t="s">
        <v>11</v>
      </c>
      <c r="H2399">
        <v>0.01</v>
      </c>
      <c r="I2399">
        <v>2</v>
      </c>
      <c r="J2399" t="s">
        <v>10</v>
      </c>
      <c r="K2399">
        <v>0.97</v>
      </c>
      <c r="L2399">
        <v>1200</v>
      </c>
      <c r="M2399">
        <v>0.96530000000000005</v>
      </c>
      <c r="N2399">
        <v>1192.0999999999999</v>
      </c>
      <c r="O2399" t="s">
        <v>2846</v>
      </c>
    </row>
    <row r="2400" spans="1:15" x14ac:dyDescent="0.25">
      <c r="A2400" t="s">
        <v>70</v>
      </c>
      <c r="B2400" t="s">
        <v>47</v>
      </c>
      <c r="C2400">
        <v>1E-4</v>
      </c>
      <c r="D2400">
        <v>1.0399999999999999E-3</v>
      </c>
      <c r="E2400">
        <v>9.9999999999999995E-8</v>
      </c>
      <c r="F2400" t="s">
        <v>13</v>
      </c>
      <c r="G2400" t="s">
        <v>11</v>
      </c>
      <c r="H2400">
        <v>0.01</v>
      </c>
      <c r="I2400">
        <v>2</v>
      </c>
      <c r="J2400" t="s">
        <v>10</v>
      </c>
      <c r="K2400">
        <v>0.97</v>
      </c>
      <c r="L2400">
        <v>1191.5</v>
      </c>
      <c r="M2400">
        <v>0.96691000000000005</v>
      </c>
      <c r="N2400">
        <v>1191.3</v>
      </c>
      <c r="O2400" t="s">
        <v>2525</v>
      </c>
    </row>
    <row r="2401" spans="1:15" x14ac:dyDescent="0.25">
      <c r="A2401" t="s">
        <v>70</v>
      </c>
      <c r="B2401" t="s">
        <v>47</v>
      </c>
      <c r="C2401">
        <v>1E-4</v>
      </c>
      <c r="D2401">
        <v>1.0399999999999999E-3</v>
      </c>
      <c r="E2401">
        <v>9.9999999999999995E-7</v>
      </c>
      <c r="F2401" t="s">
        <v>13</v>
      </c>
      <c r="G2401" t="s">
        <v>11</v>
      </c>
      <c r="H2401">
        <v>0.01</v>
      </c>
      <c r="I2401">
        <v>2</v>
      </c>
      <c r="J2401" t="s">
        <v>10</v>
      </c>
      <c r="K2401">
        <v>1.1172</v>
      </c>
      <c r="L2401">
        <v>1119.7</v>
      </c>
      <c r="M2401">
        <v>1.1168</v>
      </c>
      <c r="N2401">
        <v>1118.5999999999999</v>
      </c>
      <c r="O2401" t="s">
        <v>2847</v>
      </c>
    </row>
    <row r="2402" spans="1:15" x14ac:dyDescent="0.25">
      <c r="A2402" t="s">
        <v>70</v>
      </c>
      <c r="B2402" t="s">
        <v>47</v>
      </c>
      <c r="C2402">
        <v>1E-4</v>
      </c>
      <c r="D2402">
        <v>1.0399999999999999E-3</v>
      </c>
      <c r="E2402">
        <v>1.0000000000000001E-5</v>
      </c>
      <c r="F2402" t="s">
        <v>13</v>
      </c>
      <c r="G2402" t="s">
        <v>11</v>
      </c>
      <c r="H2402">
        <v>0.01</v>
      </c>
      <c r="I2402">
        <v>2</v>
      </c>
      <c r="J2402" t="s">
        <v>10</v>
      </c>
      <c r="K2402">
        <v>5.8400999999999996</v>
      </c>
      <c r="L2402">
        <v>353.65</v>
      </c>
      <c r="M2402">
        <v>5.8398000000000003</v>
      </c>
      <c r="N2402">
        <v>351.6</v>
      </c>
      <c r="O2402" t="s">
        <v>2526</v>
      </c>
    </row>
    <row r="2403" spans="1:15" x14ac:dyDescent="0.25">
      <c r="A2403" t="s">
        <v>70</v>
      </c>
      <c r="B2403" t="s">
        <v>47</v>
      </c>
      <c r="C2403">
        <v>1E-4</v>
      </c>
      <c r="D2403">
        <v>1.0399999999999999E-3</v>
      </c>
      <c r="E2403">
        <v>1E-4</v>
      </c>
      <c r="F2403" t="s">
        <v>13</v>
      </c>
      <c r="G2403" t="s">
        <v>11</v>
      </c>
      <c r="H2403">
        <v>0.01</v>
      </c>
      <c r="I2403">
        <v>2</v>
      </c>
      <c r="J2403" t="s">
        <v>10</v>
      </c>
      <c r="K2403">
        <v>57.911999999999999</v>
      </c>
      <c r="L2403">
        <v>316.08</v>
      </c>
      <c r="M2403">
        <v>57.911999999999999</v>
      </c>
      <c r="N2403">
        <v>315.2</v>
      </c>
      <c r="O2403" t="s">
        <v>2527</v>
      </c>
    </row>
    <row r="2404" spans="1:15" x14ac:dyDescent="0.25">
      <c r="A2404" t="s">
        <v>70</v>
      </c>
      <c r="B2404" t="s">
        <v>47</v>
      </c>
      <c r="C2404">
        <v>1E-3</v>
      </c>
      <c r="D2404">
        <v>1.04E-2</v>
      </c>
      <c r="E2404">
        <v>9.9999999999999995E-8</v>
      </c>
      <c r="F2404" t="s">
        <v>13</v>
      </c>
      <c r="G2404" t="s">
        <v>11</v>
      </c>
      <c r="H2404">
        <v>0.01</v>
      </c>
      <c r="I2404">
        <v>2</v>
      </c>
      <c r="J2404" t="s">
        <v>10</v>
      </c>
      <c r="K2404">
        <v>9.6999999999999993</v>
      </c>
      <c r="L2404">
        <v>1200</v>
      </c>
      <c r="M2404">
        <v>9.6530000000000005</v>
      </c>
      <c r="N2404">
        <v>1192.0999999999999</v>
      </c>
      <c r="O2404" t="s">
        <v>2528</v>
      </c>
    </row>
    <row r="2405" spans="1:15" x14ac:dyDescent="0.25">
      <c r="A2405" t="s">
        <v>70</v>
      </c>
      <c r="B2405" t="s">
        <v>47</v>
      </c>
      <c r="C2405">
        <v>1E-3</v>
      </c>
      <c r="D2405">
        <v>1.04E-2</v>
      </c>
      <c r="E2405">
        <v>9.9999999999999995E-7</v>
      </c>
      <c r="F2405" t="s">
        <v>13</v>
      </c>
      <c r="G2405" t="s">
        <v>11</v>
      </c>
      <c r="H2405">
        <v>0.01</v>
      </c>
      <c r="I2405">
        <v>2</v>
      </c>
      <c r="J2405" t="s">
        <v>10</v>
      </c>
      <c r="K2405">
        <v>9.6999999999999993</v>
      </c>
      <c r="L2405">
        <v>1191.5</v>
      </c>
      <c r="M2405">
        <v>9.6691000000000003</v>
      </c>
      <c r="N2405">
        <v>1191.3</v>
      </c>
      <c r="O2405" t="s">
        <v>2529</v>
      </c>
    </row>
    <row r="2406" spans="1:15" x14ac:dyDescent="0.25">
      <c r="A2406" t="s">
        <v>70</v>
      </c>
      <c r="B2406" t="s">
        <v>47</v>
      </c>
      <c r="C2406">
        <v>1E-3</v>
      </c>
      <c r="D2406">
        <v>1.04E-2</v>
      </c>
      <c r="E2406">
        <v>1.0000000000000001E-5</v>
      </c>
      <c r="F2406" t="s">
        <v>13</v>
      </c>
      <c r="G2406" t="s">
        <v>11</v>
      </c>
      <c r="H2406">
        <v>0.01</v>
      </c>
      <c r="I2406">
        <v>2</v>
      </c>
      <c r="J2406" t="s">
        <v>10</v>
      </c>
      <c r="K2406">
        <v>11.172000000000001</v>
      </c>
      <c r="L2406">
        <v>1119.7</v>
      </c>
      <c r="M2406">
        <v>11.167999999999999</v>
      </c>
      <c r="N2406">
        <v>1118.5999999999999</v>
      </c>
      <c r="O2406" t="s">
        <v>2848</v>
      </c>
    </row>
    <row r="2407" spans="1:15" x14ac:dyDescent="0.25">
      <c r="A2407" t="s">
        <v>70</v>
      </c>
      <c r="B2407" t="s">
        <v>47</v>
      </c>
      <c r="C2407">
        <v>1E-3</v>
      </c>
      <c r="D2407">
        <v>1.04E-2</v>
      </c>
      <c r="E2407">
        <v>1E-4</v>
      </c>
      <c r="F2407" t="s">
        <v>13</v>
      </c>
      <c r="G2407" t="s">
        <v>11</v>
      </c>
      <c r="H2407">
        <v>0.01</v>
      </c>
      <c r="I2407">
        <v>2</v>
      </c>
      <c r="J2407" t="s">
        <v>10</v>
      </c>
      <c r="K2407">
        <v>58.401000000000003</v>
      </c>
      <c r="L2407">
        <v>353.65</v>
      </c>
      <c r="M2407">
        <v>58.398000000000003</v>
      </c>
      <c r="N2407">
        <v>351.6</v>
      </c>
      <c r="O2407" t="s">
        <v>2530</v>
      </c>
    </row>
    <row r="2408" spans="1:15" x14ac:dyDescent="0.25">
      <c r="A2408" t="s">
        <v>70</v>
      </c>
      <c r="B2408" t="s">
        <v>47</v>
      </c>
      <c r="C2408">
        <v>1E-3</v>
      </c>
      <c r="D2408">
        <v>1.04E-2</v>
      </c>
      <c r="E2408">
        <v>1E-3</v>
      </c>
      <c r="F2408" t="s">
        <v>13</v>
      </c>
      <c r="G2408" t="s">
        <v>11</v>
      </c>
      <c r="H2408">
        <v>0.01</v>
      </c>
      <c r="I2408">
        <v>2</v>
      </c>
      <c r="J2408" t="s">
        <v>10</v>
      </c>
      <c r="K2408">
        <v>579.12</v>
      </c>
      <c r="L2408">
        <v>316.08</v>
      </c>
      <c r="M2408">
        <v>579.12</v>
      </c>
      <c r="N2408">
        <v>315.2</v>
      </c>
      <c r="O2408" t="s">
        <v>2849</v>
      </c>
    </row>
    <row r="2409" spans="1:15" x14ac:dyDescent="0.25">
      <c r="A2409" t="s">
        <v>70</v>
      </c>
      <c r="B2409" t="s">
        <v>47</v>
      </c>
      <c r="C2409">
        <v>0.01</v>
      </c>
      <c r="D2409">
        <v>0.104</v>
      </c>
      <c r="E2409">
        <v>9.9999999999999995E-7</v>
      </c>
      <c r="F2409" t="s">
        <v>13</v>
      </c>
      <c r="G2409" t="s">
        <v>11</v>
      </c>
      <c r="H2409">
        <v>0.01</v>
      </c>
      <c r="I2409">
        <v>2</v>
      </c>
      <c r="J2409" t="s">
        <v>10</v>
      </c>
      <c r="K2409">
        <v>97</v>
      </c>
      <c r="L2409">
        <v>1200</v>
      </c>
      <c r="M2409">
        <v>96.53</v>
      </c>
      <c r="N2409">
        <v>1192.0999999999999</v>
      </c>
      <c r="O2409" t="s">
        <v>2850</v>
      </c>
    </row>
    <row r="2410" spans="1:15" x14ac:dyDescent="0.25">
      <c r="A2410" t="s">
        <v>70</v>
      </c>
      <c r="B2410" t="s">
        <v>47</v>
      </c>
      <c r="C2410">
        <v>0.01</v>
      </c>
      <c r="D2410">
        <v>0.104</v>
      </c>
      <c r="E2410">
        <v>1.0000000000000001E-5</v>
      </c>
      <c r="F2410" t="s">
        <v>13</v>
      </c>
      <c r="G2410" t="s">
        <v>11</v>
      </c>
      <c r="H2410">
        <v>0.01</v>
      </c>
      <c r="I2410">
        <v>2</v>
      </c>
      <c r="J2410" t="s">
        <v>10</v>
      </c>
      <c r="K2410">
        <v>97</v>
      </c>
      <c r="L2410">
        <v>1191.5</v>
      </c>
      <c r="M2410">
        <v>96.691000000000003</v>
      </c>
      <c r="N2410">
        <v>1191.3</v>
      </c>
      <c r="O2410" t="s">
        <v>2851</v>
      </c>
    </row>
    <row r="2411" spans="1:15" x14ac:dyDescent="0.25">
      <c r="A2411" t="s">
        <v>70</v>
      </c>
      <c r="B2411" t="s">
        <v>47</v>
      </c>
      <c r="C2411">
        <v>0.01</v>
      </c>
      <c r="D2411">
        <v>0.104</v>
      </c>
      <c r="E2411">
        <v>1E-4</v>
      </c>
      <c r="F2411" t="s">
        <v>13</v>
      </c>
      <c r="G2411" t="s">
        <v>11</v>
      </c>
      <c r="H2411">
        <v>0.01</v>
      </c>
      <c r="I2411">
        <v>2</v>
      </c>
      <c r="J2411" t="s">
        <v>10</v>
      </c>
      <c r="K2411">
        <v>111.72</v>
      </c>
      <c r="L2411">
        <v>1119.7</v>
      </c>
      <c r="M2411">
        <v>111.68</v>
      </c>
      <c r="N2411">
        <v>1118.5999999999999</v>
      </c>
      <c r="O2411" t="s">
        <v>2531</v>
      </c>
    </row>
    <row r="2412" spans="1:15" x14ac:dyDescent="0.25">
      <c r="A2412" t="s">
        <v>70</v>
      </c>
      <c r="B2412" t="s">
        <v>47</v>
      </c>
      <c r="C2412">
        <v>0.01</v>
      </c>
      <c r="D2412">
        <v>0.104</v>
      </c>
      <c r="E2412">
        <v>1E-3</v>
      </c>
      <c r="F2412" t="s">
        <v>13</v>
      </c>
      <c r="G2412" t="s">
        <v>11</v>
      </c>
      <c r="H2412">
        <v>0.01</v>
      </c>
      <c r="I2412">
        <v>2</v>
      </c>
      <c r="J2412" t="s">
        <v>10</v>
      </c>
      <c r="K2412">
        <v>583.96</v>
      </c>
      <c r="L2412">
        <v>353.65</v>
      </c>
      <c r="M2412">
        <v>583.98</v>
      </c>
      <c r="N2412">
        <v>351.6</v>
      </c>
      <c r="O2412" t="s">
        <v>2532</v>
      </c>
    </row>
    <row r="2413" spans="1:15" x14ac:dyDescent="0.25">
      <c r="A2413" t="s">
        <v>70</v>
      </c>
      <c r="B2413" t="s">
        <v>47</v>
      </c>
      <c r="C2413">
        <v>0.01</v>
      </c>
      <c r="D2413">
        <v>0.104</v>
      </c>
      <c r="E2413">
        <v>0.01</v>
      </c>
      <c r="F2413" t="s">
        <v>13</v>
      </c>
      <c r="G2413" t="s">
        <v>11</v>
      </c>
      <c r="H2413">
        <v>0.01</v>
      </c>
      <c r="I2413">
        <v>2</v>
      </c>
      <c r="J2413" t="s">
        <v>10</v>
      </c>
      <c r="K2413">
        <v>5791.2</v>
      </c>
      <c r="L2413">
        <v>316.08</v>
      </c>
      <c r="M2413">
        <v>5791.2</v>
      </c>
      <c r="N2413">
        <v>315.2</v>
      </c>
      <c r="O2413" t="s">
        <v>2852</v>
      </c>
    </row>
    <row r="2414" spans="1:15" x14ac:dyDescent="0.25">
      <c r="A2414" t="s">
        <v>70</v>
      </c>
      <c r="B2414" t="s">
        <v>47</v>
      </c>
      <c r="C2414">
        <v>0.1</v>
      </c>
      <c r="D2414">
        <v>1.04</v>
      </c>
      <c r="E2414">
        <v>1.0000000000000001E-5</v>
      </c>
      <c r="F2414" t="s">
        <v>13</v>
      </c>
      <c r="G2414" t="s">
        <v>12</v>
      </c>
      <c r="H2414">
        <v>0.01</v>
      </c>
      <c r="I2414">
        <v>2</v>
      </c>
      <c r="J2414" t="s">
        <v>10</v>
      </c>
      <c r="K2414">
        <v>1</v>
      </c>
      <c r="L2414">
        <v>1.5</v>
      </c>
      <c r="M2414">
        <v>0.99589000000000005</v>
      </c>
      <c r="N2414">
        <v>1.4890000000000001</v>
      </c>
      <c r="O2414" t="s">
        <v>2533</v>
      </c>
    </row>
    <row r="2415" spans="1:15" x14ac:dyDescent="0.25">
      <c r="A2415" t="s">
        <v>70</v>
      </c>
      <c r="B2415" t="s">
        <v>47</v>
      </c>
      <c r="C2415">
        <v>0.1</v>
      </c>
      <c r="D2415">
        <v>1.04</v>
      </c>
      <c r="E2415">
        <v>1E-4</v>
      </c>
      <c r="F2415" t="s">
        <v>13</v>
      </c>
      <c r="G2415" t="s">
        <v>12</v>
      </c>
      <c r="H2415">
        <v>0.01</v>
      </c>
      <c r="I2415">
        <v>2</v>
      </c>
      <c r="J2415" t="s">
        <v>10</v>
      </c>
      <c r="K2415">
        <v>1</v>
      </c>
      <c r="L2415">
        <v>1.4883999999999999</v>
      </c>
      <c r="M2415">
        <v>0.99738000000000004</v>
      </c>
      <c r="N2415">
        <v>1.4882</v>
      </c>
      <c r="O2415" t="s">
        <v>2534</v>
      </c>
    </row>
    <row r="2416" spans="1:15" x14ac:dyDescent="0.25">
      <c r="A2416" t="s">
        <v>70</v>
      </c>
      <c r="B2416" t="s">
        <v>47</v>
      </c>
      <c r="C2416">
        <v>0.1</v>
      </c>
      <c r="D2416">
        <v>1.04</v>
      </c>
      <c r="E2416">
        <v>1E-3</v>
      </c>
      <c r="F2416" t="s">
        <v>13</v>
      </c>
      <c r="G2416" t="s">
        <v>12</v>
      </c>
      <c r="H2416">
        <v>0.01</v>
      </c>
      <c r="I2416">
        <v>2</v>
      </c>
      <c r="J2416" t="s">
        <v>10</v>
      </c>
      <c r="K2416">
        <v>1.1829000000000001</v>
      </c>
      <c r="L2416">
        <v>1.4133</v>
      </c>
      <c r="M2416">
        <v>1.1409</v>
      </c>
      <c r="N2416">
        <v>1.4124000000000001</v>
      </c>
      <c r="O2416" t="s">
        <v>2535</v>
      </c>
    </row>
    <row r="2417" spans="1:15" x14ac:dyDescent="0.25">
      <c r="A2417" t="s">
        <v>70</v>
      </c>
      <c r="B2417" t="s">
        <v>47</v>
      </c>
      <c r="C2417">
        <v>0.1</v>
      </c>
      <c r="D2417">
        <v>1.04</v>
      </c>
      <c r="E2417">
        <v>0.01</v>
      </c>
      <c r="F2417" t="s">
        <v>13</v>
      </c>
      <c r="G2417" t="s">
        <v>12</v>
      </c>
      <c r="H2417">
        <v>0.01</v>
      </c>
      <c r="I2417">
        <v>2</v>
      </c>
      <c r="J2417" t="s">
        <v>10</v>
      </c>
      <c r="K2417">
        <v>5.9116</v>
      </c>
      <c r="L2417">
        <v>0.47821000000000002</v>
      </c>
      <c r="M2417">
        <v>5.8383000000000003</v>
      </c>
      <c r="N2417">
        <v>0.47621000000000002</v>
      </c>
      <c r="O2417" t="s">
        <v>2536</v>
      </c>
    </row>
    <row r="2418" spans="1:15" x14ac:dyDescent="0.25">
      <c r="A2418" t="s">
        <v>70</v>
      </c>
      <c r="B2418" t="s">
        <v>47</v>
      </c>
      <c r="C2418">
        <v>0.1</v>
      </c>
      <c r="D2418">
        <v>1.04</v>
      </c>
      <c r="E2418">
        <v>0.1</v>
      </c>
      <c r="F2418" t="s">
        <v>13</v>
      </c>
      <c r="G2418" t="s">
        <v>12</v>
      </c>
      <c r="H2418">
        <v>0.01</v>
      </c>
      <c r="I2418">
        <v>2</v>
      </c>
      <c r="J2418" t="s">
        <v>10</v>
      </c>
      <c r="K2418">
        <v>57.947000000000003</v>
      </c>
      <c r="L2418">
        <v>0.32961000000000001</v>
      </c>
      <c r="M2418">
        <v>57.91</v>
      </c>
      <c r="N2418">
        <v>0.32873000000000002</v>
      </c>
      <c r="O2418" t="s">
        <v>2537</v>
      </c>
    </row>
    <row r="2419" spans="1:15" x14ac:dyDescent="0.25">
      <c r="A2419" t="s">
        <v>70</v>
      </c>
      <c r="B2419" t="s">
        <v>47</v>
      </c>
      <c r="C2419">
        <v>1</v>
      </c>
      <c r="D2419">
        <v>10.4</v>
      </c>
      <c r="E2419">
        <v>1E-4</v>
      </c>
      <c r="F2419" t="s">
        <v>13</v>
      </c>
      <c r="G2419" t="s">
        <v>12</v>
      </c>
      <c r="H2419">
        <v>0.01</v>
      </c>
      <c r="I2419">
        <v>2</v>
      </c>
      <c r="J2419" t="s">
        <v>10</v>
      </c>
      <c r="K2419">
        <v>18</v>
      </c>
      <c r="L2419">
        <v>1.4</v>
      </c>
      <c r="M2419">
        <v>17.128</v>
      </c>
      <c r="N2419">
        <v>1.4000999999999999</v>
      </c>
      <c r="O2419" t="s">
        <v>2538</v>
      </c>
    </row>
    <row r="2420" spans="1:15" x14ac:dyDescent="0.25">
      <c r="A2420" t="s">
        <v>70</v>
      </c>
      <c r="B2420" t="s">
        <v>47</v>
      </c>
      <c r="C2420">
        <v>1</v>
      </c>
      <c r="D2420">
        <v>10.4</v>
      </c>
      <c r="E2420">
        <v>1E-3</v>
      </c>
      <c r="F2420" t="s">
        <v>13</v>
      </c>
      <c r="G2420" t="s">
        <v>12</v>
      </c>
      <c r="H2420">
        <v>0.01</v>
      </c>
      <c r="I2420">
        <v>2</v>
      </c>
      <c r="J2420" t="s">
        <v>10</v>
      </c>
      <c r="K2420">
        <v>18</v>
      </c>
      <c r="L2420">
        <v>1.3998999999999999</v>
      </c>
      <c r="M2420">
        <v>17.138000000000002</v>
      </c>
      <c r="N2420">
        <v>1.3996999999999999</v>
      </c>
      <c r="O2420" t="s">
        <v>2539</v>
      </c>
    </row>
    <row r="2421" spans="1:15" x14ac:dyDescent="0.25">
      <c r="A2421" t="s">
        <v>70</v>
      </c>
      <c r="B2421" t="s">
        <v>47</v>
      </c>
      <c r="C2421">
        <v>1</v>
      </c>
      <c r="D2421">
        <v>10.4</v>
      </c>
      <c r="E2421">
        <v>0.01</v>
      </c>
      <c r="F2421" t="s">
        <v>13</v>
      </c>
      <c r="G2421" t="s">
        <v>12</v>
      </c>
      <c r="H2421">
        <v>0.01</v>
      </c>
      <c r="I2421">
        <v>2</v>
      </c>
      <c r="J2421" t="s">
        <v>10</v>
      </c>
      <c r="K2421">
        <v>18.047000000000001</v>
      </c>
      <c r="L2421">
        <v>1.3634999999999999</v>
      </c>
      <c r="M2421">
        <v>18.045000000000002</v>
      </c>
      <c r="N2421">
        <v>1.3626</v>
      </c>
      <c r="O2421" t="s">
        <v>2853</v>
      </c>
    </row>
    <row r="2422" spans="1:15" x14ac:dyDescent="0.25">
      <c r="A2422" t="s">
        <v>70</v>
      </c>
      <c r="B2422" t="s">
        <v>47</v>
      </c>
      <c r="C2422">
        <v>1</v>
      </c>
      <c r="D2422">
        <v>10.4</v>
      </c>
      <c r="E2422">
        <v>0.1</v>
      </c>
      <c r="F2422" t="s">
        <v>13</v>
      </c>
      <c r="G2422" t="s">
        <v>12</v>
      </c>
      <c r="H2422">
        <v>0.01</v>
      </c>
      <c r="I2422">
        <v>2</v>
      </c>
      <c r="J2422" t="s">
        <v>10</v>
      </c>
      <c r="K2422">
        <v>60.057000000000002</v>
      </c>
      <c r="L2422">
        <v>0.58243</v>
      </c>
      <c r="M2422">
        <v>60.055</v>
      </c>
      <c r="N2422">
        <v>0.58052000000000004</v>
      </c>
      <c r="O2422" t="s">
        <v>2540</v>
      </c>
    </row>
    <row r="2423" spans="1:15" x14ac:dyDescent="0.25">
      <c r="A2423" t="s">
        <v>70</v>
      </c>
      <c r="B2423" t="s">
        <v>47</v>
      </c>
      <c r="C2423">
        <v>1</v>
      </c>
      <c r="D2423">
        <v>10.4</v>
      </c>
      <c r="E2423">
        <v>1</v>
      </c>
      <c r="F2423" t="s">
        <v>13</v>
      </c>
      <c r="G2423" t="s">
        <v>12</v>
      </c>
      <c r="H2423">
        <v>0.01</v>
      </c>
      <c r="I2423">
        <v>2</v>
      </c>
      <c r="J2423" t="s">
        <v>10</v>
      </c>
      <c r="K2423">
        <v>579.27</v>
      </c>
      <c r="L2423">
        <v>0.34275</v>
      </c>
      <c r="M2423">
        <v>579.27</v>
      </c>
      <c r="N2423">
        <v>0.34186</v>
      </c>
      <c r="O2423" t="s">
        <v>2854</v>
      </c>
    </row>
    <row r="2424" spans="1:15" x14ac:dyDescent="0.25">
      <c r="A2424" t="s">
        <v>70</v>
      </c>
      <c r="B2424" t="s">
        <v>8</v>
      </c>
      <c r="C2424">
        <v>0</v>
      </c>
      <c r="D2424">
        <v>0.1</v>
      </c>
      <c r="E2424">
        <v>9.9999999999999995E-7</v>
      </c>
      <c r="F2424" t="s">
        <v>6</v>
      </c>
      <c r="G2424" t="s">
        <v>5</v>
      </c>
      <c r="H2424">
        <v>2</v>
      </c>
      <c r="I2424">
        <v>20</v>
      </c>
      <c r="J2424" t="s">
        <v>10</v>
      </c>
      <c r="K2424">
        <v>36</v>
      </c>
      <c r="L2424">
        <v>930</v>
      </c>
      <c r="M2424">
        <v>35.470999999999997</v>
      </c>
      <c r="N2424">
        <v>926.49</v>
      </c>
      <c r="O2424" t="s">
        <v>2835</v>
      </c>
    </row>
    <row r="2425" spans="1:15" x14ac:dyDescent="0.25">
      <c r="A2425" t="s">
        <v>70</v>
      </c>
      <c r="B2425" t="s">
        <v>8</v>
      </c>
      <c r="C2425">
        <v>0</v>
      </c>
      <c r="D2425">
        <v>0.1</v>
      </c>
      <c r="E2425">
        <v>9.9999999999999995E-7</v>
      </c>
      <c r="F2425" t="s">
        <v>6</v>
      </c>
      <c r="G2425" t="s">
        <v>5</v>
      </c>
      <c r="H2425">
        <v>0.01</v>
      </c>
      <c r="I2425">
        <v>2</v>
      </c>
      <c r="J2425" t="s">
        <v>10</v>
      </c>
      <c r="K2425">
        <v>35</v>
      </c>
      <c r="L2425">
        <v>940</v>
      </c>
      <c r="M2425">
        <v>34.74</v>
      </c>
      <c r="N2425">
        <v>937.4</v>
      </c>
      <c r="O2425" t="s">
        <v>2491</v>
      </c>
    </row>
    <row r="2426" spans="1:15" x14ac:dyDescent="0.25">
      <c r="A2426" t="s">
        <v>70</v>
      </c>
      <c r="B2426" t="s">
        <v>8</v>
      </c>
      <c r="C2426">
        <v>0</v>
      </c>
      <c r="D2426">
        <v>0.1</v>
      </c>
      <c r="E2426">
        <v>1.0000000000000001E-5</v>
      </c>
      <c r="F2426" t="s">
        <v>6</v>
      </c>
      <c r="G2426" t="s">
        <v>5</v>
      </c>
      <c r="H2426">
        <v>0.01</v>
      </c>
      <c r="I2426">
        <v>2</v>
      </c>
      <c r="J2426" t="s">
        <v>10</v>
      </c>
      <c r="K2426">
        <v>35.161999999999999</v>
      </c>
      <c r="L2426">
        <v>934.08</v>
      </c>
      <c r="M2426">
        <v>35.156999999999996</v>
      </c>
      <c r="N2426">
        <v>934.05</v>
      </c>
      <c r="O2426" t="s">
        <v>2836</v>
      </c>
    </row>
    <row r="2427" spans="1:15" x14ac:dyDescent="0.25">
      <c r="A2427" t="s">
        <v>70</v>
      </c>
      <c r="B2427" t="s">
        <v>8</v>
      </c>
      <c r="C2427">
        <v>0</v>
      </c>
      <c r="D2427">
        <v>0.1</v>
      </c>
      <c r="E2427">
        <v>1.0000000000000001E-5</v>
      </c>
      <c r="F2427" t="s">
        <v>6</v>
      </c>
      <c r="G2427" t="s">
        <v>5</v>
      </c>
      <c r="H2427">
        <v>2</v>
      </c>
      <c r="I2427">
        <v>20</v>
      </c>
      <c r="J2427" t="s">
        <v>10</v>
      </c>
      <c r="K2427">
        <v>36</v>
      </c>
      <c r="L2427">
        <v>923.18</v>
      </c>
      <c r="M2427">
        <v>35.865000000000002</v>
      </c>
      <c r="N2427">
        <v>923.15</v>
      </c>
      <c r="O2427" t="s">
        <v>2837</v>
      </c>
    </row>
    <row r="2428" spans="1:15" x14ac:dyDescent="0.25">
      <c r="A2428" t="s">
        <v>70</v>
      </c>
      <c r="B2428" t="s">
        <v>8</v>
      </c>
      <c r="C2428">
        <v>0</v>
      </c>
      <c r="D2428">
        <v>0.1</v>
      </c>
      <c r="E2428">
        <v>1E-4</v>
      </c>
      <c r="F2428" t="s">
        <v>6</v>
      </c>
      <c r="G2428" t="s">
        <v>5</v>
      </c>
      <c r="H2428">
        <v>0.01</v>
      </c>
      <c r="I2428">
        <v>2</v>
      </c>
      <c r="J2428" t="s">
        <v>10</v>
      </c>
      <c r="K2428">
        <v>67.116</v>
      </c>
      <c r="L2428">
        <v>737.26</v>
      </c>
      <c r="M2428">
        <v>67.105000000000004</v>
      </c>
      <c r="N2428">
        <v>737.07</v>
      </c>
      <c r="O2428" t="s">
        <v>2493</v>
      </c>
    </row>
    <row r="2429" spans="1:15" x14ac:dyDescent="0.25">
      <c r="A2429" t="s">
        <v>70</v>
      </c>
      <c r="B2429" t="s">
        <v>8</v>
      </c>
      <c r="C2429">
        <v>0</v>
      </c>
      <c r="D2429">
        <v>0.1</v>
      </c>
      <c r="E2429">
        <v>1E-4</v>
      </c>
      <c r="F2429" t="s">
        <v>6</v>
      </c>
      <c r="G2429" t="s">
        <v>5</v>
      </c>
      <c r="H2429">
        <v>2</v>
      </c>
      <c r="I2429">
        <v>20</v>
      </c>
      <c r="J2429" t="s">
        <v>10</v>
      </c>
      <c r="K2429">
        <v>67.126000000000005</v>
      </c>
      <c r="L2429">
        <v>727.32</v>
      </c>
      <c r="M2429">
        <v>67.116</v>
      </c>
      <c r="N2429">
        <v>727.12</v>
      </c>
      <c r="O2429" t="s">
        <v>2492</v>
      </c>
    </row>
    <row r="2430" spans="1:15" x14ac:dyDescent="0.25">
      <c r="A2430" t="s">
        <v>70</v>
      </c>
      <c r="B2430" t="s">
        <v>8</v>
      </c>
      <c r="C2430">
        <v>0</v>
      </c>
      <c r="D2430">
        <v>0.1</v>
      </c>
      <c r="E2430">
        <v>1E-3</v>
      </c>
      <c r="F2430" t="s">
        <v>6</v>
      </c>
      <c r="G2430" t="s">
        <v>5</v>
      </c>
      <c r="H2430">
        <v>0.01</v>
      </c>
      <c r="I2430">
        <v>2</v>
      </c>
      <c r="J2430" t="s">
        <v>10</v>
      </c>
      <c r="K2430">
        <v>578.33000000000004</v>
      </c>
      <c r="L2430">
        <v>131.69</v>
      </c>
      <c r="M2430">
        <v>578.32000000000005</v>
      </c>
      <c r="N2430">
        <v>131.46</v>
      </c>
      <c r="O2430" t="s">
        <v>2495</v>
      </c>
    </row>
    <row r="2431" spans="1:15" x14ac:dyDescent="0.25">
      <c r="A2431" t="s">
        <v>70</v>
      </c>
      <c r="B2431" t="s">
        <v>8</v>
      </c>
      <c r="C2431">
        <v>0</v>
      </c>
      <c r="D2431">
        <v>0.1</v>
      </c>
      <c r="E2431">
        <v>1E-3</v>
      </c>
      <c r="F2431" t="s">
        <v>6</v>
      </c>
      <c r="G2431" t="s">
        <v>5</v>
      </c>
      <c r="H2431">
        <v>2</v>
      </c>
      <c r="I2431">
        <v>20</v>
      </c>
      <c r="J2431" t="s">
        <v>10</v>
      </c>
      <c r="K2431">
        <v>578.33000000000004</v>
      </c>
      <c r="L2431">
        <v>129.33000000000001</v>
      </c>
      <c r="M2431">
        <v>578.32000000000005</v>
      </c>
      <c r="N2431">
        <v>129.1</v>
      </c>
      <c r="O2431" t="s">
        <v>2494</v>
      </c>
    </row>
    <row r="2432" spans="1:15" x14ac:dyDescent="0.25">
      <c r="A2432" t="s">
        <v>70</v>
      </c>
      <c r="B2432" t="s">
        <v>8</v>
      </c>
      <c r="C2432">
        <v>0</v>
      </c>
      <c r="D2432">
        <v>0.1</v>
      </c>
      <c r="E2432">
        <v>0.01</v>
      </c>
      <c r="F2432" t="s">
        <v>6</v>
      </c>
      <c r="G2432" t="s">
        <v>5</v>
      </c>
      <c r="H2432">
        <v>2</v>
      </c>
      <c r="I2432">
        <v>20</v>
      </c>
      <c r="J2432" t="s">
        <v>10</v>
      </c>
      <c r="K2432">
        <v>5773.7</v>
      </c>
      <c r="L2432">
        <v>13.173</v>
      </c>
      <c r="M2432">
        <v>5773.6</v>
      </c>
      <c r="N2432">
        <v>13.074999999999999</v>
      </c>
      <c r="O2432" t="s">
        <v>2496</v>
      </c>
    </row>
    <row r="2433" spans="1:15" x14ac:dyDescent="0.25">
      <c r="A2433" t="s">
        <v>70</v>
      </c>
      <c r="B2433" t="s">
        <v>8</v>
      </c>
      <c r="C2433">
        <v>0</v>
      </c>
      <c r="D2433">
        <v>0.1</v>
      </c>
      <c r="E2433">
        <v>0.01</v>
      </c>
      <c r="F2433" t="s">
        <v>6</v>
      </c>
      <c r="G2433" t="s">
        <v>5</v>
      </c>
      <c r="H2433">
        <v>0.01</v>
      </c>
      <c r="I2433">
        <v>2</v>
      </c>
      <c r="J2433" t="s">
        <v>10</v>
      </c>
      <c r="K2433">
        <v>5773.7</v>
      </c>
      <c r="L2433">
        <v>13.414999999999999</v>
      </c>
      <c r="M2433">
        <v>5773.6</v>
      </c>
      <c r="N2433">
        <v>13.317</v>
      </c>
      <c r="O2433" t="s">
        <v>2497</v>
      </c>
    </row>
    <row r="2434" spans="1:15" x14ac:dyDescent="0.25">
      <c r="A2434" t="s">
        <v>70</v>
      </c>
      <c r="B2434" t="s">
        <v>8</v>
      </c>
      <c r="C2434">
        <v>0.1</v>
      </c>
      <c r="D2434">
        <v>1</v>
      </c>
      <c r="E2434">
        <v>1.0000000000000001E-5</v>
      </c>
      <c r="F2434" t="s">
        <v>6</v>
      </c>
      <c r="G2434" t="s">
        <v>5</v>
      </c>
      <c r="H2434">
        <v>2</v>
      </c>
      <c r="I2434">
        <v>20</v>
      </c>
      <c r="J2434" t="s">
        <v>10</v>
      </c>
      <c r="K2434">
        <v>850</v>
      </c>
      <c r="L2434">
        <v>1700</v>
      </c>
      <c r="M2434">
        <v>808.55</v>
      </c>
      <c r="N2434">
        <v>1738.9</v>
      </c>
      <c r="O2434" t="s">
        <v>2499</v>
      </c>
    </row>
    <row r="2435" spans="1:15" x14ac:dyDescent="0.25">
      <c r="A2435" t="s">
        <v>70</v>
      </c>
      <c r="B2435" t="s">
        <v>8</v>
      </c>
      <c r="C2435">
        <v>0.1</v>
      </c>
      <c r="D2435">
        <v>1</v>
      </c>
      <c r="E2435">
        <v>1.0000000000000001E-5</v>
      </c>
      <c r="F2435" t="s">
        <v>6</v>
      </c>
      <c r="G2435" t="s">
        <v>5</v>
      </c>
      <c r="H2435">
        <v>0.01</v>
      </c>
      <c r="I2435">
        <v>2</v>
      </c>
      <c r="J2435" t="s">
        <v>10</v>
      </c>
      <c r="K2435">
        <v>350</v>
      </c>
      <c r="L2435">
        <v>940</v>
      </c>
      <c r="M2435">
        <v>347.15</v>
      </c>
      <c r="N2435">
        <v>937.18</v>
      </c>
      <c r="O2435" t="s">
        <v>2498</v>
      </c>
    </row>
    <row r="2436" spans="1:15" x14ac:dyDescent="0.25">
      <c r="A2436" t="s">
        <v>70</v>
      </c>
      <c r="B2436" t="s">
        <v>8</v>
      </c>
      <c r="C2436">
        <v>0.1</v>
      </c>
      <c r="D2436">
        <v>1</v>
      </c>
      <c r="E2436">
        <v>1E-4</v>
      </c>
      <c r="F2436" t="s">
        <v>6</v>
      </c>
      <c r="G2436" t="s">
        <v>5</v>
      </c>
      <c r="H2436">
        <v>2</v>
      </c>
      <c r="I2436">
        <v>20</v>
      </c>
      <c r="J2436" t="s">
        <v>10</v>
      </c>
      <c r="K2436">
        <v>850</v>
      </c>
      <c r="L2436">
        <v>1737.8</v>
      </c>
      <c r="M2436">
        <v>810.33</v>
      </c>
      <c r="N2436">
        <v>1737.8</v>
      </c>
      <c r="O2436" t="s">
        <v>2500</v>
      </c>
    </row>
    <row r="2437" spans="1:15" x14ac:dyDescent="0.25">
      <c r="A2437" t="s">
        <v>70</v>
      </c>
      <c r="B2437" t="s">
        <v>8</v>
      </c>
      <c r="C2437">
        <v>0.1</v>
      </c>
      <c r="D2437">
        <v>1</v>
      </c>
      <c r="E2437">
        <v>1E-4</v>
      </c>
      <c r="F2437" t="s">
        <v>6</v>
      </c>
      <c r="G2437" t="s">
        <v>5</v>
      </c>
      <c r="H2437">
        <v>0.01</v>
      </c>
      <c r="I2437">
        <v>2</v>
      </c>
      <c r="J2437" t="s">
        <v>10</v>
      </c>
      <c r="K2437">
        <v>351.19</v>
      </c>
      <c r="L2437">
        <v>934.51</v>
      </c>
      <c r="M2437">
        <v>351.16</v>
      </c>
      <c r="N2437">
        <v>934.46</v>
      </c>
      <c r="O2437" t="s">
        <v>2838</v>
      </c>
    </row>
    <row r="2438" spans="1:15" x14ac:dyDescent="0.25">
      <c r="A2438" t="s">
        <v>70</v>
      </c>
      <c r="B2438" t="s">
        <v>8</v>
      </c>
      <c r="C2438">
        <v>0.1</v>
      </c>
      <c r="D2438">
        <v>1</v>
      </c>
      <c r="E2438">
        <v>1E-3</v>
      </c>
      <c r="F2438" t="s">
        <v>6</v>
      </c>
      <c r="G2438" t="s">
        <v>5</v>
      </c>
      <c r="H2438">
        <v>2</v>
      </c>
      <c r="I2438">
        <v>20</v>
      </c>
      <c r="J2438" t="s">
        <v>10</v>
      </c>
      <c r="K2438">
        <v>976.25</v>
      </c>
      <c r="L2438">
        <v>1636.3</v>
      </c>
      <c r="M2438">
        <v>975.89</v>
      </c>
      <c r="N2438">
        <v>1636.2</v>
      </c>
      <c r="O2438" t="s">
        <v>2502</v>
      </c>
    </row>
    <row r="2439" spans="1:15" x14ac:dyDescent="0.25">
      <c r="A2439" t="s">
        <v>70</v>
      </c>
      <c r="B2439" t="s">
        <v>8</v>
      </c>
      <c r="C2439">
        <v>0.1</v>
      </c>
      <c r="D2439">
        <v>1</v>
      </c>
      <c r="E2439">
        <v>1E-3</v>
      </c>
      <c r="F2439" t="s">
        <v>6</v>
      </c>
      <c r="G2439" t="s">
        <v>5</v>
      </c>
      <c r="H2439">
        <v>0.01</v>
      </c>
      <c r="I2439">
        <v>2</v>
      </c>
      <c r="J2439" t="s">
        <v>10</v>
      </c>
      <c r="K2439">
        <v>650.74</v>
      </c>
      <c r="L2439">
        <v>757.68</v>
      </c>
      <c r="M2439">
        <v>650.66</v>
      </c>
      <c r="N2439">
        <v>757.46</v>
      </c>
      <c r="O2439" t="s">
        <v>2501</v>
      </c>
    </row>
    <row r="2440" spans="1:15" x14ac:dyDescent="0.25">
      <c r="A2440" t="s">
        <v>70</v>
      </c>
      <c r="B2440" t="s">
        <v>8</v>
      </c>
      <c r="C2440">
        <v>0.1</v>
      </c>
      <c r="D2440">
        <v>1</v>
      </c>
      <c r="E2440">
        <v>0.01</v>
      </c>
      <c r="F2440" t="s">
        <v>6</v>
      </c>
      <c r="G2440" t="s">
        <v>5</v>
      </c>
      <c r="H2440">
        <v>2</v>
      </c>
      <c r="I2440">
        <v>20</v>
      </c>
      <c r="J2440" t="s">
        <v>10</v>
      </c>
      <c r="K2440">
        <v>5806.3</v>
      </c>
      <c r="L2440">
        <v>505.05</v>
      </c>
      <c r="M2440">
        <v>5806.1</v>
      </c>
      <c r="N2440">
        <v>504.49</v>
      </c>
      <c r="O2440" t="s">
        <v>2839</v>
      </c>
    </row>
    <row r="2441" spans="1:15" x14ac:dyDescent="0.25">
      <c r="A2441" t="s">
        <v>70</v>
      </c>
      <c r="B2441" t="s">
        <v>8</v>
      </c>
      <c r="C2441">
        <v>0.1</v>
      </c>
      <c r="D2441">
        <v>1</v>
      </c>
      <c r="E2441">
        <v>0.01</v>
      </c>
      <c r="F2441" t="s">
        <v>6</v>
      </c>
      <c r="G2441" t="s">
        <v>5</v>
      </c>
      <c r="H2441">
        <v>0.01</v>
      </c>
      <c r="I2441">
        <v>2</v>
      </c>
      <c r="J2441" t="s">
        <v>10</v>
      </c>
      <c r="K2441">
        <v>5776.6</v>
      </c>
      <c r="L2441">
        <v>138.38999999999999</v>
      </c>
      <c r="M2441">
        <v>5776.5</v>
      </c>
      <c r="N2441">
        <v>138.13</v>
      </c>
      <c r="O2441" t="s">
        <v>2503</v>
      </c>
    </row>
    <row r="2442" spans="1:15" x14ac:dyDescent="0.25">
      <c r="A2442" t="s">
        <v>70</v>
      </c>
      <c r="B2442" t="s">
        <v>8</v>
      </c>
      <c r="C2442">
        <v>0.1</v>
      </c>
      <c r="D2442">
        <v>1</v>
      </c>
      <c r="E2442">
        <v>0.1</v>
      </c>
      <c r="F2442" t="s">
        <v>6</v>
      </c>
      <c r="G2442" t="s">
        <v>5</v>
      </c>
      <c r="H2442">
        <v>0.01</v>
      </c>
      <c r="I2442">
        <v>2</v>
      </c>
      <c r="J2442" t="s">
        <v>10</v>
      </c>
      <c r="K2442">
        <v>57736</v>
      </c>
      <c r="L2442">
        <v>14.108000000000001</v>
      </c>
      <c r="M2442">
        <v>57736</v>
      </c>
      <c r="N2442">
        <v>14</v>
      </c>
      <c r="O2442" t="s">
        <v>2840</v>
      </c>
    </row>
    <row r="2443" spans="1:15" x14ac:dyDescent="0.25">
      <c r="A2443" t="s">
        <v>70</v>
      </c>
      <c r="B2443" t="s">
        <v>8</v>
      </c>
      <c r="C2443">
        <v>0.1</v>
      </c>
      <c r="D2443">
        <v>1</v>
      </c>
      <c r="E2443">
        <v>0.1</v>
      </c>
      <c r="F2443" t="s">
        <v>6</v>
      </c>
      <c r="G2443" t="s">
        <v>5</v>
      </c>
      <c r="H2443">
        <v>2</v>
      </c>
      <c r="I2443">
        <v>20</v>
      </c>
      <c r="J2443" t="s">
        <v>10</v>
      </c>
      <c r="K2443">
        <v>57739</v>
      </c>
      <c r="L2443">
        <v>53.381</v>
      </c>
      <c r="M2443">
        <v>57739</v>
      </c>
      <c r="N2443">
        <v>53.128</v>
      </c>
      <c r="O2443" t="s">
        <v>2504</v>
      </c>
    </row>
    <row r="2444" spans="1:15" x14ac:dyDescent="0.25">
      <c r="A2444" t="s">
        <v>70</v>
      </c>
      <c r="B2444" t="s">
        <v>8</v>
      </c>
      <c r="C2444">
        <v>1</v>
      </c>
      <c r="D2444">
        <v>10</v>
      </c>
      <c r="E2444">
        <v>1E-4</v>
      </c>
      <c r="F2444" t="s">
        <v>6</v>
      </c>
      <c r="G2444" t="s">
        <v>4</v>
      </c>
      <c r="H2444">
        <v>0.01</v>
      </c>
      <c r="I2444">
        <v>2</v>
      </c>
      <c r="J2444" t="s">
        <v>10</v>
      </c>
      <c r="K2444">
        <v>3.5</v>
      </c>
      <c r="L2444">
        <v>0.94</v>
      </c>
      <c r="M2444">
        <v>3.4754999999999998</v>
      </c>
      <c r="N2444">
        <v>0.93718000000000001</v>
      </c>
      <c r="O2444" t="s">
        <v>2505</v>
      </c>
    </row>
    <row r="2445" spans="1:15" x14ac:dyDescent="0.25">
      <c r="A2445" t="s">
        <v>70</v>
      </c>
      <c r="B2445" t="s">
        <v>8</v>
      </c>
      <c r="C2445">
        <v>1</v>
      </c>
      <c r="D2445">
        <v>10</v>
      </c>
      <c r="E2445">
        <v>1E-4</v>
      </c>
      <c r="F2445" t="s">
        <v>6</v>
      </c>
      <c r="G2445" t="s">
        <v>4</v>
      </c>
      <c r="H2445">
        <v>2</v>
      </c>
      <c r="I2445">
        <v>20</v>
      </c>
      <c r="J2445" t="s">
        <v>10</v>
      </c>
      <c r="K2445">
        <v>8.1999999999999993</v>
      </c>
      <c r="L2445">
        <v>1.8</v>
      </c>
      <c r="M2445">
        <v>8.1347000000000005</v>
      </c>
      <c r="N2445">
        <v>1.7537</v>
      </c>
      <c r="O2445" t="s">
        <v>2506</v>
      </c>
    </row>
    <row r="2446" spans="1:15" x14ac:dyDescent="0.25">
      <c r="A2446" t="s">
        <v>70</v>
      </c>
      <c r="B2446" t="s">
        <v>8</v>
      </c>
      <c r="C2446">
        <v>1</v>
      </c>
      <c r="D2446">
        <v>10</v>
      </c>
      <c r="E2446">
        <v>1E-3</v>
      </c>
      <c r="F2446" t="s">
        <v>6</v>
      </c>
      <c r="G2446" t="s">
        <v>4</v>
      </c>
      <c r="H2446">
        <v>2</v>
      </c>
      <c r="I2446">
        <v>20</v>
      </c>
      <c r="J2446" t="s">
        <v>10</v>
      </c>
      <c r="K2446">
        <v>8.1999999999999993</v>
      </c>
      <c r="L2446">
        <v>1.7524999999999999</v>
      </c>
      <c r="M2446">
        <v>8.1524999999999999</v>
      </c>
      <c r="N2446">
        <v>1.7525999999999999</v>
      </c>
      <c r="O2446" t="s">
        <v>2841</v>
      </c>
    </row>
    <row r="2447" spans="1:15" x14ac:dyDescent="0.25">
      <c r="A2447" t="s">
        <v>70</v>
      </c>
      <c r="B2447" t="s">
        <v>8</v>
      </c>
      <c r="C2447">
        <v>1</v>
      </c>
      <c r="D2447">
        <v>10</v>
      </c>
      <c r="E2447">
        <v>1E-3</v>
      </c>
      <c r="F2447" t="s">
        <v>6</v>
      </c>
      <c r="G2447" t="s">
        <v>4</v>
      </c>
      <c r="H2447">
        <v>0.01</v>
      </c>
      <c r="I2447">
        <v>2</v>
      </c>
      <c r="J2447" t="s">
        <v>10</v>
      </c>
      <c r="K2447">
        <v>3.5127000000000002</v>
      </c>
      <c r="L2447">
        <v>0.93464999999999998</v>
      </c>
      <c r="M2447">
        <v>3.5116000000000001</v>
      </c>
      <c r="N2447">
        <v>0.93445999999999996</v>
      </c>
      <c r="O2447" t="s">
        <v>2507</v>
      </c>
    </row>
    <row r="2448" spans="1:15" x14ac:dyDescent="0.25">
      <c r="A2448" t="s">
        <v>70</v>
      </c>
      <c r="B2448" t="s">
        <v>8</v>
      </c>
      <c r="C2448">
        <v>1</v>
      </c>
      <c r="D2448">
        <v>10</v>
      </c>
      <c r="E2448">
        <v>0.01</v>
      </c>
      <c r="F2448" t="s">
        <v>6</v>
      </c>
      <c r="G2448" t="s">
        <v>4</v>
      </c>
      <c r="H2448">
        <v>2</v>
      </c>
      <c r="I2448">
        <v>20</v>
      </c>
      <c r="J2448" t="s">
        <v>10</v>
      </c>
      <c r="K2448">
        <v>9.8125999999999998</v>
      </c>
      <c r="L2448">
        <v>1.6513</v>
      </c>
      <c r="M2448">
        <v>9.7989999999999995</v>
      </c>
      <c r="N2448">
        <v>1.6514</v>
      </c>
      <c r="O2448" t="s">
        <v>2508</v>
      </c>
    </row>
    <row r="2449" spans="1:15" x14ac:dyDescent="0.25">
      <c r="A2449" t="s">
        <v>70</v>
      </c>
      <c r="B2449" t="s">
        <v>8</v>
      </c>
      <c r="C2449">
        <v>1</v>
      </c>
      <c r="D2449">
        <v>10</v>
      </c>
      <c r="E2449">
        <v>0.01</v>
      </c>
      <c r="F2449" t="s">
        <v>6</v>
      </c>
      <c r="G2449" t="s">
        <v>4</v>
      </c>
      <c r="H2449">
        <v>0.01</v>
      </c>
      <c r="I2449">
        <v>2</v>
      </c>
      <c r="J2449" t="s">
        <v>10</v>
      </c>
      <c r="K2449">
        <v>6.5091000000000001</v>
      </c>
      <c r="L2449">
        <v>0.75829999999999997</v>
      </c>
      <c r="M2449">
        <v>6.5065999999999997</v>
      </c>
      <c r="N2449">
        <v>0.75746000000000002</v>
      </c>
      <c r="O2449" t="s">
        <v>2509</v>
      </c>
    </row>
    <row r="2450" spans="1:15" x14ac:dyDescent="0.25">
      <c r="A2450" t="s">
        <v>70</v>
      </c>
      <c r="B2450" t="s">
        <v>8</v>
      </c>
      <c r="C2450">
        <v>1</v>
      </c>
      <c r="D2450">
        <v>10</v>
      </c>
      <c r="E2450">
        <v>0.1</v>
      </c>
      <c r="F2450" t="s">
        <v>6</v>
      </c>
      <c r="G2450" t="s">
        <v>4</v>
      </c>
      <c r="H2450">
        <v>2</v>
      </c>
      <c r="I2450">
        <v>20</v>
      </c>
      <c r="J2450" t="s">
        <v>10</v>
      </c>
      <c r="K2450">
        <v>58.073</v>
      </c>
      <c r="L2450">
        <v>0.51336999999999999</v>
      </c>
      <c r="M2450">
        <v>58.064</v>
      </c>
      <c r="N2450">
        <v>0.51215999999999995</v>
      </c>
      <c r="O2450" t="s">
        <v>2510</v>
      </c>
    </row>
    <row r="2451" spans="1:15" x14ac:dyDescent="0.25">
      <c r="A2451" t="s">
        <v>70</v>
      </c>
      <c r="B2451" t="s">
        <v>8</v>
      </c>
      <c r="C2451">
        <v>1</v>
      </c>
      <c r="D2451">
        <v>10</v>
      </c>
      <c r="E2451">
        <v>0.1</v>
      </c>
      <c r="F2451" t="s">
        <v>6</v>
      </c>
      <c r="G2451" t="s">
        <v>4</v>
      </c>
      <c r="H2451">
        <v>0.01</v>
      </c>
      <c r="I2451">
        <v>2</v>
      </c>
      <c r="J2451" t="s">
        <v>10</v>
      </c>
      <c r="K2451">
        <v>57.765999999999998</v>
      </c>
      <c r="L2451">
        <v>0.1391</v>
      </c>
      <c r="M2451">
        <v>57.765000000000001</v>
      </c>
      <c r="N2451">
        <v>0.13813</v>
      </c>
      <c r="O2451" t="s">
        <v>2842</v>
      </c>
    </row>
    <row r="2452" spans="1:15" x14ac:dyDescent="0.25">
      <c r="A2452" t="s">
        <v>70</v>
      </c>
      <c r="B2452" t="s">
        <v>8</v>
      </c>
      <c r="C2452">
        <v>1</v>
      </c>
      <c r="D2452">
        <v>10</v>
      </c>
      <c r="E2452">
        <v>1</v>
      </c>
      <c r="F2452" t="s">
        <v>6</v>
      </c>
      <c r="G2452" t="s">
        <v>4</v>
      </c>
      <c r="H2452">
        <v>0.01</v>
      </c>
      <c r="I2452">
        <v>2</v>
      </c>
      <c r="J2452" t="s">
        <v>10</v>
      </c>
      <c r="K2452">
        <v>577.36</v>
      </c>
      <c r="L2452">
        <v>1.4397E-2</v>
      </c>
      <c r="M2452">
        <v>577.36</v>
      </c>
      <c r="N2452">
        <v>1.4E-2</v>
      </c>
      <c r="O2452" t="s">
        <v>2512</v>
      </c>
    </row>
    <row r="2453" spans="1:15" x14ac:dyDescent="0.25">
      <c r="A2453" t="s">
        <v>70</v>
      </c>
      <c r="B2453" t="s">
        <v>8</v>
      </c>
      <c r="C2453">
        <v>1</v>
      </c>
      <c r="D2453">
        <v>10</v>
      </c>
      <c r="E2453">
        <v>1</v>
      </c>
      <c r="F2453" t="s">
        <v>6</v>
      </c>
      <c r="G2453" t="s">
        <v>4</v>
      </c>
      <c r="H2453">
        <v>2</v>
      </c>
      <c r="I2453">
        <v>20</v>
      </c>
      <c r="J2453" t="s">
        <v>10</v>
      </c>
      <c r="K2453">
        <v>577.39</v>
      </c>
      <c r="L2453">
        <v>5.4542E-2</v>
      </c>
      <c r="M2453">
        <v>577.39</v>
      </c>
      <c r="N2453">
        <v>5.3976000000000003E-2</v>
      </c>
      <c r="O2453" t="s">
        <v>2511</v>
      </c>
    </row>
    <row r="2454" spans="1:15" x14ac:dyDescent="0.25">
      <c r="A2454" t="s">
        <v>70</v>
      </c>
      <c r="B2454" t="s">
        <v>8</v>
      </c>
      <c r="C2454">
        <v>10</v>
      </c>
      <c r="D2454">
        <v>100</v>
      </c>
      <c r="E2454">
        <v>1E-3</v>
      </c>
      <c r="F2454" t="s">
        <v>6</v>
      </c>
      <c r="G2454" t="s">
        <v>4</v>
      </c>
      <c r="H2454">
        <v>0.04</v>
      </c>
      <c r="I2454">
        <v>1</v>
      </c>
      <c r="J2454" t="s">
        <v>10</v>
      </c>
      <c r="K2454">
        <v>35</v>
      </c>
      <c r="L2454">
        <v>0.95</v>
      </c>
      <c r="M2454">
        <v>34.942999999999998</v>
      </c>
      <c r="N2454">
        <v>0.94799</v>
      </c>
      <c r="O2454" t="s">
        <v>2513</v>
      </c>
    </row>
    <row r="2455" spans="1:15" x14ac:dyDescent="0.25">
      <c r="A2455" t="s">
        <v>70</v>
      </c>
      <c r="B2455" t="s">
        <v>8</v>
      </c>
      <c r="C2455">
        <v>10</v>
      </c>
      <c r="D2455">
        <v>100</v>
      </c>
      <c r="E2455">
        <v>0.01</v>
      </c>
      <c r="F2455" t="s">
        <v>6</v>
      </c>
      <c r="G2455" t="s">
        <v>4</v>
      </c>
      <c r="H2455">
        <v>0.04</v>
      </c>
      <c r="I2455">
        <v>1</v>
      </c>
      <c r="J2455" t="s">
        <v>10</v>
      </c>
      <c r="K2455">
        <v>35.348999999999997</v>
      </c>
      <c r="L2455">
        <v>0.94557000000000002</v>
      </c>
      <c r="M2455">
        <v>35.281999999999996</v>
      </c>
      <c r="N2455">
        <v>0.94527000000000005</v>
      </c>
      <c r="O2455" t="s">
        <v>2843</v>
      </c>
    </row>
    <row r="2456" spans="1:15" x14ac:dyDescent="0.25">
      <c r="A2456" t="s">
        <v>70</v>
      </c>
      <c r="B2456" t="s">
        <v>8</v>
      </c>
      <c r="C2456">
        <v>10</v>
      </c>
      <c r="D2456">
        <v>100</v>
      </c>
      <c r="E2456">
        <v>0.1</v>
      </c>
      <c r="F2456" t="s">
        <v>6</v>
      </c>
      <c r="G2456" t="s">
        <v>4</v>
      </c>
      <c r="H2456">
        <v>0.04</v>
      </c>
      <c r="I2456">
        <v>1</v>
      </c>
      <c r="J2456" t="s">
        <v>10</v>
      </c>
      <c r="K2456">
        <v>65.075999999999993</v>
      </c>
      <c r="L2456">
        <v>0.76909000000000005</v>
      </c>
      <c r="M2456">
        <v>64.997</v>
      </c>
      <c r="N2456">
        <v>0.76749999999999996</v>
      </c>
      <c r="O2456" t="s">
        <v>2514</v>
      </c>
    </row>
    <row r="2457" spans="1:15" x14ac:dyDescent="0.25">
      <c r="A2457" t="s">
        <v>70</v>
      </c>
      <c r="B2457" t="s">
        <v>8</v>
      </c>
      <c r="C2457">
        <v>10</v>
      </c>
      <c r="D2457">
        <v>100</v>
      </c>
      <c r="E2457">
        <v>1</v>
      </c>
      <c r="F2457" t="s">
        <v>6</v>
      </c>
      <c r="G2457" t="s">
        <v>4</v>
      </c>
      <c r="H2457">
        <v>0.04</v>
      </c>
      <c r="I2457">
        <v>1</v>
      </c>
      <c r="J2457" t="s">
        <v>10</v>
      </c>
      <c r="K2457">
        <v>577.66</v>
      </c>
      <c r="L2457">
        <v>0.14257</v>
      </c>
      <c r="M2457">
        <v>577.63</v>
      </c>
      <c r="N2457">
        <v>0.14057</v>
      </c>
      <c r="O2457" t="s">
        <v>2515</v>
      </c>
    </row>
    <row r="2458" spans="1:15" x14ac:dyDescent="0.25">
      <c r="A2458" t="s">
        <v>70</v>
      </c>
      <c r="B2458" t="s">
        <v>8</v>
      </c>
      <c r="C2458">
        <v>10</v>
      </c>
      <c r="D2458">
        <v>100</v>
      </c>
      <c r="E2458">
        <v>10</v>
      </c>
      <c r="F2458" t="s">
        <v>6</v>
      </c>
      <c r="G2458" t="s">
        <v>4</v>
      </c>
      <c r="H2458">
        <v>0.04</v>
      </c>
      <c r="I2458">
        <v>1</v>
      </c>
      <c r="J2458" t="s">
        <v>10</v>
      </c>
      <c r="K2458">
        <v>5773.6</v>
      </c>
      <c r="L2458">
        <v>1.5076000000000001E-2</v>
      </c>
      <c r="M2458">
        <v>5773.6</v>
      </c>
      <c r="N2458">
        <v>1.4250000000000001E-2</v>
      </c>
      <c r="O2458" t="s">
        <v>2516</v>
      </c>
    </row>
    <row r="2459" spans="1:15" x14ac:dyDescent="0.25">
      <c r="A2459" t="s">
        <v>70</v>
      </c>
      <c r="B2459" t="s">
        <v>8</v>
      </c>
      <c r="C2459">
        <v>100</v>
      </c>
      <c r="D2459">
        <v>1020</v>
      </c>
      <c r="E2459">
        <v>0.01</v>
      </c>
      <c r="F2459" t="s">
        <v>6</v>
      </c>
      <c r="G2459" t="s">
        <v>4</v>
      </c>
      <c r="H2459">
        <v>0.04</v>
      </c>
      <c r="I2459">
        <v>1</v>
      </c>
      <c r="J2459" t="s">
        <v>10</v>
      </c>
      <c r="K2459">
        <v>360</v>
      </c>
      <c r="L2459">
        <v>1.1000000000000001</v>
      </c>
      <c r="M2459">
        <v>337.15</v>
      </c>
      <c r="N2459">
        <v>1.1167</v>
      </c>
      <c r="O2459" t="s">
        <v>2517</v>
      </c>
    </row>
    <row r="2460" spans="1:15" x14ac:dyDescent="0.25">
      <c r="A2460" t="s">
        <v>70</v>
      </c>
      <c r="B2460" t="s">
        <v>8</v>
      </c>
      <c r="C2460">
        <v>100</v>
      </c>
      <c r="D2460">
        <v>1020</v>
      </c>
      <c r="E2460">
        <v>0.1</v>
      </c>
      <c r="F2460" t="s">
        <v>6</v>
      </c>
      <c r="G2460" t="s">
        <v>4</v>
      </c>
      <c r="H2460">
        <v>0.04</v>
      </c>
      <c r="I2460">
        <v>1</v>
      </c>
      <c r="J2460" t="s">
        <v>10</v>
      </c>
      <c r="K2460">
        <v>360</v>
      </c>
      <c r="L2460">
        <v>1.1141000000000001</v>
      </c>
      <c r="M2460">
        <v>341.11</v>
      </c>
      <c r="N2460">
        <v>1.1138999999999999</v>
      </c>
      <c r="O2460" t="s">
        <v>2518</v>
      </c>
    </row>
    <row r="2461" spans="1:15" x14ac:dyDescent="0.25">
      <c r="A2461" t="s">
        <v>70</v>
      </c>
      <c r="B2461" t="s">
        <v>8</v>
      </c>
      <c r="C2461">
        <v>100</v>
      </c>
      <c r="D2461">
        <v>1020</v>
      </c>
      <c r="E2461">
        <v>1</v>
      </c>
      <c r="F2461" t="s">
        <v>6</v>
      </c>
      <c r="G2461" t="s">
        <v>4</v>
      </c>
      <c r="H2461">
        <v>0.04</v>
      </c>
      <c r="I2461">
        <v>1</v>
      </c>
      <c r="J2461" t="s">
        <v>10</v>
      </c>
      <c r="K2461">
        <v>639.27</v>
      </c>
      <c r="L2461">
        <v>0.92932000000000003</v>
      </c>
      <c r="M2461">
        <v>638.46</v>
      </c>
      <c r="N2461">
        <v>0.92803000000000002</v>
      </c>
      <c r="O2461" t="s">
        <v>2844</v>
      </c>
    </row>
    <row r="2462" spans="1:15" x14ac:dyDescent="0.25">
      <c r="A2462" t="s">
        <v>70</v>
      </c>
      <c r="B2462" t="s">
        <v>8</v>
      </c>
      <c r="C2462">
        <v>100</v>
      </c>
      <c r="D2462">
        <v>1020</v>
      </c>
      <c r="E2462">
        <v>10</v>
      </c>
      <c r="F2462" t="s">
        <v>6</v>
      </c>
      <c r="G2462" t="s">
        <v>4</v>
      </c>
      <c r="H2462">
        <v>0.04</v>
      </c>
      <c r="I2462">
        <v>1</v>
      </c>
      <c r="J2462" t="s">
        <v>10</v>
      </c>
      <c r="K2462">
        <v>5773</v>
      </c>
      <c r="L2462">
        <v>0.18489</v>
      </c>
      <c r="M2462">
        <v>5772.7</v>
      </c>
      <c r="N2462">
        <v>0.18293999999999999</v>
      </c>
      <c r="O2462" t="s">
        <v>2519</v>
      </c>
    </row>
    <row r="2463" spans="1:15" x14ac:dyDescent="0.25">
      <c r="A2463" t="s">
        <v>70</v>
      </c>
      <c r="B2463" t="s">
        <v>8</v>
      </c>
      <c r="C2463">
        <v>100</v>
      </c>
      <c r="D2463">
        <v>1020</v>
      </c>
      <c r="E2463">
        <v>100</v>
      </c>
      <c r="F2463" t="s">
        <v>6</v>
      </c>
      <c r="G2463" t="s">
        <v>4</v>
      </c>
      <c r="H2463">
        <v>0.04</v>
      </c>
      <c r="I2463">
        <v>1</v>
      </c>
      <c r="J2463" t="s">
        <v>10</v>
      </c>
      <c r="K2463">
        <v>57736</v>
      </c>
      <c r="L2463">
        <v>1.9421000000000001E-2</v>
      </c>
      <c r="M2463">
        <v>57735</v>
      </c>
      <c r="N2463">
        <v>1.8613000000000001E-2</v>
      </c>
      <c r="O2463" t="s">
        <v>2520</v>
      </c>
    </row>
    <row r="2464" spans="1:15" x14ac:dyDescent="0.25">
      <c r="A2464" t="s">
        <v>70</v>
      </c>
      <c r="B2464" t="s">
        <v>14</v>
      </c>
      <c r="C2464">
        <v>1.0000000000000001E-9</v>
      </c>
      <c r="D2464">
        <v>1E-8</v>
      </c>
      <c r="E2464">
        <v>9.9999999999999998E-13</v>
      </c>
      <c r="F2464" t="s">
        <v>142</v>
      </c>
      <c r="G2464" t="s">
        <v>15</v>
      </c>
      <c r="H2464">
        <v>0</v>
      </c>
      <c r="I2464">
        <v>0</v>
      </c>
      <c r="K2464">
        <v>3.5999999999999997E-2</v>
      </c>
      <c r="L2464">
        <v>6600000</v>
      </c>
      <c r="M2464">
        <v>3.5476000000000001E-2</v>
      </c>
      <c r="N2464">
        <v>6559300</v>
      </c>
      <c r="O2464" t="s">
        <v>1478</v>
      </c>
    </row>
    <row r="2465" spans="1:15" x14ac:dyDescent="0.25">
      <c r="A2465" t="s">
        <v>70</v>
      </c>
      <c r="B2465" t="s">
        <v>14</v>
      </c>
      <c r="C2465">
        <v>1.0000000000000001E-9</v>
      </c>
      <c r="D2465">
        <v>1E-8</v>
      </c>
      <c r="E2465">
        <v>9.9999999999999994E-12</v>
      </c>
      <c r="F2465" t="s">
        <v>142</v>
      </c>
      <c r="G2465" t="s">
        <v>15</v>
      </c>
      <c r="H2465">
        <v>0</v>
      </c>
      <c r="I2465">
        <v>0</v>
      </c>
      <c r="K2465">
        <v>3.5999999999999997E-2</v>
      </c>
      <c r="L2465">
        <v>6536700</v>
      </c>
      <c r="M2465">
        <v>3.5893000000000001E-2</v>
      </c>
      <c r="N2465">
        <v>6534200</v>
      </c>
      <c r="O2465" t="s">
        <v>1479</v>
      </c>
    </row>
    <row r="2466" spans="1:15" x14ac:dyDescent="0.25">
      <c r="A2466" t="s">
        <v>70</v>
      </c>
      <c r="B2466" t="s">
        <v>14</v>
      </c>
      <c r="C2466">
        <v>1.0000000000000001E-9</v>
      </c>
      <c r="D2466">
        <v>1E-8</v>
      </c>
      <c r="E2466">
        <v>1E-10</v>
      </c>
      <c r="F2466" t="s">
        <v>142</v>
      </c>
      <c r="G2466" t="s">
        <v>15</v>
      </c>
      <c r="H2466">
        <v>0</v>
      </c>
      <c r="I2466">
        <v>0</v>
      </c>
      <c r="K2466">
        <v>6.6424999999999998E-2</v>
      </c>
      <c r="L2466">
        <v>5023200</v>
      </c>
      <c r="M2466">
        <v>6.6402000000000003E-2</v>
      </c>
      <c r="N2466">
        <v>5012600</v>
      </c>
      <c r="O2466" t="s">
        <v>1480</v>
      </c>
    </row>
    <row r="2467" spans="1:15" x14ac:dyDescent="0.25">
      <c r="A2467" t="s">
        <v>70</v>
      </c>
      <c r="B2467" t="s">
        <v>14</v>
      </c>
      <c r="C2467">
        <v>1.0000000000000001E-9</v>
      </c>
      <c r="D2467">
        <v>1E-8</v>
      </c>
      <c r="E2467">
        <v>1.0000000000000001E-9</v>
      </c>
      <c r="F2467" t="s">
        <v>142</v>
      </c>
      <c r="G2467" t="s">
        <v>15</v>
      </c>
      <c r="H2467">
        <v>0</v>
      </c>
      <c r="I2467">
        <v>0</v>
      </c>
      <c r="K2467">
        <v>0.57862999999999998</v>
      </c>
      <c r="L2467">
        <v>1104800</v>
      </c>
      <c r="M2467">
        <v>0.57862999999999998</v>
      </c>
      <c r="N2467">
        <v>1095300</v>
      </c>
      <c r="O2467" t="s">
        <v>1481</v>
      </c>
    </row>
    <row r="2468" spans="1:15" x14ac:dyDescent="0.25">
      <c r="A2468" t="s">
        <v>70</v>
      </c>
      <c r="B2468" t="s">
        <v>14</v>
      </c>
      <c r="C2468">
        <v>1.0000000000000001E-9</v>
      </c>
      <c r="D2468">
        <v>1E-8</v>
      </c>
      <c r="E2468">
        <v>1E-8</v>
      </c>
      <c r="F2468" t="s">
        <v>142</v>
      </c>
      <c r="G2468" t="s">
        <v>15</v>
      </c>
      <c r="H2468">
        <v>0</v>
      </c>
      <c r="I2468">
        <v>0</v>
      </c>
      <c r="K2468">
        <v>5.7903000000000002</v>
      </c>
      <c r="L2468">
        <v>3024400</v>
      </c>
      <c r="M2468">
        <v>5.7903000000000002</v>
      </c>
      <c r="N2468">
        <v>3020500</v>
      </c>
      <c r="O2468" t="s">
        <v>1482</v>
      </c>
    </row>
    <row r="2469" spans="1:15" x14ac:dyDescent="0.25">
      <c r="A2469" t="s">
        <v>70</v>
      </c>
      <c r="B2469" t="s">
        <v>14</v>
      </c>
      <c r="C2469">
        <v>1E-8</v>
      </c>
      <c r="D2469">
        <v>9.9999999999999995E-8</v>
      </c>
      <c r="E2469">
        <v>9.9999999999999994E-12</v>
      </c>
      <c r="F2469" t="s">
        <v>142</v>
      </c>
      <c r="G2469" t="s">
        <v>15</v>
      </c>
      <c r="H2469">
        <v>0</v>
      </c>
      <c r="I2469">
        <v>0</v>
      </c>
      <c r="K2469">
        <v>0.5</v>
      </c>
      <c r="L2469">
        <v>5800000</v>
      </c>
      <c r="M2469">
        <v>0.48988999999999999</v>
      </c>
      <c r="N2469">
        <v>5801600</v>
      </c>
      <c r="O2469" t="s">
        <v>1483</v>
      </c>
    </row>
    <row r="2470" spans="1:15" x14ac:dyDescent="0.25">
      <c r="A2470" t="s">
        <v>70</v>
      </c>
      <c r="B2470" t="s">
        <v>14</v>
      </c>
      <c r="C2470">
        <v>1E-8</v>
      </c>
      <c r="D2470">
        <v>9.9999999999999995E-8</v>
      </c>
      <c r="E2470">
        <v>1E-10</v>
      </c>
      <c r="F2470" t="s">
        <v>142</v>
      </c>
      <c r="G2470" t="s">
        <v>15</v>
      </c>
      <c r="H2470">
        <v>0</v>
      </c>
      <c r="I2470">
        <v>0</v>
      </c>
      <c r="K2470">
        <v>0.5</v>
      </c>
      <c r="L2470">
        <v>5788200</v>
      </c>
      <c r="M2470">
        <v>0.49306</v>
      </c>
      <c r="N2470">
        <v>5785500</v>
      </c>
      <c r="O2470" t="s">
        <v>1484</v>
      </c>
    </row>
    <row r="2471" spans="1:15" x14ac:dyDescent="0.25">
      <c r="A2471" t="s">
        <v>70</v>
      </c>
      <c r="B2471" t="s">
        <v>14</v>
      </c>
      <c r="C2471">
        <v>1E-8</v>
      </c>
      <c r="D2471">
        <v>9.9999999999999995E-8</v>
      </c>
      <c r="E2471">
        <v>1.0000000000000001E-9</v>
      </c>
      <c r="F2471" t="s">
        <v>142</v>
      </c>
      <c r="G2471" t="s">
        <v>15</v>
      </c>
      <c r="H2471">
        <v>0</v>
      </c>
      <c r="I2471">
        <v>0</v>
      </c>
      <c r="K2471">
        <v>0.74933000000000005</v>
      </c>
      <c r="L2471">
        <v>4690300</v>
      </c>
      <c r="M2471">
        <v>0.74914000000000003</v>
      </c>
      <c r="N2471">
        <v>4679800</v>
      </c>
      <c r="O2471" t="s">
        <v>1485</v>
      </c>
    </row>
    <row r="2472" spans="1:15" x14ac:dyDescent="0.25">
      <c r="A2472" t="s">
        <v>70</v>
      </c>
      <c r="B2472" t="s">
        <v>14</v>
      </c>
      <c r="C2472">
        <v>1E-8</v>
      </c>
      <c r="D2472">
        <v>9.9999999999999995E-8</v>
      </c>
      <c r="E2472">
        <v>1E-8</v>
      </c>
      <c r="F2472" t="s">
        <v>142</v>
      </c>
      <c r="G2472" t="s">
        <v>15</v>
      </c>
      <c r="H2472">
        <v>0</v>
      </c>
      <c r="I2472">
        <v>0</v>
      </c>
      <c r="K2472">
        <v>5.7969999999999997</v>
      </c>
      <c r="L2472">
        <v>1102800</v>
      </c>
      <c r="M2472">
        <v>5.7969999999999997</v>
      </c>
      <c r="N2472">
        <v>1093300</v>
      </c>
      <c r="O2472" t="s">
        <v>1486</v>
      </c>
    </row>
    <row r="2473" spans="1:15" x14ac:dyDescent="0.25">
      <c r="A2473" t="s">
        <v>70</v>
      </c>
      <c r="B2473" t="s">
        <v>14</v>
      </c>
      <c r="C2473">
        <v>1E-8</v>
      </c>
      <c r="D2473">
        <v>9.9999999999999995E-8</v>
      </c>
      <c r="E2473">
        <v>9.9999999999999995E-8</v>
      </c>
      <c r="F2473" t="s">
        <v>142</v>
      </c>
      <c r="G2473" t="s">
        <v>15</v>
      </c>
      <c r="H2473">
        <v>0</v>
      </c>
      <c r="I2473">
        <v>0</v>
      </c>
      <c r="K2473">
        <v>57.904000000000003</v>
      </c>
      <c r="L2473">
        <v>3024300</v>
      </c>
      <c r="M2473">
        <v>57.904000000000003</v>
      </c>
      <c r="N2473">
        <v>3020400</v>
      </c>
      <c r="O2473" t="s">
        <v>1487</v>
      </c>
    </row>
    <row r="2474" spans="1:15" x14ac:dyDescent="0.25">
      <c r="A2474" t="s">
        <v>70</v>
      </c>
      <c r="B2474" t="s">
        <v>14</v>
      </c>
      <c r="C2474">
        <v>9.9999999999999995E-8</v>
      </c>
      <c r="D2474">
        <v>9.9999999999999995E-7</v>
      </c>
      <c r="E2474">
        <v>1E-10</v>
      </c>
      <c r="F2474" t="s">
        <v>142</v>
      </c>
      <c r="G2474" t="s">
        <v>15</v>
      </c>
      <c r="H2474">
        <v>0</v>
      </c>
      <c r="I2474">
        <v>0</v>
      </c>
      <c r="K2474">
        <v>6.2</v>
      </c>
      <c r="L2474">
        <v>5200000</v>
      </c>
      <c r="M2474">
        <v>6.1439000000000004</v>
      </c>
      <c r="N2474">
        <v>5209500</v>
      </c>
      <c r="O2474" t="s">
        <v>1488</v>
      </c>
    </row>
    <row r="2475" spans="1:15" x14ac:dyDescent="0.25">
      <c r="A2475" t="s">
        <v>70</v>
      </c>
      <c r="B2475" t="s">
        <v>14</v>
      </c>
      <c r="C2475">
        <v>9.9999999999999995E-8</v>
      </c>
      <c r="D2475">
        <v>9.9999999999999995E-7</v>
      </c>
      <c r="E2475">
        <v>1.0000000000000001E-9</v>
      </c>
      <c r="F2475" t="s">
        <v>142</v>
      </c>
      <c r="G2475" t="s">
        <v>15</v>
      </c>
      <c r="H2475">
        <v>0</v>
      </c>
      <c r="I2475">
        <v>0</v>
      </c>
      <c r="K2475">
        <v>6.2</v>
      </c>
      <c r="L2475">
        <v>5201100</v>
      </c>
      <c r="M2475">
        <v>6.1698000000000004</v>
      </c>
      <c r="N2475">
        <v>5198400</v>
      </c>
      <c r="O2475" t="s">
        <v>1489</v>
      </c>
    </row>
    <row r="2476" spans="1:15" x14ac:dyDescent="0.25">
      <c r="A2476" t="s">
        <v>70</v>
      </c>
      <c r="B2476" t="s">
        <v>14</v>
      </c>
      <c r="C2476">
        <v>9.9999999999999995E-8</v>
      </c>
      <c r="D2476">
        <v>9.9999999999999995E-7</v>
      </c>
      <c r="E2476">
        <v>1E-8</v>
      </c>
      <c r="F2476" t="s">
        <v>142</v>
      </c>
      <c r="G2476" t="s">
        <v>15</v>
      </c>
      <c r="H2476">
        <v>0</v>
      </c>
      <c r="I2476">
        <v>0</v>
      </c>
      <c r="K2476">
        <v>8.3825000000000003</v>
      </c>
      <c r="L2476">
        <v>4378300</v>
      </c>
      <c r="M2476">
        <v>8.3808000000000007</v>
      </c>
      <c r="N2476">
        <v>4368200</v>
      </c>
      <c r="O2476" t="s">
        <v>1490</v>
      </c>
    </row>
    <row r="2477" spans="1:15" x14ac:dyDescent="0.25">
      <c r="A2477" t="s">
        <v>70</v>
      </c>
      <c r="B2477" t="s">
        <v>14</v>
      </c>
      <c r="C2477">
        <v>9.9999999999999995E-8</v>
      </c>
      <c r="D2477">
        <v>9.9999999999999995E-7</v>
      </c>
      <c r="E2477">
        <v>9.9999999999999995E-8</v>
      </c>
      <c r="F2477" t="s">
        <v>142</v>
      </c>
      <c r="G2477" t="s">
        <v>15</v>
      </c>
      <c r="H2477">
        <v>0</v>
      </c>
      <c r="I2477">
        <v>0</v>
      </c>
      <c r="K2477">
        <v>58.094000000000001</v>
      </c>
      <c r="L2477">
        <v>1100500</v>
      </c>
      <c r="M2477">
        <v>58.094000000000001</v>
      </c>
      <c r="N2477">
        <v>1091000</v>
      </c>
      <c r="O2477" t="s">
        <v>1491</v>
      </c>
    </row>
    <row r="2478" spans="1:15" x14ac:dyDescent="0.25">
      <c r="A2478" t="s">
        <v>70</v>
      </c>
      <c r="B2478" t="s">
        <v>14</v>
      </c>
      <c r="C2478">
        <v>9.9999999999999995E-8</v>
      </c>
      <c r="D2478">
        <v>9.9999999999999995E-7</v>
      </c>
      <c r="E2478">
        <v>9.9999999999999995E-7</v>
      </c>
      <c r="F2478" t="s">
        <v>142</v>
      </c>
      <c r="G2478" t="s">
        <v>15</v>
      </c>
      <c r="H2478">
        <v>0</v>
      </c>
      <c r="I2478">
        <v>0</v>
      </c>
      <c r="K2478">
        <v>579.04999999999995</v>
      </c>
      <c r="L2478">
        <v>3024200</v>
      </c>
      <c r="M2478">
        <v>579.04999999999995</v>
      </c>
      <c r="N2478">
        <v>3020300</v>
      </c>
      <c r="O2478" t="s">
        <v>1492</v>
      </c>
    </row>
    <row r="2479" spans="1:15" x14ac:dyDescent="0.25">
      <c r="A2479" t="s">
        <v>70</v>
      </c>
      <c r="B2479" t="s">
        <v>46</v>
      </c>
      <c r="C2479">
        <v>0</v>
      </c>
      <c r="D2479">
        <v>1E-4</v>
      </c>
      <c r="E2479">
        <v>1.0000000000000001E-9</v>
      </c>
      <c r="F2479" t="s">
        <v>13</v>
      </c>
      <c r="G2479" t="s">
        <v>72</v>
      </c>
      <c r="H2479">
        <v>0</v>
      </c>
      <c r="I2479">
        <v>0</v>
      </c>
      <c r="K2479">
        <v>35</v>
      </c>
      <c r="L2479">
        <v>350000</v>
      </c>
      <c r="M2479">
        <v>34.933</v>
      </c>
      <c r="N2479">
        <v>349170</v>
      </c>
      <c r="O2479" t="s">
        <v>1448</v>
      </c>
    </row>
    <row r="2480" spans="1:15" x14ac:dyDescent="0.25">
      <c r="A2480" t="s">
        <v>70</v>
      </c>
      <c r="B2480" t="s">
        <v>46</v>
      </c>
      <c r="C2480">
        <v>0</v>
      </c>
      <c r="D2480">
        <v>1E-4</v>
      </c>
      <c r="E2480">
        <v>1E-8</v>
      </c>
      <c r="F2480" t="s">
        <v>13</v>
      </c>
      <c r="G2480" t="s">
        <v>72</v>
      </c>
      <c r="H2480">
        <v>0</v>
      </c>
      <c r="I2480">
        <v>0</v>
      </c>
      <c r="K2480">
        <v>35.368000000000002</v>
      </c>
      <c r="L2480">
        <v>346810</v>
      </c>
      <c r="M2480">
        <v>35.366</v>
      </c>
      <c r="N2480">
        <v>346810</v>
      </c>
      <c r="O2480" t="s">
        <v>1449</v>
      </c>
    </row>
    <row r="2481" spans="1:15" x14ac:dyDescent="0.25">
      <c r="A2481" t="s">
        <v>70</v>
      </c>
      <c r="B2481" t="s">
        <v>46</v>
      </c>
      <c r="C2481">
        <v>0</v>
      </c>
      <c r="D2481">
        <v>1E-4</v>
      </c>
      <c r="E2481">
        <v>9.9999999999999995E-8</v>
      </c>
      <c r="F2481" t="s">
        <v>13</v>
      </c>
      <c r="G2481" t="s">
        <v>72</v>
      </c>
      <c r="H2481">
        <v>0</v>
      </c>
      <c r="I2481">
        <v>0</v>
      </c>
      <c r="K2481">
        <v>67.34</v>
      </c>
      <c r="L2481">
        <v>230750</v>
      </c>
      <c r="M2481">
        <v>67.335999999999999</v>
      </c>
      <c r="N2481">
        <v>230720</v>
      </c>
      <c r="O2481" t="s">
        <v>1450</v>
      </c>
    </row>
    <row r="2482" spans="1:15" x14ac:dyDescent="0.25">
      <c r="A2482" t="s">
        <v>70</v>
      </c>
      <c r="B2482" t="s">
        <v>46</v>
      </c>
      <c r="C2482">
        <v>0</v>
      </c>
      <c r="D2482">
        <v>1E-4</v>
      </c>
      <c r="E2482">
        <v>9.9999999999999995E-7</v>
      </c>
      <c r="F2482" t="s">
        <v>13</v>
      </c>
      <c r="G2482" t="s">
        <v>72</v>
      </c>
      <c r="H2482">
        <v>0</v>
      </c>
      <c r="I2482">
        <v>0</v>
      </c>
      <c r="K2482">
        <v>578.4</v>
      </c>
      <c r="L2482">
        <v>31405</v>
      </c>
      <c r="M2482">
        <v>578.39</v>
      </c>
      <c r="N2482">
        <v>31376</v>
      </c>
      <c r="O2482" t="s">
        <v>1451</v>
      </c>
    </row>
    <row r="2483" spans="1:15" x14ac:dyDescent="0.25">
      <c r="A2483" t="s">
        <v>70</v>
      </c>
      <c r="B2483" t="s">
        <v>46</v>
      </c>
      <c r="C2483">
        <v>0</v>
      </c>
      <c r="D2483">
        <v>1E-4</v>
      </c>
      <c r="E2483">
        <v>1.0000000000000001E-5</v>
      </c>
      <c r="F2483" t="s">
        <v>13</v>
      </c>
      <c r="G2483" t="s">
        <v>72</v>
      </c>
      <c r="H2483">
        <v>0</v>
      </c>
      <c r="I2483">
        <v>0</v>
      </c>
      <c r="K2483">
        <v>5773.7</v>
      </c>
      <c r="L2483">
        <v>3163.2</v>
      </c>
      <c r="M2483">
        <v>5773.7</v>
      </c>
      <c r="N2483">
        <v>3151.6</v>
      </c>
      <c r="O2483" t="s">
        <v>1452</v>
      </c>
    </row>
    <row r="2484" spans="1:15" x14ac:dyDescent="0.25">
      <c r="A2484" t="s">
        <v>70</v>
      </c>
      <c r="B2484" t="s">
        <v>46</v>
      </c>
      <c r="C2484">
        <v>1E-4</v>
      </c>
      <c r="D2484">
        <v>1E-3</v>
      </c>
      <c r="E2484">
        <v>1E-8</v>
      </c>
      <c r="F2484" t="s">
        <v>13</v>
      </c>
      <c r="G2484" t="s">
        <v>72</v>
      </c>
      <c r="H2484">
        <v>0</v>
      </c>
      <c r="I2484">
        <v>0</v>
      </c>
      <c r="K2484">
        <v>120</v>
      </c>
      <c r="L2484">
        <v>350000</v>
      </c>
      <c r="M2484">
        <v>115.86</v>
      </c>
      <c r="N2484">
        <v>347000</v>
      </c>
      <c r="O2484" t="s">
        <v>1453</v>
      </c>
    </row>
    <row r="2485" spans="1:15" x14ac:dyDescent="0.25">
      <c r="A2485" t="s">
        <v>70</v>
      </c>
      <c r="B2485" t="s">
        <v>46</v>
      </c>
      <c r="C2485">
        <v>1E-4</v>
      </c>
      <c r="D2485">
        <v>1E-3</v>
      </c>
      <c r="E2485">
        <v>9.9999999999999995E-8</v>
      </c>
      <c r="F2485" t="s">
        <v>13</v>
      </c>
      <c r="G2485" t="s">
        <v>72</v>
      </c>
      <c r="H2485">
        <v>0</v>
      </c>
      <c r="I2485">
        <v>0</v>
      </c>
      <c r="K2485">
        <v>127.29</v>
      </c>
      <c r="L2485">
        <v>339170</v>
      </c>
      <c r="M2485">
        <v>127.24</v>
      </c>
      <c r="N2485">
        <v>339180</v>
      </c>
      <c r="O2485" t="s">
        <v>1454</v>
      </c>
    </row>
    <row r="2486" spans="1:15" x14ac:dyDescent="0.25">
      <c r="A2486" t="s">
        <v>70</v>
      </c>
      <c r="B2486" t="s">
        <v>46</v>
      </c>
      <c r="C2486">
        <v>1E-4</v>
      </c>
      <c r="D2486">
        <v>1E-3</v>
      </c>
      <c r="E2486">
        <v>9.9999999999999995E-7</v>
      </c>
      <c r="F2486" t="s">
        <v>13</v>
      </c>
      <c r="G2486" t="s">
        <v>72</v>
      </c>
      <c r="H2486">
        <v>0</v>
      </c>
      <c r="I2486">
        <v>0</v>
      </c>
      <c r="K2486">
        <v>580.76</v>
      </c>
      <c r="L2486">
        <v>159300</v>
      </c>
      <c r="M2486">
        <v>580.72</v>
      </c>
      <c r="N2486">
        <v>159250</v>
      </c>
      <c r="O2486" t="s">
        <v>1455</v>
      </c>
    </row>
    <row r="2487" spans="1:15" x14ac:dyDescent="0.25">
      <c r="A2487" t="s">
        <v>70</v>
      </c>
      <c r="B2487" t="s">
        <v>46</v>
      </c>
      <c r="C2487">
        <v>1E-4</v>
      </c>
      <c r="D2487">
        <v>1E-3</v>
      </c>
      <c r="E2487">
        <v>1.0000000000000001E-5</v>
      </c>
      <c r="F2487" t="s">
        <v>13</v>
      </c>
      <c r="G2487" t="s">
        <v>72</v>
      </c>
      <c r="H2487">
        <v>0</v>
      </c>
      <c r="I2487">
        <v>0</v>
      </c>
      <c r="K2487">
        <v>5773.7</v>
      </c>
      <c r="L2487">
        <v>18430</v>
      </c>
      <c r="M2487">
        <v>5773.7</v>
      </c>
      <c r="N2487">
        <v>18401</v>
      </c>
      <c r="O2487" t="s">
        <v>1456</v>
      </c>
    </row>
    <row r="2488" spans="1:15" x14ac:dyDescent="0.25">
      <c r="A2488" t="s">
        <v>70</v>
      </c>
      <c r="B2488" t="s">
        <v>46</v>
      </c>
      <c r="C2488">
        <v>1E-4</v>
      </c>
      <c r="D2488">
        <v>1E-3</v>
      </c>
      <c r="E2488">
        <v>1E-4</v>
      </c>
      <c r="F2488" t="s">
        <v>13</v>
      </c>
      <c r="G2488" t="s">
        <v>72</v>
      </c>
      <c r="H2488">
        <v>0</v>
      </c>
      <c r="I2488">
        <v>0</v>
      </c>
      <c r="K2488">
        <v>57736</v>
      </c>
      <c r="L2488">
        <v>1854.7</v>
      </c>
      <c r="M2488">
        <v>57736</v>
      </c>
      <c r="N2488">
        <v>1843.4</v>
      </c>
      <c r="O2488" t="s">
        <v>1457</v>
      </c>
    </row>
    <row r="2489" spans="1:15" x14ac:dyDescent="0.25">
      <c r="A2489" t="s">
        <v>70</v>
      </c>
      <c r="B2489" t="s">
        <v>46</v>
      </c>
      <c r="C2489">
        <v>1E-3</v>
      </c>
      <c r="D2489">
        <v>0.01</v>
      </c>
      <c r="E2489">
        <v>9.9999999999999995E-8</v>
      </c>
      <c r="F2489" t="s">
        <v>13</v>
      </c>
      <c r="G2489" t="s">
        <v>11</v>
      </c>
      <c r="H2489">
        <v>0</v>
      </c>
      <c r="I2489">
        <v>0</v>
      </c>
      <c r="K2489">
        <v>1.2</v>
      </c>
      <c r="L2489">
        <v>350</v>
      </c>
      <c r="M2489">
        <v>1.1597</v>
      </c>
      <c r="N2489">
        <v>346.89</v>
      </c>
      <c r="O2489" t="s">
        <v>1458</v>
      </c>
    </row>
    <row r="2490" spans="1:15" x14ac:dyDescent="0.25">
      <c r="A2490" t="s">
        <v>70</v>
      </c>
      <c r="B2490" t="s">
        <v>46</v>
      </c>
      <c r="C2490">
        <v>1E-3</v>
      </c>
      <c r="D2490">
        <v>0.01</v>
      </c>
      <c r="E2490">
        <v>9.9999999999999995E-7</v>
      </c>
      <c r="F2490" t="s">
        <v>13</v>
      </c>
      <c r="G2490" t="s">
        <v>11</v>
      </c>
      <c r="H2490">
        <v>0</v>
      </c>
      <c r="I2490">
        <v>0</v>
      </c>
      <c r="K2490">
        <v>1.2739</v>
      </c>
      <c r="L2490">
        <v>339.07</v>
      </c>
      <c r="M2490">
        <v>1.2734000000000001</v>
      </c>
      <c r="N2490">
        <v>339.08</v>
      </c>
      <c r="O2490" t="s">
        <v>1459</v>
      </c>
    </row>
    <row r="2491" spans="1:15" x14ac:dyDescent="0.25">
      <c r="A2491" t="s">
        <v>70</v>
      </c>
      <c r="B2491" t="s">
        <v>46</v>
      </c>
      <c r="C2491">
        <v>1E-3</v>
      </c>
      <c r="D2491">
        <v>0.01</v>
      </c>
      <c r="E2491">
        <v>1.0000000000000001E-5</v>
      </c>
      <c r="F2491" t="s">
        <v>13</v>
      </c>
      <c r="G2491" t="s">
        <v>11</v>
      </c>
      <c r="H2491">
        <v>0</v>
      </c>
      <c r="I2491">
        <v>0</v>
      </c>
      <c r="K2491">
        <v>5.8079000000000001</v>
      </c>
      <c r="L2491">
        <v>159.28</v>
      </c>
      <c r="M2491">
        <v>5.8074000000000003</v>
      </c>
      <c r="N2491">
        <v>159.22999999999999</v>
      </c>
      <c r="O2491" t="s">
        <v>1460</v>
      </c>
    </row>
    <row r="2492" spans="1:15" x14ac:dyDescent="0.25">
      <c r="A2492" t="s">
        <v>70</v>
      </c>
      <c r="B2492" t="s">
        <v>46</v>
      </c>
      <c r="C2492">
        <v>1E-3</v>
      </c>
      <c r="D2492">
        <v>0.01</v>
      </c>
      <c r="E2492">
        <v>1E-4</v>
      </c>
      <c r="F2492" t="s">
        <v>13</v>
      </c>
      <c r="G2492" t="s">
        <v>11</v>
      </c>
      <c r="H2492">
        <v>0</v>
      </c>
      <c r="I2492">
        <v>0</v>
      </c>
      <c r="K2492">
        <v>57.737000000000002</v>
      </c>
      <c r="L2492">
        <v>18.431000000000001</v>
      </c>
      <c r="M2492">
        <v>57.737000000000002</v>
      </c>
      <c r="N2492">
        <v>18.399000000000001</v>
      </c>
      <c r="O2492" t="s">
        <v>1461</v>
      </c>
    </row>
    <row r="2493" spans="1:15" x14ac:dyDescent="0.25">
      <c r="A2493" t="s">
        <v>70</v>
      </c>
      <c r="B2493" t="s">
        <v>46</v>
      </c>
      <c r="C2493">
        <v>1E-3</v>
      </c>
      <c r="D2493">
        <v>0.01</v>
      </c>
      <c r="E2493">
        <v>1E-3</v>
      </c>
      <c r="F2493" t="s">
        <v>13</v>
      </c>
      <c r="G2493" t="s">
        <v>11</v>
      </c>
      <c r="H2493">
        <v>0</v>
      </c>
      <c r="I2493">
        <v>0</v>
      </c>
      <c r="K2493">
        <v>577.36</v>
      </c>
      <c r="L2493">
        <v>1.8560000000000001</v>
      </c>
      <c r="M2493">
        <v>577.36</v>
      </c>
      <c r="N2493">
        <v>1.8431</v>
      </c>
      <c r="O2493" t="s">
        <v>1462</v>
      </c>
    </row>
    <row r="2494" spans="1:15" x14ac:dyDescent="0.25">
      <c r="A2494" t="s">
        <v>70</v>
      </c>
      <c r="B2494" t="s">
        <v>46</v>
      </c>
      <c r="C2494">
        <v>0.01</v>
      </c>
      <c r="D2494">
        <v>0.1</v>
      </c>
      <c r="E2494">
        <v>9.9999999999999995E-7</v>
      </c>
      <c r="F2494" t="s">
        <v>13</v>
      </c>
      <c r="G2494" t="s">
        <v>11</v>
      </c>
      <c r="H2494">
        <v>0</v>
      </c>
      <c r="I2494">
        <v>0</v>
      </c>
      <c r="K2494">
        <v>12</v>
      </c>
      <c r="L2494">
        <v>350</v>
      </c>
      <c r="M2494">
        <v>11.589</v>
      </c>
      <c r="N2494">
        <v>348.45</v>
      </c>
      <c r="O2494" t="s">
        <v>1463</v>
      </c>
    </row>
    <row r="2495" spans="1:15" x14ac:dyDescent="0.25">
      <c r="A2495" t="s">
        <v>70</v>
      </c>
      <c r="B2495" t="s">
        <v>46</v>
      </c>
      <c r="C2495">
        <v>0.01</v>
      </c>
      <c r="D2495">
        <v>0.1</v>
      </c>
      <c r="E2495">
        <v>1.0000000000000001E-5</v>
      </c>
      <c r="F2495" t="s">
        <v>13</v>
      </c>
      <c r="G2495" t="s">
        <v>11</v>
      </c>
      <c r="H2495">
        <v>0</v>
      </c>
      <c r="I2495">
        <v>0</v>
      </c>
      <c r="K2495">
        <v>12.73</v>
      </c>
      <c r="L2495">
        <v>340.62</v>
      </c>
      <c r="M2495">
        <v>12.725</v>
      </c>
      <c r="N2495">
        <v>340.63</v>
      </c>
      <c r="O2495" t="s">
        <v>1464</v>
      </c>
    </row>
    <row r="2496" spans="1:15" x14ac:dyDescent="0.25">
      <c r="A2496" t="s">
        <v>70</v>
      </c>
      <c r="B2496" t="s">
        <v>46</v>
      </c>
      <c r="C2496">
        <v>0.01</v>
      </c>
      <c r="D2496">
        <v>0.1</v>
      </c>
      <c r="E2496">
        <v>1E-4</v>
      </c>
      <c r="F2496" t="s">
        <v>13</v>
      </c>
      <c r="G2496" t="s">
        <v>11</v>
      </c>
      <c r="H2496">
        <v>0</v>
      </c>
      <c r="I2496">
        <v>0</v>
      </c>
      <c r="K2496">
        <v>58.070999999999998</v>
      </c>
      <c r="L2496">
        <v>160.28</v>
      </c>
      <c r="M2496">
        <v>58.066000000000003</v>
      </c>
      <c r="N2496">
        <v>160.22999999999999</v>
      </c>
      <c r="O2496" t="s">
        <v>1465</v>
      </c>
    </row>
    <row r="2497" spans="1:15" x14ac:dyDescent="0.25">
      <c r="A2497" t="s">
        <v>70</v>
      </c>
      <c r="B2497" t="s">
        <v>46</v>
      </c>
      <c r="C2497">
        <v>0.01</v>
      </c>
      <c r="D2497">
        <v>0.1</v>
      </c>
      <c r="E2497">
        <v>1E-3</v>
      </c>
      <c r="F2497" t="s">
        <v>13</v>
      </c>
      <c r="G2497" t="s">
        <v>11</v>
      </c>
      <c r="H2497">
        <v>0</v>
      </c>
      <c r="I2497">
        <v>0</v>
      </c>
      <c r="K2497">
        <v>577.37</v>
      </c>
      <c r="L2497">
        <v>18.559999999999999</v>
      </c>
      <c r="M2497">
        <v>577.37</v>
      </c>
      <c r="N2497">
        <v>18.527999999999999</v>
      </c>
      <c r="O2497" t="s">
        <v>1466</v>
      </c>
    </row>
    <row r="2498" spans="1:15" x14ac:dyDescent="0.25">
      <c r="A2498" t="s">
        <v>70</v>
      </c>
      <c r="B2498" t="s">
        <v>46</v>
      </c>
      <c r="C2498">
        <v>0.01</v>
      </c>
      <c r="D2498">
        <v>0.1</v>
      </c>
      <c r="E2498">
        <v>0.01</v>
      </c>
      <c r="F2498" t="s">
        <v>13</v>
      </c>
      <c r="G2498" t="s">
        <v>11</v>
      </c>
      <c r="H2498">
        <v>0</v>
      </c>
      <c r="I2498">
        <v>0</v>
      </c>
      <c r="K2498">
        <v>5773.6</v>
      </c>
      <c r="L2498">
        <v>1.8689</v>
      </c>
      <c r="M2498">
        <v>5773.6</v>
      </c>
      <c r="N2498">
        <v>1.8560000000000001</v>
      </c>
      <c r="O2498" t="s">
        <v>1467</v>
      </c>
    </row>
    <row r="2499" spans="1:15" x14ac:dyDescent="0.25">
      <c r="A2499" t="s">
        <v>70</v>
      </c>
      <c r="B2499" t="s">
        <v>46</v>
      </c>
      <c r="C2499">
        <v>0.1</v>
      </c>
      <c r="D2499">
        <v>1</v>
      </c>
      <c r="E2499">
        <v>1.0000000000000001E-5</v>
      </c>
      <c r="F2499" t="s">
        <v>13</v>
      </c>
      <c r="G2499" t="s">
        <v>11</v>
      </c>
      <c r="H2499">
        <v>0</v>
      </c>
      <c r="I2499">
        <v>0</v>
      </c>
      <c r="K2499">
        <v>180</v>
      </c>
      <c r="L2499">
        <v>370</v>
      </c>
      <c r="M2499">
        <v>172.98</v>
      </c>
      <c r="N2499">
        <v>365.23</v>
      </c>
      <c r="O2499" t="s">
        <v>1468</v>
      </c>
    </row>
    <row r="2500" spans="1:15" x14ac:dyDescent="0.25">
      <c r="A2500" t="s">
        <v>70</v>
      </c>
      <c r="B2500" t="s">
        <v>46</v>
      </c>
      <c r="C2500">
        <v>0.1</v>
      </c>
      <c r="D2500">
        <v>1</v>
      </c>
      <c r="E2500">
        <v>1E-4</v>
      </c>
      <c r="F2500" t="s">
        <v>13</v>
      </c>
      <c r="G2500" t="s">
        <v>11</v>
      </c>
      <c r="H2500">
        <v>0</v>
      </c>
      <c r="I2500">
        <v>0</v>
      </c>
      <c r="K2500">
        <v>181.28</v>
      </c>
      <c r="L2500">
        <v>360.03</v>
      </c>
      <c r="M2500">
        <v>181.24</v>
      </c>
      <c r="N2500">
        <v>360.03</v>
      </c>
      <c r="O2500" t="s">
        <v>1469</v>
      </c>
    </row>
    <row r="2501" spans="1:15" x14ac:dyDescent="0.25">
      <c r="A2501" t="s">
        <v>70</v>
      </c>
      <c r="B2501" t="s">
        <v>46</v>
      </c>
      <c r="C2501">
        <v>0.1</v>
      </c>
      <c r="D2501">
        <v>1</v>
      </c>
      <c r="E2501">
        <v>1E-3</v>
      </c>
      <c r="F2501" t="s">
        <v>13</v>
      </c>
      <c r="G2501" t="s">
        <v>11</v>
      </c>
      <c r="H2501">
        <v>0</v>
      </c>
      <c r="I2501">
        <v>0</v>
      </c>
      <c r="K2501">
        <v>594.75</v>
      </c>
      <c r="L2501">
        <v>194.63</v>
      </c>
      <c r="M2501">
        <v>594.71</v>
      </c>
      <c r="N2501">
        <v>194.58</v>
      </c>
      <c r="O2501" t="s">
        <v>1470</v>
      </c>
    </row>
    <row r="2502" spans="1:15" x14ac:dyDescent="0.25">
      <c r="A2502" t="s">
        <v>70</v>
      </c>
      <c r="B2502" t="s">
        <v>46</v>
      </c>
      <c r="C2502">
        <v>0.1</v>
      </c>
      <c r="D2502">
        <v>1</v>
      </c>
      <c r="E2502">
        <v>0.01</v>
      </c>
      <c r="F2502" t="s">
        <v>13</v>
      </c>
      <c r="G2502" t="s">
        <v>11</v>
      </c>
      <c r="H2502">
        <v>0</v>
      </c>
      <c r="I2502">
        <v>0</v>
      </c>
      <c r="K2502">
        <v>5775</v>
      </c>
      <c r="L2502">
        <v>23.623000000000001</v>
      </c>
      <c r="M2502">
        <v>5775</v>
      </c>
      <c r="N2502">
        <v>23.591000000000001</v>
      </c>
      <c r="O2502" t="s">
        <v>1471</v>
      </c>
    </row>
    <row r="2503" spans="1:15" x14ac:dyDescent="0.25">
      <c r="A2503" t="s">
        <v>70</v>
      </c>
      <c r="B2503" t="s">
        <v>46</v>
      </c>
      <c r="C2503">
        <v>0.1</v>
      </c>
      <c r="D2503">
        <v>1</v>
      </c>
      <c r="E2503">
        <v>0.1</v>
      </c>
      <c r="F2503" t="s">
        <v>13</v>
      </c>
      <c r="G2503" t="s">
        <v>11</v>
      </c>
      <c r="H2503">
        <v>0</v>
      </c>
      <c r="I2503">
        <v>0</v>
      </c>
      <c r="K2503">
        <v>57736</v>
      </c>
      <c r="L2503">
        <v>2.3778000000000001</v>
      </c>
      <c r="M2503">
        <v>57736</v>
      </c>
      <c r="N2503">
        <v>2.3649</v>
      </c>
      <c r="O2503" t="s">
        <v>1472</v>
      </c>
    </row>
    <row r="2504" spans="1:15" x14ac:dyDescent="0.25">
      <c r="A2504" t="s">
        <v>70</v>
      </c>
      <c r="B2504" t="s">
        <v>46</v>
      </c>
      <c r="C2504">
        <v>1</v>
      </c>
      <c r="D2504">
        <v>10.199999999999999</v>
      </c>
      <c r="E2504">
        <v>1E-4</v>
      </c>
      <c r="F2504" t="s">
        <v>13</v>
      </c>
      <c r="G2504" t="s">
        <v>11</v>
      </c>
      <c r="H2504">
        <v>0</v>
      </c>
      <c r="I2504">
        <v>0</v>
      </c>
      <c r="K2504">
        <v>2.4</v>
      </c>
      <c r="L2504">
        <v>0.59</v>
      </c>
      <c r="M2504">
        <v>2.3094999999999999</v>
      </c>
      <c r="N2504">
        <v>0.57974999999999999</v>
      </c>
      <c r="O2504" t="s">
        <v>1473</v>
      </c>
    </row>
    <row r="2505" spans="1:15" x14ac:dyDescent="0.25">
      <c r="A2505" t="s">
        <v>70</v>
      </c>
      <c r="B2505" t="s">
        <v>46</v>
      </c>
      <c r="C2505">
        <v>1</v>
      </c>
      <c r="D2505">
        <v>10.199999999999999</v>
      </c>
      <c r="E2505">
        <v>1E-3</v>
      </c>
      <c r="F2505" t="s">
        <v>13</v>
      </c>
      <c r="G2505" t="s">
        <v>11</v>
      </c>
      <c r="H2505">
        <v>0</v>
      </c>
      <c r="I2505">
        <v>0</v>
      </c>
      <c r="K2505">
        <v>2.4</v>
      </c>
      <c r="L2505">
        <v>0.63080999999999998</v>
      </c>
      <c r="M2505">
        <v>2.3700999999999999</v>
      </c>
      <c r="N2505">
        <v>0.57577999999999996</v>
      </c>
      <c r="O2505" t="s">
        <v>1474</v>
      </c>
    </row>
    <row r="2506" spans="1:15" x14ac:dyDescent="0.25">
      <c r="A2506" t="s">
        <v>70</v>
      </c>
      <c r="B2506" t="s">
        <v>46</v>
      </c>
      <c r="C2506">
        <v>1</v>
      </c>
      <c r="D2506">
        <v>10.199999999999999</v>
      </c>
      <c r="E2506">
        <v>0.01</v>
      </c>
      <c r="F2506" t="s">
        <v>13</v>
      </c>
      <c r="G2506" t="s">
        <v>11</v>
      </c>
      <c r="H2506">
        <v>0</v>
      </c>
      <c r="I2506">
        <v>0</v>
      </c>
      <c r="K2506">
        <v>5.8935000000000004</v>
      </c>
      <c r="L2506">
        <v>0.56293000000000004</v>
      </c>
      <c r="M2506">
        <v>6.0655000000000001</v>
      </c>
      <c r="N2506">
        <v>0.39036999999999999</v>
      </c>
      <c r="O2506" t="s">
        <v>1475</v>
      </c>
    </row>
    <row r="2507" spans="1:15" x14ac:dyDescent="0.25">
      <c r="A2507" t="s">
        <v>70</v>
      </c>
      <c r="B2507" t="s">
        <v>46</v>
      </c>
      <c r="C2507">
        <v>1</v>
      </c>
      <c r="D2507">
        <v>10.199999999999999</v>
      </c>
      <c r="E2507">
        <v>0.1</v>
      </c>
      <c r="F2507" t="s">
        <v>13</v>
      </c>
      <c r="G2507" t="s">
        <v>11</v>
      </c>
      <c r="H2507">
        <v>0</v>
      </c>
      <c r="I2507">
        <v>0</v>
      </c>
      <c r="K2507">
        <v>57.625</v>
      </c>
      <c r="L2507">
        <v>0.18253</v>
      </c>
      <c r="M2507">
        <v>57.752000000000002</v>
      </c>
      <c r="N2507">
        <v>5.5476999999999999E-2</v>
      </c>
      <c r="O2507" t="s">
        <v>1476</v>
      </c>
    </row>
    <row r="2508" spans="1:15" x14ac:dyDescent="0.25">
      <c r="A2508" t="s">
        <v>70</v>
      </c>
      <c r="B2508" t="s">
        <v>46</v>
      </c>
      <c r="C2508">
        <v>1</v>
      </c>
      <c r="D2508">
        <v>10.199999999999999</v>
      </c>
      <c r="E2508">
        <v>1</v>
      </c>
      <c r="F2508" t="s">
        <v>13</v>
      </c>
      <c r="G2508" t="s">
        <v>11</v>
      </c>
      <c r="H2508">
        <v>0</v>
      </c>
      <c r="I2508">
        <v>0</v>
      </c>
      <c r="K2508">
        <v>577.30999999999995</v>
      </c>
      <c r="L2508">
        <v>5.7402000000000002E-2</v>
      </c>
      <c r="M2508">
        <v>577.36</v>
      </c>
      <c r="N2508">
        <v>5.5789000000000004E-3</v>
      </c>
      <c r="O2508" t="s">
        <v>1477</v>
      </c>
    </row>
    <row r="2509" spans="1:15" x14ac:dyDescent="0.25">
      <c r="A2509" t="s">
        <v>70</v>
      </c>
      <c r="B2509" t="s">
        <v>59</v>
      </c>
      <c r="C2509">
        <v>10</v>
      </c>
      <c r="D2509">
        <v>102</v>
      </c>
      <c r="E2509">
        <v>1E-4</v>
      </c>
      <c r="F2509" t="s">
        <v>13</v>
      </c>
      <c r="G2509" t="s">
        <v>12</v>
      </c>
      <c r="H2509">
        <v>0</v>
      </c>
      <c r="I2509">
        <v>0</v>
      </c>
      <c r="K2509">
        <v>16</v>
      </c>
      <c r="L2509">
        <v>2</v>
      </c>
      <c r="M2509">
        <v>15.052</v>
      </c>
      <c r="N2509">
        <v>2.0087999999999999</v>
      </c>
      <c r="O2509" t="s">
        <v>1442</v>
      </c>
    </row>
    <row r="2510" spans="1:15" x14ac:dyDescent="0.25">
      <c r="A2510" t="s">
        <v>70</v>
      </c>
      <c r="B2510" t="s">
        <v>59</v>
      </c>
      <c r="C2510">
        <v>10</v>
      </c>
      <c r="D2510">
        <v>102</v>
      </c>
      <c r="E2510">
        <v>1E-3</v>
      </c>
      <c r="F2510" t="s">
        <v>13</v>
      </c>
      <c r="G2510" t="s">
        <v>12</v>
      </c>
      <c r="H2510">
        <v>0</v>
      </c>
      <c r="I2510">
        <v>0</v>
      </c>
      <c r="K2510">
        <v>16</v>
      </c>
      <c r="L2510">
        <v>2.0045000000000002</v>
      </c>
      <c r="M2510">
        <v>15.566000000000001</v>
      </c>
      <c r="N2510">
        <v>2.0045000000000002</v>
      </c>
      <c r="O2510" t="s">
        <v>1443</v>
      </c>
    </row>
    <row r="2511" spans="1:15" x14ac:dyDescent="0.25">
      <c r="A2511" t="s">
        <v>70</v>
      </c>
      <c r="B2511" t="s">
        <v>59</v>
      </c>
      <c r="C2511">
        <v>10</v>
      </c>
      <c r="D2511">
        <v>102</v>
      </c>
      <c r="E2511">
        <v>0.01</v>
      </c>
      <c r="F2511" t="s">
        <v>13</v>
      </c>
      <c r="G2511" t="s">
        <v>12</v>
      </c>
      <c r="H2511">
        <v>0</v>
      </c>
      <c r="I2511">
        <v>0</v>
      </c>
      <c r="K2511">
        <v>50.243000000000002</v>
      </c>
      <c r="L2511">
        <v>1.7371000000000001</v>
      </c>
      <c r="M2511">
        <v>50.216000000000001</v>
      </c>
      <c r="N2511">
        <v>1.7371000000000001</v>
      </c>
      <c r="O2511" t="s">
        <v>1444</v>
      </c>
    </row>
    <row r="2512" spans="1:15" x14ac:dyDescent="0.25">
      <c r="A2512" t="s">
        <v>70</v>
      </c>
      <c r="B2512" t="s">
        <v>59</v>
      </c>
      <c r="C2512">
        <v>10</v>
      </c>
      <c r="D2512">
        <v>102</v>
      </c>
      <c r="E2512">
        <v>0.1</v>
      </c>
      <c r="F2512" t="s">
        <v>13</v>
      </c>
      <c r="G2512" t="s">
        <v>12</v>
      </c>
      <c r="H2512">
        <v>0</v>
      </c>
      <c r="I2512">
        <v>0</v>
      </c>
      <c r="K2512">
        <v>574.15</v>
      </c>
      <c r="L2512">
        <v>0.42863000000000001</v>
      </c>
      <c r="M2512">
        <v>574.14</v>
      </c>
      <c r="N2512">
        <v>0.42836000000000002</v>
      </c>
      <c r="O2512" t="s">
        <v>1445</v>
      </c>
    </row>
    <row r="2513" spans="1:15" x14ac:dyDescent="0.25">
      <c r="A2513" t="s">
        <v>70</v>
      </c>
      <c r="B2513" t="s">
        <v>59</v>
      </c>
      <c r="C2513">
        <v>10</v>
      </c>
      <c r="D2513">
        <v>102</v>
      </c>
      <c r="E2513">
        <v>1</v>
      </c>
      <c r="F2513" t="s">
        <v>13</v>
      </c>
      <c r="G2513" t="s">
        <v>12</v>
      </c>
      <c r="H2513">
        <v>0</v>
      </c>
      <c r="I2513">
        <v>0</v>
      </c>
      <c r="K2513">
        <v>5773.2</v>
      </c>
      <c r="L2513">
        <v>4.4478999999999998E-2</v>
      </c>
      <c r="M2513">
        <v>5773.2</v>
      </c>
      <c r="N2513">
        <v>4.4360999999999998E-2</v>
      </c>
      <c r="O2513" t="s">
        <v>1446</v>
      </c>
    </row>
    <row r="2514" spans="1:15" x14ac:dyDescent="0.25">
      <c r="A2514" t="s">
        <v>70</v>
      </c>
      <c r="B2514" t="s">
        <v>59</v>
      </c>
      <c r="C2514">
        <v>10</v>
      </c>
      <c r="D2514">
        <v>102</v>
      </c>
      <c r="E2514">
        <v>10</v>
      </c>
      <c r="F2514" t="s">
        <v>13</v>
      </c>
      <c r="G2514" t="s">
        <v>12</v>
      </c>
      <c r="H2514">
        <v>0</v>
      </c>
      <c r="I2514">
        <v>0</v>
      </c>
      <c r="K2514">
        <v>57735</v>
      </c>
      <c r="L2514">
        <v>4.4850999999999997E-3</v>
      </c>
      <c r="M2514">
        <v>57735</v>
      </c>
      <c r="N2514">
        <v>4.4377000000000002E-3</v>
      </c>
      <c r="O2514" t="s">
        <v>1447</v>
      </c>
    </row>
    <row r="2515" spans="1:15" x14ac:dyDescent="0.25">
      <c r="A2515" t="s">
        <v>70</v>
      </c>
      <c r="B2515" t="s">
        <v>60</v>
      </c>
      <c r="C2515">
        <v>20</v>
      </c>
      <c r="D2515">
        <v>204</v>
      </c>
      <c r="E2515">
        <v>1E-3</v>
      </c>
      <c r="F2515" t="s">
        <v>13</v>
      </c>
      <c r="G2515" t="s">
        <v>12</v>
      </c>
      <c r="H2515">
        <v>0</v>
      </c>
      <c r="I2515">
        <v>0</v>
      </c>
      <c r="K2515">
        <v>32</v>
      </c>
      <c r="L2515">
        <v>2</v>
      </c>
      <c r="M2515">
        <v>30.087</v>
      </c>
      <c r="N2515">
        <v>2.0089000000000001</v>
      </c>
      <c r="O2515" t="s">
        <v>1437</v>
      </c>
    </row>
    <row r="2516" spans="1:15" x14ac:dyDescent="0.25">
      <c r="A2516" t="s">
        <v>70</v>
      </c>
      <c r="B2516" t="s">
        <v>60</v>
      </c>
      <c r="C2516">
        <v>20</v>
      </c>
      <c r="D2516">
        <v>204</v>
      </c>
      <c r="E2516">
        <v>0.01</v>
      </c>
      <c r="F2516" t="s">
        <v>13</v>
      </c>
      <c r="G2516" t="s">
        <v>12</v>
      </c>
      <c r="H2516">
        <v>0</v>
      </c>
      <c r="I2516">
        <v>0</v>
      </c>
      <c r="K2516">
        <v>32</v>
      </c>
      <c r="L2516">
        <v>2.0076999999999998</v>
      </c>
      <c r="M2516">
        <v>30.344000000000001</v>
      </c>
      <c r="N2516">
        <v>2.0078</v>
      </c>
      <c r="O2516" t="s">
        <v>1438</v>
      </c>
    </row>
    <row r="2517" spans="1:15" x14ac:dyDescent="0.25">
      <c r="A2517" t="s">
        <v>70</v>
      </c>
      <c r="B2517" t="s">
        <v>60</v>
      </c>
      <c r="C2517">
        <v>20</v>
      </c>
      <c r="D2517">
        <v>204</v>
      </c>
      <c r="E2517">
        <v>0.1</v>
      </c>
      <c r="F2517" t="s">
        <v>13</v>
      </c>
      <c r="G2517" t="s">
        <v>12</v>
      </c>
      <c r="H2517">
        <v>0</v>
      </c>
      <c r="I2517">
        <v>0</v>
      </c>
      <c r="K2517">
        <v>52.695</v>
      </c>
      <c r="L2517">
        <v>1.9168000000000001</v>
      </c>
      <c r="M2517">
        <v>52.600999999999999</v>
      </c>
      <c r="N2517">
        <v>1.917</v>
      </c>
      <c r="O2517" t="s">
        <v>1439</v>
      </c>
    </row>
    <row r="2518" spans="1:15" x14ac:dyDescent="0.25">
      <c r="A2518" t="s">
        <v>70</v>
      </c>
      <c r="B2518" t="s">
        <v>60</v>
      </c>
      <c r="C2518">
        <v>20</v>
      </c>
      <c r="D2518">
        <v>204</v>
      </c>
      <c r="E2518">
        <v>1</v>
      </c>
      <c r="F2518" t="s">
        <v>13</v>
      </c>
      <c r="G2518" t="s">
        <v>12</v>
      </c>
      <c r="H2518">
        <v>0</v>
      </c>
      <c r="I2518">
        <v>0</v>
      </c>
      <c r="K2518">
        <v>565.98</v>
      </c>
      <c r="L2518">
        <v>0.78427000000000002</v>
      </c>
      <c r="M2518">
        <v>565.94000000000005</v>
      </c>
      <c r="N2518">
        <v>0.78385000000000005</v>
      </c>
      <c r="O2518" t="s">
        <v>1440</v>
      </c>
    </row>
    <row r="2519" spans="1:15" x14ac:dyDescent="0.25">
      <c r="A2519" t="s">
        <v>70</v>
      </c>
      <c r="B2519" t="s">
        <v>60</v>
      </c>
      <c r="C2519">
        <v>20</v>
      </c>
      <c r="D2519">
        <v>204</v>
      </c>
      <c r="E2519">
        <v>10</v>
      </c>
      <c r="F2519" t="s">
        <v>13</v>
      </c>
      <c r="G2519" t="s">
        <v>12</v>
      </c>
      <c r="H2519">
        <v>0</v>
      </c>
      <c r="I2519">
        <v>0</v>
      </c>
      <c r="K2519">
        <v>5772.2</v>
      </c>
      <c r="L2519">
        <v>8.8858000000000006E-2</v>
      </c>
      <c r="M2519">
        <v>5772.2</v>
      </c>
      <c r="N2519">
        <v>8.8622999999999993E-2</v>
      </c>
      <c r="O2519" t="s">
        <v>1441</v>
      </c>
    </row>
    <row r="2520" spans="1:15" x14ac:dyDescent="0.25">
      <c r="A2520" t="s">
        <v>70</v>
      </c>
      <c r="B2520" t="s">
        <v>61</v>
      </c>
      <c r="C2520">
        <v>5</v>
      </c>
      <c r="D2520">
        <v>51</v>
      </c>
      <c r="E2520">
        <v>1E-3</v>
      </c>
      <c r="F2520" t="s">
        <v>13</v>
      </c>
      <c r="G2520" t="s">
        <v>12</v>
      </c>
      <c r="H2520">
        <v>0</v>
      </c>
      <c r="I2520">
        <v>0</v>
      </c>
      <c r="K2520">
        <v>4.7</v>
      </c>
      <c r="L2520">
        <v>2</v>
      </c>
      <c r="M2520">
        <v>4.5993000000000004</v>
      </c>
      <c r="N2520">
        <v>1.98</v>
      </c>
      <c r="O2520" t="s">
        <v>1427</v>
      </c>
    </row>
    <row r="2521" spans="1:15" x14ac:dyDescent="0.25">
      <c r="A2521" t="s">
        <v>70</v>
      </c>
      <c r="B2521" t="s">
        <v>61</v>
      </c>
      <c r="C2521">
        <v>5</v>
      </c>
      <c r="D2521">
        <v>51</v>
      </c>
      <c r="E2521">
        <v>0.01</v>
      </c>
      <c r="F2521" t="s">
        <v>13</v>
      </c>
      <c r="G2521" t="s">
        <v>12</v>
      </c>
      <c r="H2521">
        <v>0</v>
      </c>
      <c r="I2521">
        <v>0</v>
      </c>
      <c r="K2521">
        <v>5.9279000000000002</v>
      </c>
      <c r="L2521">
        <v>1.9581</v>
      </c>
      <c r="M2521">
        <v>5.8000999999999996</v>
      </c>
      <c r="N2521">
        <v>1.9595</v>
      </c>
      <c r="O2521" t="s">
        <v>1428</v>
      </c>
    </row>
    <row r="2522" spans="1:15" x14ac:dyDescent="0.25">
      <c r="A2522" t="s">
        <v>70</v>
      </c>
      <c r="B2522" t="s">
        <v>61</v>
      </c>
      <c r="C2522">
        <v>5</v>
      </c>
      <c r="D2522">
        <v>51</v>
      </c>
      <c r="E2522">
        <v>0.1</v>
      </c>
      <c r="F2522" t="s">
        <v>13</v>
      </c>
      <c r="G2522" t="s">
        <v>12</v>
      </c>
      <c r="H2522">
        <v>0</v>
      </c>
      <c r="I2522">
        <v>0</v>
      </c>
      <c r="K2522">
        <v>53.039000000000001</v>
      </c>
      <c r="L2522">
        <v>1.3232999999999999</v>
      </c>
      <c r="M2522">
        <v>52.915999999999997</v>
      </c>
      <c r="N2522">
        <v>1.3219000000000001</v>
      </c>
      <c r="O2522" t="s">
        <v>1429</v>
      </c>
    </row>
    <row r="2523" spans="1:15" x14ac:dyDescent="0.25">
      <c r="A2523" t="s">
        <v>70</v>
      </c>
      <c r="B2523" t="s">
        <v>61</v>
      </c>
      <c r="C2523">
        <v>5</v>
      </c>
      <c r="D2523">
        <v>51</v>
      </c>
      <c r="E2523">
        <v>1</v>
      </c>
      <c r="F2523" t="s">
        <v>13</v>
      </c>
      <c r="G2523" t="s">
        <v>12</v>
      </c>
      <c r="H2523">
        <v>0</v>
      </c>
      <c r="I2523">
        <v>0</v>
      </c>
      <c r="K2523">
        <v>576.55999999999995</v>
      </c>
      <c r="L2523">
        <v>0.20649000000000001</v>
      </c>
      <c r="M2523">
        <v>576.52</v>
      </c>
      <c r="N2523">
        <v>0.20416999999999999</v>
      </c>
      <c r="O2523" t="s">
        <v>1430</v>
      </c>
    </row>
    <row r="2524" spans="1:15" x14ac:dyDescent="0.25">
      <c r="A2524" t="s">
        <v>70</v>
      </c>
      <c r="B2524" t="s">
        <v>61</v>
      </c>
      <c r="C2524">
        <v>5</v>
      </c>
      <c r="D2524">
        <v>51</v>
      </c>
      <c r="E2524">
        <v>10</v>
      </c>
      <c r="F2524" t="s">
        <v>13</v>
      </c>
      <c r="G2524" t="s">
        <v>12</v>
      </c>
      <c r="H2524">
        <v>0</v>
      </c>
      <c r="I2524">
        <v>0</v>
      </c>
      <c r="K2524">
        <v>5773.5</v>
      </c>
      <c r="L2524">
        <v>2.1536E-2</v>
      </c>
      <c r="M2524">
        <v>5773.5</v>
      </c>
      <c r="N2524">
        <v>2.0587999999999999E-2</v>
      </c>
      <c r="O2524" t="s">
        <v>1431</v>
      </c>
    </row>
    <row r="2525" spans="1:15" x14ac:dyDescent="0.25">
      <c r="A2525" t="s">
        <v>70</v>
      </c>
      <c r="B2525" t="s">
        <v>61</v>
      </c>
      <c r="C2525">
        <v>50</v>
      </c>
      <c r="D2525">
        <v>510</v>
      </c>
      <c r="E2525">
        <v>1E-3</v>
      </c>
      <c r="F2525" t="s">
        <v>13</v>
      </c>
      <c r="G2525" t="s">
        <v>12</v>
      </c>
      <c r="H2525">
        <v>0</v>
      </c>
      <c r="I2525">
        <v>0</v>
      </c>
      <c r="K2525">
        <v>80</v>
      </c>
      <c r="L2525">
        <v>2</v>
      </c>
      <c r="M2525">
        <v>75.207999999999998</v>
      </c>
      <c r="N2525">
        <v>2.0089000000000001</v>
      </c>
      <c r="O2525" t="s">
        <v>1432</v>
      </c>
    </row>
    <row r="2526" spans="1:15" x14ac:dyDescent="0.25">
      <c r="A2526" t="s">
        <v>70</v>
      </c>
      <c r="B2526" t="s">
        <v>61</v>
      </c>
      <c r="C2526">
        <v>50</v>
      </c>
      <c r="D2526">
        <v>510</v>
      </c>
      <c r="E2526">
        <v>0.01</v>
      </c>
      <c r="F2526" t="s">
        <v>13</v>
      </c>
      <c r="G2526" t="s">
        <v>12</v>
      </c>
      <c r="H2526">
        <v>0</v>
      </c>
      <c r="I2526">
        <v>0</v>
      </c>
      <c r="K2526">
        <v>80</v>
      </c>
      <c r="L2526">
        <v>2.0085999999999999</v>
      </c>
      <c r="M2526">
        <v>75.317999999999998</v>
      </c>
      <c r="N2526">
        <v>2.0087000000000002</v>
      </c>
      <c r="O2526" t="s">
        <v>1433</v>
      </c>
    </row>
    <row r="2527" spans="1:15" x14ac:dyDescent="0.25">
      <c r="A2527" t="s">
        <v>70</v>
      </c>
      <c r="B2527" t="s">
        <v>61</v>
      </c>
      <c r="C2527">
        <v>50</v>
      </c>
      <c r="D2527">
        <v>510</v>
      </c>
      <c r="E2527">
        <v>0.1</v>
      </c>
      <c r="F2527" t="s">
        <v>13</v>
      </c>
      <c r="G2527" t="s">
        <v>12</v>
      </c>
      <c r="H2527">
        <v>0</v>
      </c>
      <c r="I2527">
        <v>0</v>
      </c>
      <c r="K2527">
        <v>85.569000000000003</v>
      </c>
      <c r="L2527">
        <v>1.9918</v>
      </c>
      <c r="M2527">
        <v>85.292000000000002</v>
      </c>
      <c r="N2527">
        <v>1.9921</v>
      </c>
      <c r="O2527" t="s">
        <v>1434</v>
      </c>
    </row>
    <row r="2528" spans="1:15" x14ac:dyDescent="0.25">
      <c r="A2528" t="s">
        <v>70</v>
      </c>
      <c r="B2528" t="s">
        <v>61</v>
      </c>
      <c r="C2528">
        <v>50</v>
      </c>
      <c r="D2528">
        <v>510</v>
      </c>
      <c r="E2528">
        <v>1</v>
      </c>
      <c r="F2528" t="s">
        <v>13</v>
      </c>
      <c r="G2528" t="s">
        <v>12</v>
      </c>
      <c r="H2528">
        <v>0</v>
      </c>
      <c r="I2528">
        <v>0</v>
      </c>
      <c r="K2528">
        <v>534.37</v>
      </c>
      <c r="L2528">
        <v>1.3886000000000001</v>
      </c>
      <c r="M2528">
        <v>534.07000000000005</v>
      </c>
      <c r="N2528">
        <v>1.3883000000000001</v>
      </c>
      <c r="O2528" t="s">
        <v>1435</v>
      </c>
    </row>
    <row r="2529" spans="1:15" x14ac:dyDescent="0.25">
      <c r="A2529" t="s">
        <v>70</v>
      </c>
      <c r="B2529" t="s">
        <v>61</v>
      </c>
      <c r="C2529">
        <v>50</v>
      </c>
      <c r="D2529">
        <v>510</v>
      </c>
      <c r="E2529">
        <v>10</v>
      </c>
      <c r="F2529" t="s">
        <v>13</v>
      </c>
      <c r="G2529" t="s">
        <v>12</v>
      </c>
      <c r="H2529">
        <v>0</v>
      </c>
      <c r="I2529">
        <v>0</v>
      </c>
      <c r="K2529">
        <v>5765.3</v>
      </c>
      <c r="L2529">
        <v>0.22044</v>
      </c>
      <c r="M2529">
        <v>5765.2</v>
      </c>
      <c r="N2529">
        <v>0.21986</v>
      </c>
      <c r="O2529" t="s">
        <v>1436</v>
      </c>
    </row>
    <row r="2530" spans="1:15" x14ac:dyDescent="0.25">
      <c r="A2530" t="s">
        <v>70</v>
      </c>
      <c r="B2530" t="s">
        <v>3</v>
      </c>
      <c r="C2530">
        <v>0</v>
      </c>
      <c r="D2530">
        <v>0.1</v>
      </c>
      <c r="E2530">
        <v>9.9999999999999995E-7</v>
      </c>
      <c r="F2530" t="s">
        <v>6</v>
      </c>
      <c r="G2530" t="s">
        <v>5</v>
      </c>
      <c r="H2530">
        <v>0</v>
      </c>
      <c r="I2530">
        <v>0</v>
      </c>
      <c r="K2530">
        <v>12</v>
      </c>
      <c r="L2530">
        <v>92</v>
      </c>
      <c r="M2530">
        <v>11.624000000000001</v>
      </c>
      <c r="N2530">
        <v>92.067999999999998</v>
      </c>
      <c r="O2530" t="s">
        <v>1402</v>
      </c>
    </row>
    <row r="2531" spans="1:15" x14ac:dyDescent="0.25">
      <c r="A2531" t="s">
        <v>70</v>
      </c>
      <c r="B2531" t="s">
        <v>3</v>
      </c>
      <c r="C2531">
        <v>0</v>
      </c>
      <c r="D2531">
        <v>0.1</v>
      </c>
      <c r="E2531">
        <v>1.0000000000000001E-5</v>
      </c>
      <c r="F2531" t="s">
        <v>6</v>
      </c>
      <c r="G2531" t="s">
        <v>5</v>
      </c>
      <c r="H2531">
        <v>0</v>
      </c>
      <c r="I2531">
        <v>0</v>
      </c>
      <c r="K2531">
        <v>12.962999999999999</v>
      </c>
      <c r="L2531">
        <v>86.429000000000002</v>
      </c>
      <c r="M2531">
        <v>12.956</v>
      </c>
      <c r="N2531">
        <v>86.457999999999998</v>
      </c>
      <c r="O2531" t="s">
        <v>1403</v>
      </c>
    </row>
    <row r="2532" spans="1:15" x14ac:dyDescent="0.25">
      <c r="A2532" t="s">
        <v>70</v>
      </c>
      <c r="B2532" t="s">
        <v>3</v>
      </c>
      <c r="C2532">
        <v>0</v>
      </c>
      <c r="D2532">
        <v>0.1</v>
      </c>
      <c r="E2532">
        <v>1E-4</v>
      </c>
      <c r="F2532" t="s">
        <v>6</v>
      </c>
      <c r="G2532" t="s">
        <v>5</v>
      </c>
      <c r="H2532">
        <v>0</v>
      </c>
      <c r="I2532">
        <v>0</v>
      </c>
      <c r="K2532">
        <v>58.889000000000003</v>
      </c>
      <c r="L2532">
        <v>24.899000000000001</v>
      </c>
      <c r="M2532">
        <v>58.883000000000003</v>
      </c>
      <c r="N2532">
        <v>24.902000000000001</v>
      </c>
      <c r="O2532" t="s">
        <v>1404</v>
      </c>
    </row>
    <row r="2533" spans="1:15" x14ac:dyDescent="0.25">
      <c r="A2533" t="s">
        <v>70</v>
      </c>
      <c r="B2533" t="s">
        <v>3</v>
      </c>
      <c r="C2533">
        <v>0</v>
      </c>
      <c r="D2533">
        <v>0.1</v>
      </c>
      <c r="E2533">
        <v>1E-3</v>
      </c>
      <c r="F2533" t="s">
        <v>6</v>
      </c>
      <c r="G2533" t="s">
        <v>5</v>
      </c>
      <c r="H2533">
        <v>0</v>
      </c>
      <c r="I2533">
        <v>0</v>
      </c>
      <c r="K2533">
        <v>577.47</v>
      </c>
      <c r="L2533">
        <v>2.5928</v>
      </c>
      <c r="M2533">
        <v>577.47</v>
      </c>
      <c r="N2533">
        <v>2.5928</v>
      </c>
      <c r="O2533" t="s">
        <v>1405</v>
      </c>
    </row>
    <row r="2534" spans="1:15" x14ac:dyDescent="0.25">
      <c r="A2534" t="s">
        <v>70</v>
      </c>
      <c r="B2534" t="s">
        <v>3</v>
      </c>
      <c r="C2534">
        <v>0</v>
      </c>
      <c r="D2534">
        <v>0.1</v>
      </c>
      <c r="E2534">
        <v>0.01</v>
      </c>
      <c r="F2534" t="s">
        <v>6</v>
      </c>
      <c r="G2534" t="s">
        <v>5</v>
      </c>
      <c r="H2534">
        <v>0</v>
      </c>
      <c r="I2534">
        <v>0</v>
      </c>
      <c r="K2534">
        <v>5773.6</v>
      </c>
      <c r="L2534">
        <v>0.25939000000000001</v>
      </c>
      <c r="M2534">
        <v>5773.6</v>
      </c>
      <c r="N2534">
        <v>0.25939000000000001</v>
      </c>
      <c r="O2534" t="s">
        <v>1406</v>
      </c>
    </row>
    <row r="2535" spans="1:15" x14ac:dyDescent="0.25">
      <c r="A2535" t="s">
        <v>70</v>
      </c>
      <c r="B2535" t="s">
        <v>3</v>
      </c>
      <c r="C2535">
        <v>0.1</v>
      </c>
      <c r="D2535">
        <v>1</v>
      </c>
      <c r="E2535">
        <v>1.0000000000000001E-5</v>
      </c>
      <c r="F2535" t="s">
        <v>6</v>
      </c>
      <c r="G2535" t="s">
        <v>5</v>
      </c>
      <c r="H2535">
        <v>0</v>
      </c>
      <c r="I2535">
        <v>0</v>
      </c>
      <c r="K2535">
        <v>36</v>
      </c>
      <c r="L2535">
        <v>92</v>
      </c>
      <c r="M2535">
        <v>35.884999999999998</v>
      </c>
      <c r="N2535">
        <v>91.647999999999996</v>
      </c>
      <c r="O2535" t="s">
        <v>1407</v>
      </c>
    </row>
    <row r="2536" spans="1:15" x14ac:dyDescent="0.25">
      <c r="A2536" t="s">
        <v>70</v>
      </c>
      <c r="B2536" t="s">
        <v>3</v>
      </c>
      <c r="C2536">
        <v>0.1</v>
      </c>
      <c r="D2536">
        <v>1</v>
      </c>
      <c r="E2536">
        <v>1E-4</v>
      </c>
      <c r="F2536" t="s">
        <v>6</v>
      </c>
      <c r="G2536" t="s">
        <v>5</v>
      </c>
      <c r="H2536">
        <v>0</v>
      </c>
      <c r="I2536">
        <v>0</v>
      </c>
      <c r="K2536">
        <v>65.685000000000002</v>
      </c>
      <c r="L2536">
        <v>74.286000000000001</v>
      </c>
      <c r="M2536">
        <v>65.573999999999998</v>
      </c>
      <c r="N2536">
        <v>74.301000000000002</v>
      </c>
      <c r="O2536" t="s">
        <v>1408</v>
      </c>
    </row>
    <row r="2537" spans="1:15" x14ac:dyDescent="0.25">
      <c r="A2537" t="s">
        <v>70</v>
      </c>
      <c r="B2537" t="s">
        <v>3</v>
      </c>
      <c r="C2537">
        <v>0.1</v>
      </c>
      <c r="D2537">
        <v>1</v>
      </c>
      <c r="E2537">
        <v>1E-3</v>
      </c>
      <c r="F2537" t="s">
        <v>6</v>
      </c>
      <c r="G2537" t="s">
        <v>5</v>
      </c>
      <c r="H2537">
        <v>0</v>
      </c>
      <c r="I2537">
        <v>0</v>
      </c>
      <c r="K2537">
        <v>577.78</v>
      </c>
      <c r="L2537">
        <v>13.555</v>
      </c>
      <c r="M2537">
        <v>577.73</v>
      </c>
      <c r="N2537">
        <v>13.515000000000001</v>
      </c>
      <c r="O2537" t="s">
        <v>1409</v>
      </c>
    </row>
    <row r="2538" spans="1:15" x14ac:dyDescent="0.25">
      <c r="A2538" t="s">
        <v>70</v>
      </c>
      <c r="B2538" t="s">
        <v>3</v>
      </c>
      <c r="C2538">
        <v>0.1</v>
      </c>
      <c r="D2538">
        <v>1</v>
      </c>
      <c r="E2538">
        <v>0.01</v>
      </c>
      <c r="F2538" t="s">
        <v>6</v>
      </c>
      <c r="G2538" t="s">
        <v>5</v>
      </c>
      <c r="H2538">
        <v>0</v>
      </c>
      <c r="I2538">
        <v>0</v>
      </c>
      <c r="K2538">
        <v>5773.6</v>
      </c>
      <c r="L2538">
        <v>1.3866000000000001</v>
      </c>
      <c r="M2538">
        <v>5773.6</v>
      </c>
      <c r="N2538">
        <v>1.3695999999999999</v>
      </c>
      <c r="O2538" t="s">
        <v>1410</v>
      </c>
    </row>
    <row r="2539" spans="1:15" x14ac:dyDescent="0.25">
      <c r="A2539" t="s">
        <v>70</v>
      </c>
      <c r="B2539" t="s">
        <v>3</v>
      </c>
      <c r="C2539">
        <v>0.1</v>
      </c>
      <c r="D2539">
        <v>1</v>
      </c>
      <c r="E2539">
        <v>0.1</v>
      </c>
      <c r="F2539" t="s">
        <v>6</v>
      </c>
      <c r="G2539" t="s">
        <v>5</v>
      </c>
      <c r="H2539">
        <v>0</v>
      </c>
      <c r="I2539">
        <v>0</v>
      </c>
      <c r="K2539">
        <v>57736</v>
      </c>
      <c r="L2539">
        <v>0.14379</v>
      </c>
      <c r="M2539">
        <v>57736</v>
      </c>
      <c r="N2539">
        <v>0.13697999999999999</v>
      </c>
      <c r="O2539" t="s">
        <v>1411</v>
      </c>
    </row>
    <row r="2540" spans="1:15" x14ac:dyDescent="0.25">
      <c r="A2540" t="s">
        <v>70</v>
      </c>
      <c r="B2540" t="s">
        <v>3</v>
      </c>
      <c r="C2540">
        <v>1</v>
      </c>
      <c r="D2540">
        <v>10</v>
      </c>
      <c r="E2540">
        <v>1E-4</v>
      </c>
      <c r="F2540" t="s">
        <v>6</v>
      </c>
      <c r="G2540" t="s">
        <v>5</v>
      </c>
      <c r="H2540">
        <v>0</v>
      </c>
      <c r="I2540">
        <v>0</v>
      </c>
      <c r="K2540">
        <v>360</v>
      </c>
      <c r="L2540">
        <v>92</v>
      </c>
      <c r="M2540">
        <v>354.54</v>
      </c>
      <c r="N2540">
        <v>91.828999999999994</v>
      </c>
      <c r="O2540" t="s">
        <v>1412</v>
      </c>
    </row>
    <row r="2541" spans="1:15" x14ac:dyDescent="0.25">
      <c r="A2541" t="s">
        <v>70</v>
      </c>
      <c r="B2541" t="s">
        <v>3</v>
      </c>
      <c r="C2541">
        <v>1</v>
      </c>
      <c r="D2541">
        <v>10</v>
      </c>
      <c r="E2541">
        <v>1E-3</v>
      </c>
      <c r="F2541" t="s">
        <v>6</v>
      </c>
      <c r="G2541" t="s">
        <v>5</v>
      </c>
      <c r="H2541">
        <v>0</v>
      </c>
      <c r="I2541">
        <v>0</v>
      </c>
      <c r="K2541">
        <v>653.72</v>
      </c>
      <c r="L2541">
        <v>74.370999999999995</v>
      </c>
      <c r="M2541">
        <v>653.16999999999996</v>
      </c>
      <c r="N2541">
        <v>74.328999999999994</v>
      </c>
      <c r="O2541" t="s">
        <v>1413</v>
      </c>
    </row>
    <row r="2542" spans="1:15" x14ac:dyDescent="0.25">
      <c r="A2542" t="s">
        <v>70</v>
      </c>
      <c r="B2542" t="s">
        <v>3</v>
      </c>
      <c r="C2542">
        <v>1</v>
      </c>
      <c r="D2542">
        <v>10</v>
      </c>
      <c r="E2542">
        <v>0.01</v>
      </c>
      <c r="F2542" t="s">
        <v>6</v>
      </c>
      <c r="G2542" t="s">
        <v>5</v>
      </c>
      <c r="H2542">
        <v>0</v>
      </c>
      <c r="I2542">
        <v>0</v>
      </c>
      <c r="K2542">
        <v>5777.2</v>
      </c>
      <c r="L2542">
        <v>13.558999999999999</v>
      </c>
      <c r="M2542">
        <v>5777</v>
      </c>
      <c r="N2542">
        <v>13.491</v>
      </c>
      <c r="O2542" t="s">
        <v>1414</v>
      </c>
    </row>
    <row r="2543" spans="1:15" x14ac:dyDescent="0.25">
      <c r="A2543" t="s">
        <v>70</v>
      </c>
      <c r="B2543" t="s">
        <v>3</v>
      </c>
      <c r="C2543">
        <v>1</v>
      </c>
      <c r="D2543">
        <v>10</v>
      </c>
      <c r="E2543">
        <v>0.1</v>
      </c>
      <c r="F2543" t="s">
        <v>6</v>
      </c>
      <c r="G2543" t="s">
        <v>5</v>
      </c>
      <c r="H2543">
        <v>0</v>
      </c>
      <c r="I2543">
        <v>0</v>
      </c>
      <c r="K2543">
        <v>57736</v>
      </c>
      <c r="L2543">
        <v>1.3954</v>
      </c>
      <c r="M2543">
        <v>57736</v>
      </c>
      <c r="N2543">
        <v>13.496</v>
      </c>
      <c r="O2543" t="s">
        <v>1415</v>
      </c>
    </row>
    <row r="2544" spans="1:15" x14ac:dyDescent="0.25">
      <c r="A2544" t="s">
        <v>70</v>
      </c>
      <c r="B2544" t="s">
        <v>3</v>
      </c>
      <c r="C2544">
        <v>1</v>
      </c>
      <c r="D2544">
        <v>10</v>
      </c>
      <c r="E2544">
        <v>1</v>
      </c>
      <c r="F2544" t="s">
        <v>6</v>
      </c>
      <c r="G2544" t="s">
        <v>5</v>
      </c>
      <c r="H2544">
        <v>0</v>
      </c>
      <c r="I2544">
        <v>0</v>
      </c>
      <c r="K2544">
        <v>577360</v>
      </c>
      <c r="L2544">
        <v>0.14807999999999999</v>
      </c>
      <c r="M2544">
        <v>577360</v>
      </c>
      <c r="N2544">
        <v>13.497</v>
      </c>
      <c r="O2544" t="s">
        <v>1416</v>
      </c>
    </row>
    <row r="2545" spans="1:15" x14ac:dyDescent="0.25">
      <c r="A2545" t="s">
        <v>70</v>
      </c>
      <c r="B2545" t="s">
        <v>3</v>
      </c>
      <c r="C2545">
        <v>10</v>
      </c>
      <c r="D2545">
        <v>100</v>
      </c>
      <c r="E2545">
        <v>1E-3</v>
      </c>
      <c r="F2545" t="s">
        <v>6</v>
      </c>
      <c r="G2545" t="s">
        <v>4</v>
      </c>
      <c r="H2545">
        <v>0</v>
      </c>
      <c r="I2545">
        <v>0</v>
      </c>
      <c r="K2545">
        <v>6.8</v>
      </c>
      <c r="L2545">
        <v>8.2000000000000003E-2</v>
      </c>
      <c r="M2545">
        <v>6.7337999999999996</v>
      </c>
      <c r="N2545">
        <v>8.2464999999999997E-2</v>
      </c>
      <c r="O2545" t="s">
        <v>1417</v>
      </c>
    </row>
    <row r="2546" spans="1:15" x14ac:dyDescent="0.25">
      <c r="A2546" t="s">
        <v>70</v>
      </c>
      <c r="B2546" t="s">
        <v>3</v>
      </c>
      <c r="C2546">
        <v>10</v>
      </c>
      <c r="D2546">
        <v>100</v>
      </c>
      <c r="E2546">
        <v>0.01</v>
      </c>
      <c r="F2546" t="s">
        <v>6</v>
      </c>
      <c r="G2546" t="s">
        <v>4</v>
      </c>
      <c r="H2546">
        <v>0</v>
      </c>
      <c r="I2546">
        <v>0</v>
      </c>
      <c r="K2546">
        <v>8.7739999999999991</v>
      </c>
      <c r="L2546">
        <v>7.2816000000000006E-2</v>
      </c>
      <c r="M2546">
        <v>8.766</v>
      </c>
      <c r="N2546">
        <v>7.2780999999999998E-2</v>
      </c>
      <c r="O2546" t="s">
        <v>1418</v>
      </c>
    </row>
    <row r="2547" spans="1:15" x14ac:dyDescent="0.25">
      <c r="A2547" t="s">
        <v>70</v>
      </c>
      <c r="B2547" t="s">
        <v>3</v>
      </c>
      <c r="C2547">
        <v>10</v>
      </c>
      <c r="D2547">
        <v>100</v>
      </c>
      <c r="E2547">
        <v>0.1</v>
      </c>
      <c r="F2547" t="s">
        <v>6</v>
      </c>
      <c r="G2547" t="s">
        <v>4</v>
      </c>
      <c r="H2547">
        <v>0</v>
      </c>
      <c r="I2547">
        <v>0</v>
      </c>
      <c r="K2547">
        <v>58.072000000000003</v>
      </c>
      <c r="L2547">
        <v>1.5845000000000001E-2</v>
      </c>
      <c r="M2547">
        <v>58.067999999999998</v>
      </c>
      <c r="N2547">
        <v>1.5768999999999998E-2</v>
      </c>
      <c r="O2547" t="s">
        <v>1419</v>
      </c>
    </row>
    <row r="2548" spans="1:15" x14ac:dyDescent="0.25">
      <c r="A2548" t="s">
        <v>70</v>
      </c>
      <c r="B2548" t="s">
        <v>3</v>
      </c>
      <c r="C2548">
        <v>10</v>
      </c>
      <c r="D2548">
        <v>100</v>
      </c>
      <c r="E2548">
        <v>1</v>
      </c>
      <c r="F2548" t="s">
        <v>6</v>
      </c>
      <c r="G2548" t="s">
        <v>4</v>
      </c>
      <c r="H2548">
        <v>0</v>
      </c>
      <c r="I2548">
        <v>0</v>
      </c>
      <c r="K2548">
        <v>577.39</v>
      </c>
      <c r="L2548">
        <v>1.6414999999999999E-3</v>
      </c>
      <c r="M2548">
        <v>577.39</v>
      </c>
      <c r="N2548">
        <v>1.6092999999999999E-3</v>
      </c>
      <c r="O2548" t="s">
        <v>1420</v>
      </c>
    </row>
    <row r="2549" spans="1:15" x14ac:dyDescent="0.25">
      <c r="A2549" t="s">
        <v>70</v>
      </c>
      <c r="B2549" t="s">
        <v>3</v>
      </c>
      <c r="C2549">
        <v>10</v>
      </c>
      <c r="D2549">
        <v>100</v>
      </c>
      <c r="E2549">
        <v>10</v>
      </c>
      <c r="F2549" t="s">
        <v>6</v>
      </c>
      <c r="G2549" t="s">
        <v>4</v>
      </c>
      <c r="H2549">
        <v>0</v>
      </c>
      <c r="I2549">
        <v>0</v>
      </c>
      <c r="K2549">
        <v>5773.6</v>
      </c>
      <c r="L2549">
        <v>1.7383000000000001E-4</v>
      </c>
      <c r="M2549">
        <v>5773.6</v>
      </c>
      <c r="N2549">
        <v>1.6097E-4</v>
      </c>
      <c r="O2549" t="s">
        <v>1421</v>
      </c>
    </row>
    <row r="2550" spans="1:15" x14ac:dyDescent="0.25">
      <c r="A2550" t="s">
        <v>70</v>
      </c>
      <c r="B2550" t="s">
        <v>3</v>
      </c>
      <c r="C2550">
        <v>100</v>
      </c>
      <c r="D2550">
        <v>1020</v>
      </c>
      <c r="E2550">
        <v>0.01</v>
      </c>
      <c r="F2550" t="s">
        <v>6</v>
      </c>
      <c r="G2550" t="s">
        <v>4</v>
      </c>
      <c r="H2550">
        <v>0</v>
      </c>
      <c r="I2550">
        <v>0</v>
      </c>
      <c r="K2550">
        <v>36</v>
      </c>
      <c r="L2550">
        <v>9.1999999999999998E-2</v>
      </c>
      <c r="M2550">
        <v>35.843000000000004</v>
      </c>
      <c r="N2550">
        <v>9.1772000000000006E-2</v>
      </c>
      <c r="O2550" t="s">
        <v>1422</v>
      </c>
    </row>
    <row r="2551" spans="1:15" x14ac:dyDescent="0.25">
      <c r="A2551" t="s">
        <v>70</v>
      </c>
      <c r="B2551" t="s">
        <v>3</v>
      </c>
      <c r="C2551">
        <v>100</v>
      </c>
      <c r="D2551">
        <v>1020</v>
      </c>
      <c r="E2551">
        <v>0.1</v>
      </c>
      <c r="F2551" t="s">
        <v>6</v>
      </c>
      <c r="G2551" t="s">
        <v>4</v>
      </c>
      <c r="H2551">
        <v>0</v>
      </c>
      <c r="I2551">
        <v>0</v>
      </c>
      <c r="K2551">
        <v>65.632000000000005</v>
      </c>
      <c r="L2551">
        <v>7.4630000000000002E-2</v>
      </c>
      <c r="M2551">
        <v>65.525000000000006</v>
      </c>
      <c r="N2551">
        <v>7.4607999999999994E-2</v>
      </c>
      <c r="O2551" t="s">
        <v>1423</v>
      </c>
    </row>
    <row r="2552" spans="1:15" x14ac:dyDescent="0.25">
      <c r="A2552" t="s">
        <v>70</v>
      </c>
      <c r="B2552" t="s">
        <v>3</v>
      </c>
      <c r="C2552">
        <v>100</v>
      </c>
      <c r="D2552">
        <v>1020</v>
      </c>
      <c r="E2552">
        <v>1</v>
      </c>
      <c r="F2552" t="s">
        <v>6</v>
      </c>
      <c r="G2552" t="s">
        <v>4</v>
      </c>
      <c r="H2552">
        <v>0</v>
      </c>
      <c r="I2552">
        <v>0</v>
      </c>
      <c r="K2552">
        <v>577.76</v>
      </c>
      <c r="L2552">
        <v>1.3752E-2</v>
      </c>
      <c r="M2552">
        <v>577.71</v>
      </c>
      <c r="N2552">
        <v>1.3677E-2</v>
      </c>
      <c r="O2552" t="s">
        <v>1424</v>
      </c>
    </row>
    <row r="2553" spans="1:15" x14ac:dyDescent="0.25">
      <c r="A2553" t="s">
        <v>70</v>
      </c>
      <c r="B2553" t="s">
        <v>3</v>
      </c>
      <c r="C2553">
        <v>100</v>
      </c>
      <c r="D2553">
        <v>1020</v>
      </c>
      <c r="E2553">
        <v>10</v>
      </c>
      <c r="F2553" t="s">
        <v>6</v>
      </c>
      <c r="G2553" t="s">
        <v>4</v>
      </c>
      <c r="H2553">
        <v>0</v>
      </c>
      <c r="I2553">
        <v>0</v>
      </c>
      <c r="K2553">
        <v>5773.6</v>
      </c>
      <c r="L2553">
        <v>1.4178999999999999E-3</v>
      </c>
      <c r="M2553">
        <v>5773.6</v>
      </c>
      <c r="N2553">
        <v>1.3864000000000001E-3</v>
      </c>
      <c r="O2553" t="s">
        <v>1425</v>
      </c>
    </row>
    <row r="2554" spans="1:15" x14ac:dyDescent="0.25">
      <c r="A2554" t="s">
        <v>70</v>
      </c>
      <c r="B2554" t="s">
        <v>3</v>
      </c>
      <c r="C2554">
        <v>100</v>
      </c>
      <c r="D2554">
        <v>1020</v>
      </c>
      <c r="E2554">
        <v>100</v>
      </c>
      <c r="F2554" t="s">
        <v>6</v>
      </c>
      <c r="G2554" t="s">
        <v>4</v>
      </c>
      <c r="H2554">
        <v>0</v>
      </c>
      <c r="I2554">
        <v>0</v>
      </c>
      <c r="K2554">
        <v>57736</v>
      </c>
      <c r="L2554">
        <v>1.5124999999999999E-4</v>
      </c>
      <c r="M2554">
        <v>57736</v>
      </c>
      <c r="N2554">
        <v>1.3866E-4</v>
      </c>
      <c r="O2554" t="s">
        <v>1426</v>
      </c>
    </row>
    <row r="2555" spans="1:15" x14ac:dyDescent="0.25">
      <c r="A2555" t="s">
        <v>70</v>
      </c>
      <c r="B2555" t="s">
        <v>17</v>
      </c>
      <c r="C2555">
        <v>1</v>
      </c>
      <c r="D2555">
        <v>100000</v>
      </c>
      <c r="E2555">
        <v>1</v>
      </c>
      <c r="F2555" t="s">
        <v>9</v>
      </c>
      <c r="G2555" t="s">
        <v>9</v>
      </c>
      <c r="H2555">
        <v>0</v>
      </c>
      <c r="I2555">
        <v>0</v>
      </c>
      <c r="K2555">
        <v>0.87</v>
      </c>
      <c r="L2555">
        <v>1.5999999999999999E-5</v>
      </c>
      <c r="M2555">
        <v>0.81637999999999999</v>
      </c>
      <c r="N2555">
        <v>1.6364000000000001E-5</v>
      </c>
      <c r="O2555" t="s">
        <v>1397</v>
      </c>
    </row>
    <row r="2556" spans="1:15" x14ac:dyDescent="0.25">
      <c r="A2556" t="s">
        <v>70</v>
      </c>
      <c r="B2556" t="s">
        <v>17</v>
      </c>
      <c r="C2556">
        <v>1</v>
      </c>
      <c r="D2556">
        <v>100000</v>
      </c>
      <c r="E2556">
        <v>10</v>
      </c>
      <c r="F2556" t="s">
        <v>9</v>
      </c>
      <c r="G2556" t="s">
        <v>9</v>
      </c>
      <c r="H2556">
        <v>0</v>
      </c>
      <c r="I2556">
        <v>0</v>
      </c>
      <c r="K2556">
        <v>5.8379000000000003</v>
      </c>
      <c r="L2556">
        <v>4.8237000000000001E-6</v>
      </c>
      <c r="M2556">
        <v>5.8243</v>
      </c>
      <c r="N2556">
        <v>4.6825999999999999E-6</v>
      </c>
      <c r="O2556" t="s">
        <v>1398</v>
      </c>
    </row>
    <row r="2557" spans="1:15" x14ac:dyDescent="0.25">
      <c r="A2557" t="s">
        <v>70</v>
      </c>
      <c r="B2557" t="s">
        <v>17</v>
      </c>
      <c r="C2557">
        <v>1</v>
      </c>
      <c r="D2557">
        <v>100000</v>
      </c>
      <c r="E2557">
        <v>100</v>
      </c>
      <c r="F2557" t="s">
        <v>9</v>
      </c>
      <c r="G2557" t="s">
        <v>9</v>
      </c>
      <c r="H2557">
        <v>0</v>
      </c>
      <c r="I2557">
        <v>0</v>
      </c>
      <c r="K2557">
        <v>58.005000000000003</v>
      </c>
      <c r="L2557">
        <v>3.1698999999999999E-6</v>
      </c>
      <c r="M2557">
        <v>58</v>
      </c>
      <c r="N2557">
        <v>3.1064999999999998E-6</v>
      </c>
      <c r="O2557" t="s">
        <v>1399</v>
      </c>
    </row>
    <row r="2558" spans="1:15" x14ac:dyDescent="0.25">
      <c r="A2558" t="s">
        <v>70</v>
      </c>
      <c r="B2558" t="s">
        <v>17</v>
      </c>
      <c r="C2558">
        <v>1</v>
      </c>
      <c r="D2558">
        <v>100000</v>
      </c>
      <c r="E2558">
        <v>1000</v>
      </c>
      <c r="F2558" t="s">
        <v>9</v>
      </c>
      <c r="G2558" t="s">
        <v>9</v>
      </c>
      <c r="H2558">
        <v>0</v>
      </c>
      <c r="I2558">
        <v>0</v>
      </c>
      <c r="K2558">
        <v>579.98</v>
      </c>
      <c r="L2558">
        <v>2.6531000000000001E-5</v>
      </c>
      <c r="M2558">
        <v>579.97</v>
      </c>
      <c r="N2558">
        <v>2.6505000000000001E-5</v>
      </c>
      <c r="O2558" t="s">
        <v>1400</v>
      </c>
    </row>
    <row r="2559" spans="1:15" x14ac:dyDescent="0.25">
      <c r="A2559" t="s">
        <v>70</v>
      </c>
      <c r="B2559" t="s">
        <v>17</v>
      </c>
      <c r="C2559">
        <v>1</v>
      </c>
      <c r="D2559">
        <v>100000</v>
      </c>
      <c r="E2559">
        <v>10000</v>
      </c>
      <c r="F2559" t="s">
        <v>9</v>
      </c>
      <c r="G2559" t="s">
        <v>9</v>
      </c>
      <c r="H2559">
        <v>0</v>
      </c>
      <c r="I2559">
        <v>0</v>
      </c>
      <c r="K2559">
        <v>5799.7</v>
      </c>
      <c r="L2559">
        <v>2.6460999999999998E-4</v>
      </c>
      <c r="M2559">
        <v>5799.7</v>
      </c>
      <c r="N2559">
        <v>2.6459999999999998E-4</v>
      </c>
      <c r="O2559" t="s">
        <v>1401</v>
      </c>
    </row>
    <row r="2560" spans="1:15" x14ac:dyDescent="0.25">
      <c r="A2560" t="s">
        <v>70</v>
      </c>
      <c r="B2560" t="s">
        <v>74</v>
      </c>
      <c r="C2560">
        <v>1</v>
      </c>
      <c r="D2560">
        <v>100</v>
      </c>
      <c r="E2560">
        <v>1</v>
      </c>
      <c r="F2560" t="s">
        <v>6</v>
      </c>
      <c r="G2560" t="s">
        <v>6</v>
      </c>
      <c r="H2560">
        <v>0</v>
      </c>
      <c r="I2560">
        <v>0</v>
      </c>
      <c r="K2560">
        <v>1.5</v>
      </c>
      <c r="L2560">
        <v>1.0999999999999999E-2</v>
      </c>
      <c r="M2560">
        <v>1.4054</v>
      </c>
      <c r="N2560">
        <v>1.0453E-2</v>
      </c>
      <c r="O2560" t="s">
        <v>1385</v>
      </c>
    </row>
    <row r="2561" spans="1:15" x14ac:dyDescent="0.25">
      <c r="A2561" t="s">
        <v>70</v>
      </c>
      <c r="B2561" t="s">
        <v>74</v>
      </c>
      <c r="C2561">
        <v>1</v>
      </c>
      <c r="D2561">
        <v>100</v>
      </c>
      <c r="E2561">
        <v>10</v>
      </c>
      <c r="F2561" t="s">
        <v>6</v>
      </c>
      <c r="G2561" t="s">
        <v>6</v>
      </c>
      <c r="H2561">
        <v>0</v>
      </c>
      <c r="I2561">
        <v>0</v>
      </c>
      <c r="K2561">
        <v>5.9149000000000003</v>
      </c>
      <c r="L2561">
        <v>3.8256000000000002E-3</v>
      </c>
      <c r="M2561">
        <v>5.9069000000000003</v>
      </c>
      <c r="N2561">
        <v>3.6668E-3</v>
      </c>
      <c r="O2561" t="s">
        <v>1386</v>
      </c>
    </row>
    <row r="2562" spans="1:15" x14ac:dyDescent="0.25">
      <c r="A2562" t="s">
        <v>70</v>
      </c>
      <c r="B2562" t="s">
        <v>74</v>
      </c>
      <c r="C2562">
        <v>1</v>
      </c>
      <c r="D2562">
        <v>100</v>
      </c>
      <c r="E2562">
        <v>100</v>
      </c>
      <c r="F2562" t="s">
        <v>6</v>
      </c>
      <c r="G2562" t="s">
        <v>6</v>
      </c>
      <c r="H2562">
        <v>0</v>
      </c>
      <c r="I2562">
        <v>0</v>
      </c>
      <c r="K2562">
        <v>57.917999999999999</v>
      </c>
      <c r="L2562">
        <v>3.3655999999999998E-3</v>
      </c>
      <c r="M2562">
        <v>57.914999999999999</v>
      </c>
      <c r="N2562">
        <v>3.2951999999999999E-3</v>
      </c>
      <c r="O2562" t="s">
        <v>1387</v>
      </c>
    </row>
    <row r="2563" spans="1:15" x14ac:dyDescent="0.25">
      <c r="A2563" t="s">
        <v>70</v>
      </c>
      <c r="B2563" t="s">
        <v>74</v>
      </c>
      <c r="C2563">
        <v>100</v>
      </c>
      <c r="D2563">
        <v>250</v>
      </c>
      <c r="E2563">
        <v>1</v>
      </c>
      <c r="F2563" t="s">
        <v>6</v>
      </c>
      <c r="G2563" t="s">
        <v>6</v>
      </c>
      <c r="H2563">
        <v>0</v>
      </c>
      <c r="I2563">
        <v>0</v>
      </c>
      <c r="K2563">
        <v>1.4</v>
      </c>
      <c r="L2563">
        <v>1.0999999999999999E-2</v>
      </c>
      <c r="M2563">
        <v>1.3332999999999999</v>
      </c>
      <c r="N2563">
        <v>1.1162E-2</v>
      </c>
      <c r="O2563" t="s">
        <v>1388</v>
      </c>
    </row>
    <row r="2564" spans="1:15" x14ac:dyDescent="0.25">
      <c r="A2564" t="s">
        <v>70</v>
      </c>
      <c r="B2564" t="s">
        <v>74</v>
      </c>
      <c r="C2564">
        <v>100</v>
      </c>
      <c r="D2564">
        <v>250</v>
      </c>
      <c r="E2564">
        <v>10</v>
      </c>
      <c r="F2564" t="s">
        <v>6</v>
      </c>
      <c r="G2564" t="s">
        <v>6</v>
      </c>
      <c r="H2564">
        <v>0</v>
      </c>
      <c r="I2564">
        <v>0</v>
      </c>
      <c r="K2564">
        <v>5.6898999999999997</v>
      </c>
      <c r="L2564">
        <v>5.7678E-3</v>
      </c>
      <c r="M2564">
        <v>5.6798000000000002</v>
      </c>
      <c r="N2564">
        <v>5.6527000000000001E-3</v>
      </c>
      <c r="O2564" t="s">
        <v>1389</v>
      </c>
    </row>
    <row r="2565" spans="1:15" x14ac:dyDescent="0.25">
      <c r="A2565" t="s">
        <v>70</v>
      </c>
      <c r="B2565" t="s">
        <v>74</v>
      </c>
      <c r="C2565">
        <v>100</v>
      </c>
      <c r="D2565">
        <v>250</v>
      </c>
      <c r="E2565">
        <v>100</v>
      </c>
      <c r="F2565" t="s">
        <v>6</v>
      </c>
      <c r="G2565" t="s">
        <v>6</v>
      </c>
      <c r="H2565">
        <v>0</v>
      </c>
      <c r="I2565">
        <v>0</v>
      </c>
      <c r="K2565">
        <v>57.719000000000001</v>
      </c>
      <c r="L2565">
        <v>2.4580000000000001E-3</v>
      </c>
      <c r="M2565">
        <v>57.716000000000001</v>
      </c>
      <c r="N2565">
        <v>2.3936000000000001E-3</v>
      </c>
      <c r="O2565" t="s">
        <v>1390</v>
      </c>
    </row>
    <row r="2566" spans="1:15" x14ac:dyDescent="0.25">
      <c r="A2566" t="s">
        <v>70</v>
      </c>
      <c r="B2566" t="s">
        <v>74</v>
      </c>
      <c r="C2566">
        <v>250</v>
      </c>
      <c r="D2566">
        <v>500</v>
      </c>
      <c r="E2566">
        <v>1</v>
      </c>
      <c r="F2566" t="s">
        <v>6</v>
      </c>
      <c r="G2566" t="s">
        <v>6</v>
      </c>
      <c r="H2566">
        <v>0</v>
      </c>
      <c r="I2566">
        <v>0</v>
      </c>
      <c r="K2566">
        <v>1.5</v>
      </c>
      <c r="L2566">
        <v>1.0999999999999999E-2</v>
      </c>
      <c r="M2566">
        <v>1.2696000000000001</v>
      </c>
      <c r="N2566">
        <v>1.1414000000000001E-2</v>
      </c>
      <c r="O2566" t="s">
        <v>1391</v>
      </c>
    </row>
    <row r="2567" spans="1:15" x14ac:dyDescent="0.25">
      <c r="A2567" t="s">
        <v>70</v>
      </c>
      <c r="B2567" t="s">
        <v>74</v>
      </c>
      <c r="C2567">
        <v>250</v>
      </c>
      <c r="D2567">
        <v>500</v>
      </c>
      <c r="E2567">
        <v>10</v>
      </c>
      <c r="F2567" t="s">
        <v>6</v>
      </c>
      <c r="G2567" t="s">
        <v>6</v>
      </c>
      <c r="H2567">
        <v>0</v>
      </c>
      <c r="I2567">
        <v>0</v>
      </c>
      <c r="K2567">
        <v>5.1032000000000002</v>
      </c>
      <c r="L2567">
        <v>8.0275999999999993E-3</v>
      </c>
      <c r="M2567">
        <v>5.0880999999999998</v>
      </c>
      <c r="N2567">
        <v>7.9319999999999998E-3</v>
      </c>
      <c r="O2567" t="s">
        <v>1392</v>
      </c>
    </row>
    <row r="2568" spans="1:15" x14ac:dyDescent="0.25">
      <c r="A2568" t="s">
        <v>70</v>
      </c>
      <c r="B2568" t="s">
        <v>74</v>
      </c>
      <c r="C2568">
        <v>250</v>
      </c>
      <c r="D2568">
        <v>500</v>
      </c>
      <c r="E2568">
        <v>100</v>
      </c>
      <c r="F2568" t="s">
        <v>6</v>
      </c>
      <c r="G2568" t="s">
        <v>6</v>
      </c>
      <c r="H2568">
        <v>0</v>
      </c>
      <c r="I2568">
        <v>0</v>
      </c>
      <c r="K2568">
        <v>57.497</v>
      </c>
      <c r="L2568">
        <v>2.2225000000000001E-3</v>
      </c>
      <c r="M2568">
        <v>57.502000000000002</v>
      </c>
      <c r="N2568">
        <v>2.1424999999999999E-3</v>
      </c>
      <c r="O2568" t="s">
        <v>1393</v>
      </c>
    </row>
    <row r="2569" spans="1:15" x14ac:dyDescent="0.25">
      <c r="A2569" t="s">
        <v>70</v>
      </c>
      <c r="B2569" t="s">
        <v>74</v>
      </c>
      <c r="C2569">
        <v>500</v>
      </c>
      <c r="D2569">
        <v>1000</v>
      </c>
      <c r="E2569">
        <v>1</v>
      </c>
      <c r="F2569" t="s">
        <v>6</v>
      </c>
      <c r="G2569" t="s">
        <v>6</v>
      </c>
      <c r="H2569">
        <v>0</v>
      </c>
      <c r="I2569">
        <v>0</v>
      </c>
      <c r="K2569">
        <v>1.8</v>
      </c>
      <c r="L2569">
        <v>1.0999999999999999E-2</v>
      </c>
      <c r="M2569">
        <v>1.2242</v>
      </c>
      <c r="N2569">
        <v>1.1504E-2</v>
      </c>
      <c r="O2569" t="s">
        <v>1394</v>
      </c>
    </row>
    <row r="2570" spans="1:15" x14ac:dyDescent="0.25">
      <c r="A2570" t="s">
        <v>70</v>
      </c>
      <c r="B2570" t="s">
        <v>74</v>
      </c>
      <c r="C2570">
        <v>500</v>
      </c>
      <c r="D2570">
        <v>1000</v>
      </c>
      <c r="E2570">
        <v>10</v>
      </c>
      <c r="F2570" t="s">
        <v>6</v>
      </c>
      <c r="G2570" t="s">
        <v>6</v>
      </c>
      <c r="H2570">
        <v>0</v>
      </c>
      <c r="I2570">
        <v>0</v>
      </c>
      <c r="K2570">
        <v>4.1692999999999998</v>
      </c>
      <c r="L2570">
        <v>9.8749000000000007E-3</v>
      </c>
      <c r="M2570">
        <v>4.0987</v>
      </c>
      <c r="N2570">
        <v>9.8767000000000004E-3</v>
      </c>
      <c r="O2570" t="s">
        <v>1395</v>
      </c>
    </row>
    <row r="2571" spans="1:15" x14ac:dyDescent="0.25">
      <c r="A2571" t="s">
        <v>70</v>
      </c>
      <c r="B2571" t="s">
        <v>74</v>
      </c>
      <c r="C2571">
        <v>500</v>
      </c>
      <c r="D2571">
        <v>1000</v>
      </c>
      <c r="E2571">
        <v>100</v>
      </c>
      <c r="F2571" t="s">
        <v>6</v>
      </c>
      <c r="G2571" t="s">
        <v>6</v>
      </c>
      <c r="H2571">
        <v>0</v>
      </c>
      <c r="I2571">
        <v>0</v>
      </c>
      <c r="K2571">
        <v>57.066000000000003</v>
      </c>
      <c r="L2571">
        <v>2.4926000000000002E-3</v>
      </c>
      <c r="M2571">
        <v>57.040999999999997</v>
      </c>
      <c r="N2571">
        <v>2.4497E-3</v>
      </c>
      <c r="O2571" t="s">
        <v>1396</v>
      </c>
    </row>
    <row r="2572" spans="1:15" x14ac:dyDescent="0.25">
      <c r="A2572" t="s">
        <v>70</v>
      </c>
      <c r="B2572" t="s">
        <v>75</v>
      </c>
      <c r="C2572">
        <v>250000</v>
      </c>
      <c r="D2572">
        <v>100000000</v>
      </c>
      <c r="E2572">
        <v>10000</v>
      </c>
      <c r="F2572" t="s">
        <v>104</v>
      </c>
      <c r="G2572" t="s">
        <v>50</v>
      </c>
      <c r="H2572">
        <v>0</v>
      </c>
      <c r="I2572">
        <v>0</v>
      </c>
      <c r="K2572">
        <v>18</v>
      </c>
      <c r="L2572">
        <v>9.2E-6</v>
      </c>
      <c r="M2572">
        <v>13.773</v>
      </c>
      <c r="N2572">
        <v>9.2419000000000004E-6</v>
      </c>
      <c r="O2572" t="s">
        <v>1367</v>
      </c>
    </row>
    <row r="2573" spans="1:15" x14ac:dyDescent="0.25">
      <c r="A2573" t="s">
        <v>70</v>
      </c>
      <c r="B2573" t="s">
        <v>75</v>
      </c>
      <c r="C2573">
        <v>250000</v>
      </c>
      <c r="D2573">
        <v>100000000</v>
      </c>
      <c r="E2573">
        <v>100000</v>
      </c>
      <c r="F2573" t="s">
        <v>104</v>
      </c>
      <c r="G2573" t="s">
        <v>50</v>
      </c>
      <c r="H2573">
        <v>0</v>
      </c>
      <c r="I2573">
        <v>0</v>
      </c>
      <c r="K2573">
        <v>57.523000000000003</v>
      </c>
      <c r="L2573">
        <v>8.8223000000000002E-6</v>
      </c>
      <c r="M2573">
        <v>57.453000000000003</v>
      </c>
      <c r="N2573">
        <v>8.8227999999999996E-6</v>
      </c>
      <c r="O2573" t="s">
        <v>1368</v>
      </c>
    </row>
    <row r="2574" spans="1:15" x14ac:dyDescent="0.25">
      <c r="A2574" t="s">
        <v>70</v>
      </c>
      <c r="B2574" t="s">
        <v>75</v>
      </c>
      <c r="C2574">
        <v>250000</v>
      </c>
      <c r="D2574">
        <v>100000000</v>
      </c>
      <c r="E2574">
        <v>1000000</v>
      </c>
      <c r="F2574" t="s">
        <v>104</v>
      </c>
      <c r="G2574" t="s">
        <v>50</v>
      </c>
      <c r="H2574">
        <v>0</v>
      </c>
      <c r="I2574">
        <v>0</v>
      </c>
      <c r="K2574">
        <v>576.26</v>
      </c>
      <c r="L2574">
        <v>5.2658999999999998E-6</v>
      </c>
      <c r="M2574">
        <v>576.24</v>
      </c>
      <c r="N2574">
        <v>5.2654999999999998E-6</v>
      </c>
      <c r="O2574" t="s">
        <v>1369</v>
      </c>
    </row>
    <row r="2575" spans="1:15" x14ac:dyDescent="0.25">
      <c r="A2575" t="s">
        <v>70</v>
      </c>
      <c r="B2575" t="s">
        <v>75</v>
      </c>
      <c r="C2575">
        <v>250000</v>
      </c>
      <c r="D2575">
        <v>100000000</v>
      </c>
      <c r="E2575">
        <v>10000000</v>
      </c>
      <c r="F2575" t="s">
        <v>104</v>
      </c>
      <c r="G2575" t="s">
        <v>50</v>
      </c>
      <c r="H2575">
        <v>0</v>
      </c>
      <c r="I2575">
        <v>0</v>
      </c>
      <c r="K2575">
        <v>5775</v>
      </c>
      <c r="L2575">
        <v>1.0208E-6</v>
      </c>
      <c r="M2575">
        <v>5775</v>
      </c>
      <c r="N2575">
        <v>1.0204E-6</v>
      </c>
      <c r="O2575" t="s">
        <v>1370</v>
      </c>
    </row>
    <row r="2576" spans="1:15" x14ac:dyDescent="0.25">
      <c r="A2576" t="s">
        <v>70</v>
      </c>
      <c r="B2576" t="s">
        <v>75</v>
      </c>
      <c r="C2576">
        <v>100000000</v>
      </c>
      <c r="D2576">
        <v>250000000</v>
      </c>
      <c r="E2576">
        <v>10000</v>
      </c>
      <c r="F2576" t="s">
        <v>104</v>
      </c>
      <c r="G2576" t="s">
        <v>50</v>
      </c>
      <c r="H2576">
        <v>0</v>
      </c>
      <c r="I2576">
        <v>0</v>
      </c>
      <c r="K2576">
        <v>14</v>
      </c>
      <c r="L2576">
        <v>1.1E-5</v>
      </c>
      <c r="M2576">
        <v>13.510999999999999</v>
      </c>
      <c r="N2576">
        <v>1.0788000000000001E-5</v>
      </c>
      <c r="O2576" t="s">
        <v>1371</v>
      </c>
    </row>
    <row r="2577" spans="1:15" x14ac:dyDescent="0.25">
      <c r="A2577" t="s">
        <v>70</v>
      </c>
      <c r="B2577" t="s">
        <v>75</v>
      </c>
      <c r="C2577">
        <v>100000000</v>
      </c>
      <c r="D2577">
        <v>250000000</v>
      </c>
      <c r="E2577">
        <v>100000</v>
      </c>
      <c r="F2577" t="s">
        <v>104</v>
      </c>
      <c r="G2577" t="s">
        <v>50</v>
      </c>
      <c r="H2577">
        <v>0</v>
      </c>
      <c r="I2577">
        <v>0</v>
      </c>
      <c r="K2577">
        <v>57.137999999999998</v>
      </c>
      <c r="L2577">
        <v>1.0616E-5</v>
      </c>
      <c r="M2577">
        <v>57.125</v>
      </c>
      <c r="N2577">
        <v>1.0616E-5</v>
      </c>
      <c r="O2577" t="s">
        <v>1372</v>
      </c>
    </row>
    <row r="2578" spans="1:15" x14ac:dyDescent="0.25">
      <c r="A2578" t="s">
        <v>70</v>
      </c>
      <c r="B2578" t="s">
        <v>75</v>
      </c>
      <c r="C2578">
        <v>100000000</v>
      </c>
      <c r="D2578">
        <v>250000000</v>
      </c>
      <c r="E2578">
        <v>1000000</v>
      </c>
      <c r="F2578" t="s">
        <v>104</v>
      </c>
      <c r="G2578" t="s">
        <v>50</v>
      </c>
      <c r="H2578">
        <v>0</v>
      </c>
      <c r="I2578">
        <v>0</v>
      </c>
      <c r="K2578">
        <v>575.4</v>
      </c>
      <c r="L2578">
        <v>8.7861000000000005E-6</v>
      </c>
      <c r="M2578">
        <v>575.35</v>
      </c>
      <c r="N2578">
        <v>8.7861000000000005E-6</v>
      </c>
      <c r="O2578" t="s">
        <v>1373</v>
      </c>
    </row>
    <row r="2579" spans="1:15" x14ac:dyDescent="0.25">
      <c r="A2579" t="s">
        <v>70</v>
      </c>
      <c r="B2579" t="s">
        <v>75</v>
      </c>
      <c r="C2579">
        <v>100000000</v>
      </c>
      <c r="D2579">
        <v>250000000</v>
      </c>
      <c r="E2579">
        <v>10000000</v>
      </c>
      <c r="F2579" t="s">
        <v>104</v>
      </c>
      <c r="G2579" t="s">
        <v>50</v>
      </c>
      <c r="H2579">
        <v>0</v>
      </c>
      <c r="I2579">
        <v>0</v>
      </c>
      <c r="K2579">
        <v>5773</v>
      </c>
      <c r="L2579">
        <v>2.5170000000000002E-6</v>
      </c>
      <c r="M2579">
        <v>5772.9</v>
      </c>
      <c r="N2579">
        <v>2.5167E-6</v>
      </c>
      <c r="O2579" t="s">
        <v>1374</v>
      </c>
    </row>
    <row r="2580" spans="1:15" x14ac:dyDescent="0.25">
      <c r="A2580" t="s">
        <v>70</v>
      </c>
      <c r="B2580" t="s">
        <v>75</v>
      </c>
      <c r="C2580">
        <v>100000000</v>
      </c>
      <c r="D2580">
        <v>250000000</v>
      </c>
      <c r="E2580">
        <v>100000000</v>
      </c>
      <c r="F2580" t="s">
        <v>104</v>
      </c>
      <c r="G2580" t="s">
        <v>50</v>
      </c>
      <c r="H2580">
        <v>0</v>
      </c>
      <c r="I2580">
        <v>0</v>
      </c>
      <c r="K2580">
        <v>57896</v>
      </c>
      <c r="L2580">
        <v>1.3129E-6</v>
      </c>
      <c r="M2580">
        <v>57896</v>
      </c>
      <c r="N2580">
        <v>1.3127999999999999E-6</v>
      </c>
      <c r="O2580" t="s">
        <v>1375</v>
      </c>
    </row>
    <row r="2581" spans="1:15" x14ac:dyDescent="0.25">
      <c r="A2581" t="s">
        <v>70</v>
      </c>
      <c r="B2581" t="s">
        <v>75</v>
      </c>
      <c r="C2581">
        <v>250000000</v>
      </c>
      <c r="D2581">
        <v>500000000</v>
      </c>
      <c r="E2581">
        <v>10000</v>
      </c>
      <c r="F2581" t="s">
        <v>104</v>
      </c>
      <c r="G2581" t="s">
        <v>50</v>
      </c>
      <c r="H2581">
        <v>0</v>
      </c>
      <c r="I2581">
        <v>0</v>
      </c>
      <c r="K2581">
        <v>18</v>
      </c>
      <c r="L2581">
        <v>1.1E-5</v>
      </c>
      <c r="M2581">
        <v>12.763999999999999</v>
      </c>
      <c r="N2581">
        <v>1.1009000000000001E-5</v>
      </c>
      <c r="O2581" t="s">
        <v>1376</v>
      </c>
    </row>
    <row r="2582" spans="1:15" x14ac:dyDescent="0.25">
      <c r="A2582" t="s">
        <v>70</v>
      </c>
      <c r="B2582" t="s">
        <v>75</v>
      </c>
      <c r="C2582">
        <v>250000000</v>
      </c>
      <c r="D2582">
        <v>500000000</v>
      </c>
      <c r="E2582">
        <v>100000</v>
      </c>
      <c r="F2582" t="s">
        <v>104</v>
      </c>
      <c r="G2582" t="s">
        <v>50</v>
      </c>
      <c r="H2582">
        <v>0</v>
      </c>
      <c r="I2582">
        <v>0</v>
      </c>
      <c r="K2582">
        <v>55.079000000000001</v>
      </c>
      <c r="L2582">
        <v>1.0925E-5</v>
      </c>
      <c r="M2582">
        <v>54.77</v>
      </c>
      <c r="N2582">
        <v>1.0926E-5</v>
      </c>
      <c r="O2582" t="s">
        <v>1377</v>
      </c>
    </row>
    <row r="2583" spans="1:15" x14ac:dyDescent="0.25">
      <c r="A2583" t="s">
        <v>70</v>
      </c>
      <c r="B2583" t="s">
        <v>75</v>
      </c>
      <c r="C2583">
        <v>250000000</v>
      </c>
      <c r="D2583">
        <v>500000000</v>
      </c>
      <c r="E2583">
        <v>1000000</v>
      </c>
      <c r="F2583" t="s">
        <v>104</v>
      </c>
      <c r="G2583" t="s">
        <v>50</v>
      </c>
      <c r="H2583">
        <v>0</v>
      </c>
      <c r="I2583">
        <v>0</v>
      </c>
      <c r="K2583">
        <v>572.66999999999996</v>
      </c>
      <c r="L2583">
        <v>9.9500999999999998E-6</v>
      </c>
      <c r="M2583">
        <v>572.64</v>
      </c>
      <c r="N2583">
        <v>9.9500999999999998E-6</v>
      </c>
      <c r="O2583" t="s">
        <v>1378</v>
      </c>
    </row>
    <row r="2584" spans="1:15" x14ac:dyDescent="0.25">
      <c r="A2584" t="s">
        <v>70</v>
      </c>
      <c r="B2584" t="s">
        <v>75</v>
      </c>
      <c r="C2584">
        <v>250000000</v>
      </c>
      <c r="D2584">
        <v>500000000</v>
      </c>
      <c r="E2584">
        <v>10000000</v>
      </c>
      <c r="F2584" t="s">
        <v>104</v>
      </c>
      <c r="G2584" t="s">
        <v>50</v>
      </c>
      <c r="H2584">
        <v>0</v>
      </c>
      <c r="I2584">
        <v>0</v>
      </c>
      <c r="K2584">
        <v>5771.4</v>
      </c>
      <c r="L2584">
        <v>4.4676000000000002E-6</v>
      </c>
      <c r="M2584">
        <v>5771.3</v>
      </c>
      <c r="N2584">
        <v>4.4673999999999998E-6</v>
      </c>
      <c r="O2584" t="s">
        <v>1379</v>
      </c>
    </row>
    <row r="2585" spans="1:15" x14ac:dyDescent="0.25">
      <c r="A2585" t="s">
        <v>70</v>
      </c>
      <c r="B2585" t="s">
        <v>75</v>
      </c>
      <c r="C2585">
        <v>500000000</v>
      </c>
      <c r="D2585">
        <v>1000000000</v>
      </c>
      <c r="E2585">
        <v>10000</v>
      </c>
      <c r="F2585" t="s">
        <v>104</v>
      </c>
      <c r="G2585" t="s">
        <v>50</v>
      </c>
      <c r="H2585">
        <v>0</v>
      </c>
      <c r="I2585">
        <v>0</v>
      </c>
      <c r="K2585">
        <v>25</v>
      </c>
      <c r="L2585">
        <v>1.1E-5</v>
      </c>
      <c r="M2585">
        <v>-76.510000000000005</v>
      </c>
      <c r="N2585">
        <v>1.1211E-5</v>
      </c>
      <c r="O2585" t="s">
        <v>1380</v>
      </c>
    </row>
    <row r="2586" spans="1:15" x14ac:dyDescent="0.25">
      <c r="A2586" t="s">
        <v>70</v>
      </c>
      <c r="B2586" t="s">
        <v>75</v>
      </c>
      <c r="C2586">
        <v>500000000</v>
      </c>
      <c r="D2586">
        <v>1000000000</v>
      </c>
      <c r="E2586">
        <v>100000</v>
      </c>
      <c r="F2586" t="s">
        <v>104</v>
      </c>
      <c r="G2586" t="s">
        <v>50</v>
      </c>
      <c r="H2586">
        <v>0</v>
      </c>
      <c r="I2586">
        <v>0</v>
      </c>
      <c r="K2586">
        <v>25</v>
      </c>
      <c r="L2586">
        <v>1.1209000000000001E-5</v>
      </c>
      <c r="M2586">
        <v>-75.391000000000005</v>
      </c>
      <c r="N2586">
        <v>1.1209000000000001E-5</v>
      </c>
      <c r="O2586" t="s">
        <v>1381</v>
      </c>
    </row>
    <row r="2587" spans="1:15" x14ac:dyDescent="0.25">
      <c r="A2587" t="s">
        <v>70</v>
      </c>
      <c r="B2587" t="s">
        <v>75</v>
      </c>
      <c r="C2587">
        <v>500000000</v>
      </c>
      <c r="D2587">
        <v>1000000000</v>
      </c>
      <c r="E2587">
        <v>1000000</v>
      </c>
      <c r="F2587" t="s">
        <v>104</v>
      </c>
      <c r="G2587" t="s">
        <v>50</v>
      </c>
      <c r="H2587">
        <v>0</v>
      </c>
      <c r="I2587">
        <v>0</v>
      </c>
      <c r="K2587">
        <v>25</v>
      </c>
      <c r="L2587">
        <v>1.1045E-5</v>
      </c>
      <c r="M2587">
        <v>24.396000000000001</v>
      </c>
      <c r="N2587">
        <v>1.1045E-5</v>
      </c>
      <c r="O2587" t="s">
        <v>1382</v>
      </c>
    </row>
    <row r="2588" spans="1:15" x14ac:dyDescent="0.25">
      <c r="A2588" t="s">
        <v>70</v>
      </c>
      <c r="B2588" t="s">
        <v>75</v>
      </c>
      <c r="C2588">
        <v>500000000</v>
      </c>
      <c r="D2588">
        <v>1000000000</v>
      </c>
      <c r="E2588">
        <v>10000000</v>
      </c>
      <c r="F2588" t="s">
        <v>104</v>
      </c>
      <c r="G2588" t="s">
        <v>50</v>
      </c>
      <c r="H2588">
        <v>0</v>
      </c>
      <c r="I2588">
        <v>0</v>
      </c>
      <c r="K2588">
        <v>5114.5</v>
      </c>
      <c r="L2588">
        <v>7.3429999999999998E-6</v>
      </c>
      <c r="M2588">
        <v>5114.5</v>
      </c>
      <c r="N2588">
        <v>7.3428999999999996E-6</v>
      </c>
      <c r="O2588" t="s">
        <v>1383</v>
      </c>
    </row>
    <row r="2589" spans="1:15" x14ac:dyDescent="0.25">
      <c r="A2589" t="s">
        <v>70</v>
      </c>
      <c r="B2589" t="s">
        <v>75</v>
      </c>
      <c r="C2589">
        <v>500000000</v>
      </c>
      <c r="D2589">
        <v>1000000000</v>
      </c>
      <c r="E2589">
        <v>100000000</v>
      </c>
      <c r="F2589" t="s">
        <v>104</v>
      </c>
      <c r="G2589" t="s">
        <v>50</v>
      </c>
      <c r="H2589">
        <v>0</v>
      </c>
      <c r="I2589">
        <v>0</v>
      </c>
      <c r="K2589">
        <v>57638</v>
      </c>
      <c r="L2589">
        <v>1.4394999999999999E-6</v>
      </c>
      <c r="M2589">
        <v>57638</v>
      </c>
      <c r="N2589">
        <v>1.4394999999999999E-6</v>
      </c>
      <c r="O2589" t="s">
        <v>1384</v>
      </c>
    </row>
    <row r="2590" spans="1:15" x14ac:dyDescent="0.25">
      <c r="A2590" t="s">
        <v>70</v>
      </c>
      <c r="B2590" t="s">
        <v>76</v>
      </c>
      <c r="C2590">
        <v>-346</v>
      </c>
      <c r="D2590">
        <v>-148</v>
      </c>
      <c r="E2590">
        <v>0.1</v>
      </c>
      <c r="F2590" t="s">
        <v>26</v>
      </c>
      <c r="G2590" t="s">
        <v>26</v>
      </c>
      <c r="H2590">
        <v>0</v>
      </c>
      <c r="I2590">
        <v>0</v>
      </c>
      <c r="K2590">
        <v>2.416772044</v>
      </c>
      <c r="L2590">
        <v>0</v>
      </c>
      <c r="M2590">
        <v>2.4144755120000001</v>
      </c>
      <c r="N2590">
        <v>0</v>
      </c>
      <c r="O2590" t="s">
        <v>1351</v>
      </c>
    </row>
    <row r="2591" spans="1:15" x14ac:dyDescent="0.25">
      <c r="A2591" t="s">
        <v>70</v>
      </c>
      <c r="B2591" t="s">
        <v>76</v>
      </c>
      <c r="C2591">
        <v>-346</v>
      </c>
      <c r="D2591">
        <v>-148</v>
      </c>
      <c r="E2591">
        <v>1</v>
      </c>
      <c r="F2591" t="s">
        <v>26</v>
      </c>
      <c r="G2591" t="s">
        <v>26</v>
      </c>
      <c r="H2591">
        <v>0</v>
      </c>
      <c r="I2591">
        <v>0</v>
      </c>
      <c r="K2591">
        <v>2.4907975520000001</v>
      </c>
      <c r="L2591">
        <v>0</v>
      </c>
      <c r="M2591">
        <v>2.4818726799999999</v>
      </c>
      <c r="N2591">
        <v>0</v>
      </c>
      <c r="O2591" t="s">
        <v>1352</v>
      </c>
    </row>
    <row r="2592" spans="1:15" x14ac:dyDescent="0.25">
      <c r="A2592" t="s">
        <v>70</v>
      </c>
      <c r="B2592" t="s">
        <v>76</v>
      </c>
      <c r="C2592">
        <v>-210</v>
      </c>
      <c r="D2592">
        <v>-100</v>
      </c>
      <c r="E2592">
        <v>0.1</v>
      </c>
      <c r="F2592" t="s">
        <v>23</v>
      </c>
      <c r="G2592" t="s">
        <v>23</v>
      </c>
      <c r="H2592">
        <v>0</v>
      </c>
      <c r="I2592">
        <v>0</v>
      </c>
      <c r="K2592">
        <v>1.3460795590000001</v>
      </c>
      <c r="L2592">
        <v>0</v>
      </c>
      <c r="M2592">
        <v>1.344806961</v>
      </c>
      <c r="N2592">
        <v>0</v>
      </c>
      <c r="O2592" t="s">
        <v>1353</v>
      </c>
    </row>
    <row r="2593" spans="1:15" x14ac:dyDescent="0.25">
      <c r="A2593" t="s">
        <v>70</v>
      </c>
      <c r="B2593" t="s">
        <v>76</v>
      </c>
      <c r="C2593">
        <v>-210</v>
      </c>
      <c r="D2593">
        <v>-100</v>
      </c>
      <c r="E2593">
        <v>1</v>
      </c>
      <c r="F2593" t="s">
        <v>23</v>
      </c>
      <c r="G2593" t="s">
        <v>23</v>
      </c>
      <c r="H2593">
        <v>0</v>
      </c>
      <c r="I2593">
        <v>0</v>
      </c>
      <c r="K2593">
        <v>1.4670390010000001</v>
      </c>
      <c r="L2593">
        <v>0</v>
      </c>
      <c r="M2593">
        <v>1.462363074</v>
      </c>
      <c r="N2593">
        <v>0</v>
      </c>
      <c r="O2593" t="s">
        <v>1354</v>
      </c>
    </row>
    <row r="2594" spans="1:15" x14ac:dyDescent="0.25">
      <c r="A2594" t="s">
        <v>70</v>
      </c>
      <c r="B2594" t="s">
        <v>76</v>
      </c>
      <c r="C2594">
        <v>-148</v>
      </c>
      <c r="D2594">
        <v>302</v>
      </c>
      <c r="E2594">
        <v>0.1</v>
      </c>
      <c r="F2594" t="s">
        <v>26</v>
      </c>
      <c r="G2594" t="s">
        <v>26</v>
      </c>
      <c r="H2594">
        <v>0</v>
      </c>
      <c r="I2594">
        <v>0</v>
      </c>
      <c r="K2594">
        <v>1.9165327860000001</v>
      </c>
      <c r="L2594">
        <v>0</v>
      </c>
      <c r="M2594">
        <v>1.9144511769999999</v>
      </c>
      <c r="N2594">
        <v>0</v>
      </c>
      <c r="O2594" t="s">
        <v>1355</v>
      </c>
    </row>
    <row r="2595" spans="1:15" x14ac:dyDescent="0.25">
      <c r="A2595" t="s">
        <v>70</v>
      </c>
      <c r="B2595" t="s">
        <v>76</v>
      </c>
      <c r="C2595">
        <v>-148</v>
      </c>
      <c r="D2595">
        <v>302</v>
      </c>
      <c r="E2595">
        <v>1</v>
      </c>
      <c r="F2595" t="s">
        <v>26</v>
      </c>
      <c r="G2595" t="s">
        <v>26</v>
      </c>
      <c r="H2595">
        <v>0</v>
      </c>
      <c r="I2595">
        <v>0</v>
      </c>
      <c r="K2595">
        <v>2.0067440680000002</v>
      </c>
      <c r="L2595">
        <v>0</v>
      </c>
      <c r="M2595">
        <v>1.9987804549999999</v>
      </c>
      <c r="N2595">
        <v>0</v>
      </c>
      <c r="O2595" t="s">
        <v>1356</v>
      </c>
    </row>
    <row r="2596" spans="1:15" x14ac:dyDescent="0.25">
      <c r="A2596" t="s">
        <v>70</v>
      </c>
      <c r="B2596" t="s">
        <v>76</v>
      </c>
      <c r="C2596">
        <v>-100</v>
      </c>
      <c r="D2596">
        <v>150</v>
      </c>
      <c r="E2596">
        <v>0.1</v>
      </c>
      <c r="F2596" t="s">
        <v>23</v>
      </c>
      <c r="G2596" t="s">
        <v>23</v>
      </c>
      <c r="H2596">
        <v>0</v>
      </c>
      <c r="I2596">
        <v>0</v>
      </c>
      <c r="K2596">
        <v>1.06646255</v>
      </c>
      <c r="L2596">
        <v>0</v>
      </c>
      <c r="M2596">
        <v>1.0653079700000001</v>
      </c>
      <c r="N2596">
        <v>0</v>
      </c>
      <c r="O2596" t="s">
        <v>1357</v>
      </c>
    </row>
    <row r="2597" spans="1:15" x14ac:dyDescent="0.25">
      <c r="A2597" t="s">
        <v>70</v>
      </c>
      <c r="B2597" t="s">
        <v>76</v>
      </c>
      <c r="C2597">
        <v>-100</v>
      </c>
      <c r="D2597">
        <v>150</v>
      </c>
      <c r="E2597">
        <v>1</v>
      </c>
      <c r="F2597" t="s">
        <v>23</v>
      </c>
      <c r="G2597" t="s">
        <v>23</v>
      </c>
      <c r="H2597">
        <v>0</v>
      </c>
      <c r="I2597">
        <v>0</v>
      </c>
      <c r="K2597">
        <v>1.2143830819999999</v>
      </c>
      <c r="L2597">
        <v>0</v>
      </c>
      <c r="M2597">
        <v>1.210322713</v>
      </c>
      <c r="N2597">
        <v>0</v>
      </c>
      <c r="O2597" t="s">
        <v>1358</v>
      </c>
    </row>
    <row r="2598" spans="1:15" x14ac:dyDescent="0.25">
      <c r="A2598" t="s">
        <v>70</v>
      </c>
      <c r="B2598" t="s">
        <v>76</v>
      </c>
      <c r="C2598">
        <v>150</v>
      </c>
      <c r="D2598">
        <v>760</v>
      </c>
      <c r="E2598">
        <v>0.1</v>
      </c>
      <c r="F2598" t="s">
        <v>23</v>
      </c>
      <c r="G2598" t="s">
        <v>23</v>
      </c>
      <c r="H2598">
        <v>0</v>
      </c>
      <c r="I2598">
        <v>0</v>
      </c>
      <c r="K2598">
        <v>1.134193475</v>
      </c>
      <c r="L2598">
        <v>0</v>
      </c>
      <c r="M2598">
        <v>1.1338867909999999</v>
      </c>
      <c r="N2598">
        <v>0</v>
      </c>
      <c r="O2598" t="s">
        <v>1359</v>
      </c>
    </row>
    <row r="2599" spans="1:15" x14ac:dyDescent="0.25">
      <c r="A2599" t="s">
        <v>70</v>
      </c>
      <c r="B2599" t="s">
        <v>76</v>
      </c>
      <c r="C2599">
        <v>150</v>
      </c>
      <c r="D2599">
        <v>760</v>
      </c>
      <c r="E2599">
        <v>1</v>
      </c>
      <c r="F2599" t="s">
        <v>23</v>
      </c>
      <c r="G2599" t="s">
        <v>23</v>
      </c>
      <c r="H2599">
        <v>0</v>
      </c>
      <c r="I2599">
        <v>0</v>
      </c>
      <c r="K2599">
        <v>1.27219558</v>
      </c>
      <c r="L2599">
        <v>0</v>
      </c>
      <c r="M2599">
        <v>1.2711015910000001</v>
      </c>
      <c r="N2599">
        <v>0</v>
      </c>
      <c r="O2599" t="s">
        <v>1360</v>
      </c>
    </row>
    <row r="2600" spans="1:15" x14ac:dyDescent="0.25">
      <c r="A2600" t="s">
        <v>70</v>
      </c>
      <c r="B2600" t="s">
        <v>76</v>
      </c>
      <c r="C2600">
        <v>302</v>
      </c>
      <c r="D2600">
        <v>1400</v>
      </c>
      <c r="E2600">
        <v>0.1</v>
      </c>
      <c r="F2600" t="s">
        <v>26</v>
      </c>
      <c r="G2600" t="s">
        <v>26</v>
      </c>
      <c r="H2600">
        <v>0</v>
      </c>
      <c r="I2600">
        <v>0</v>
      </c>
      <c r="K2600">
        <v>2.039283008</v>
      </c>
      <c r="L2600">
        <v>0</v>
      </c>
      <c r="M2600">
        <v>2.038730363</v>
      </c>
      <c r="N2600">
        <v>0</v>
      </c>
      <c r="O2600" t="s">
        <v>1361</v>
      </c>
    </row>
    <row r="2601" spans="1:15" x14ac:dyDescent="0.25">
      <c r="A2601" t="s">
        <v>70</v>
      </c>
      <c r="B2601" t="s">
        <v>76</v>
      </c>
      <c r="C2601">
        <v>302</v>
      </c>
      <c r="D2601">
        <v>1400</v>
      </c>
      <c r="E2601">
        <v>1</v>
      </c>
      <c r="F2601" t="s">
        <v>26</v>
      </c>
      <c r="G2601" t="s">
        <v>26</v>
      </c>
      <c r="H2601">
        <v>0</v>
      </c>
      <c r="I2601">
        <v>0</v>
      </c>
      <c r="K2601">
        <v>2.1202443889999998</v>
      </c>
      <c r="L2601">
        <v>0</v>
      </c>
      <c r="M2601">
        <v>2.1181174409999999</v>
      </c>
      <c r="N2601">
        <v>0</v>
      </c>
      <c r="O2601" t="s">
        <v>1362</v>
      </c>
    </row>
    <row r="2602" spans="1:15" x14ac:dyDescent="0.25">
      <c r="A2602" t="s">
        <v>70</v>
      </c>
      <c r="B2602" t="s">
        <v>76</v>
      </c>
      <c r="C2602">
        <v>760</v>
      </c>
      <c r="D2602">
        <v>1200</v>
      </c>
      <c r="E2602">
        <v>0.1</v>
      </c>
      <c r="F2602" t="s">
        <v>23</v>
      </c>
      <c r="G2602" t="s">
        <v>23</v>
      </c>
      <c r="H2602">
        <v>0</v>
      </c>
      <c r="I2602">
        <v>0</v>
      </c>
      <c r="K2602">
        <v>1.249497729</v>
      </c>
      <c r="L2602">
        <v>0</v>
      </c>
      <c r="M2602">
        <v>1.2492193519999999</v>
      </c>
      <c r="N2602">
        <v>0</v>
      </c>
      <c r="O2602" t="s">
        <v>1363</v>
      </c>
    </row>
    <row r="2603" spans="1:15" x14ac:dyDescent="0.25">
      <c r="A2603" t="s">
        <v>70</v>
      </c>
      <c r="B2603" t="s">
        <v>76</v>
      </c>
      <c r="C2603">
        <v>760</v>
      </c>
      <c r="D2603">
        <v>1200</v>
      </c>
      <c r="E2603">
        <v>1</v>
      </c>
      <c r="F2603" t="s">
        <v>23</v>
      </c>
      <c r="G2603" t="s">
        <v>23</v>
      </c>
      <c r="H2603">
        <v>0</v>
      </c>
      <c r="I2603">
        <v>0</v>
      </c>
      <c r="K2603">
        <v>1.375983768</v>
      </c>
      <c r="L2603">
        <v>0</v>
      </c>
      <c r="M2603">
        <v>1.3749723599999999</v>
      </c>
      <c r="N2603">
        <v>0</v>
      </c>
      <c r="O2603" t="s">
        <v>1364</v>
      </c>
    </row>
    <row r="2604" spans="1:15" x14ac:dyDescent="0.25">
      <c r="A2604" t="s">
        <v>70</v>
      </c>
      <c r="B2604" t="s">
        <v>76</v>
      </c>
      <c r="C2604">
        <v>1400</v>
      </c>
      <c r="D2604">
        <v>2192</v>
      </c>
      <c r="E2604">
        <v>0.1</v>
      </c>
      <c r="F2604" t="s">
        <v>26</v>
      </c>
      <c r="G2604" t="s">
        <v>26</v>
      </c>
      <c r="H2604">
        <v>0</v>
      </c>
      <c r="I2604">
        <v>0</v>
      </c>
      <c r="K2604">
        <v>2.2469486550000002</v>
      </c>
      <c r="L2604">
        <v>0</v>
      </c>
      <c r="M2604">
        <v>2.246447098</v>
      </c>
      <c r="N2604">
        <v>0</v>
      </c>
      <c r="O2604" t="s">
        <v>1365</v>
      </c>
    </row>
    <row r="2605" spans="1:15" x14ac:dyDescent="0.25">
      <c r="A2605" t="s">
        <v>70</v>
      </c>
      <c r="B2605" t="s">
        <v>76</v>
      </c>
      <c r="C2605">
        <v>1400</v>
      </c>
      <c r="D2605">
        <v>2192</v>
      </c>
      <c r="E2605">
        <v>1</v>
      </c>
      <c r="F2605" t="s">
        <v>26</v>
      </c>
      <c r="G2605" t="s">
        <v>26</v>
      </c>
      <c r="H2605">
        <v>0</v>
      </c>
      <c r="I2605">
        <v>0</v>
      </c>
      <c r="K2605">
        <v>2.3206764830000002</v>
      </c>
      <c r="L2605">
        <v>0</v>
      </c>
      <c r="M2605">
        <v>2.3187333959999998</v>
      </c>
      <c r="N2605">
        <v>0</v>
      </c>
      <c r="O2605" t="s">
        <v>1366</v>
      </c>
    </row>
    <row r="2606" spans="1:15" x14ac:dyDescent="0.25">
      <c r="A2606" t="s">
        <v>70</v>
      </c>
      <c r="B2606" t="s">
        <v>77</v>
      </c>
      <c r="C2606">
        <v>-328</v>
      </c>
      <c r="D2606">
        <v>-148</v>
      </c>
      <c r="E2606">
        <v>0.1</v>
      </c>
      <c r="F2606" t="s">
        <v>26</v>
      </c>
      <c r="G2606" t="s">
        <v>26</v>
      </c>
      <c r="H2606">
        <v>0</v>
      </c>
      <c r="I2606">
        <v>0</v>
      </c>
      <c r="K2606">
        <v>2.584126259</v>
      </c>
      <c r="L2606">
        <v>0</v>
      </c>
      <c r="M2606">
        <v>2.5812734900000001</v>
      </c>
      <c r="N2606">
        <v>0</v>
      </c>
      <c r="O2606" t="s">
        <v>1339</v>
      </c>
    </row>
    <row r="2607" spans="1:15" x14ac:dyDescent="0.25">
      <c r="A2607" t="s">
        <v>70</v>
      </c>
      <c r="B2607" t="s">
        <v>77</v>
      </c>
      <c r="C2607">
        <v>-328</v>
      </c>
      <c r="D2607">
        <v>-148</v>
      </c>
      <c r="E2607">
        <v>1</v>
      </c>
      <c r="F2607" t="s">
        <v>26</v>
      </c>
      <c r="G2607" t="s">
        <v>26</v>
      </c>
      <c r="H2607">
        <v>0</v>
      </c>
      <c r="I2607">
        <v>0</v>
      </c>
      <c r="K2607">
        <v>2.6555443150000002</v>
      </c>
      <c r="L2607">
        <v>0</v>
      </c>
      <c r="M2607">
        <v>2.6444229670000001</v>
      </c>
      <c r="N2607">
        <v>0</v>
      </c>
      <c r="O2607" t="s">
        <v>1340</v>
      </c>
    </row>
    <row r="2608" spans="1:15" x14ac:dyDescent="0.25">
      <c r="A2608" t="s">
        <v>70</v>
      </c>
      <c r="B2608" t="s">
        <v>77</v>
      </c>
      <c r="C2608">
        <v>-200</v>
      </c>
      <c r="D2608">
        <v>-100</v>
      </c>
      <c r="E2608">
        <v>0.1</v>
      </c>
      <c r="F2608" t="s">
        <v>23</v>
      </c>
      <c r="G2608" t="s">
        <v>23</v>
      </c>
      <c r="H2608">
        <v>0</v>
      </c>
      <c r="I2608">
        <v>0</v>
      </c>
      <c r="K2608">
        <v>1.4397550640000001</v>
      </c>
      <c r="L2608">
        <v>0</v>
      </c>
      <c r="M2608">
        <v>1.438174743</v>
      </c>
      <c r="N2608">
        <v>0</v>
      </c>
      <c r="O2608" t="s">
        <v>1341</v>
      </c>
    </row>
    <row r="2609" spans="1:15" x14ac:dyDescent="0.25">
      <c r="A2609" t="s">
        <v>70</v>
      </c>
      <c r="B2609" t="s">
        <v>77</v>
      </c>
      <c r="C2609">
        <v>-200</v>
      </c>
      <c r="D2609">
        <v>-100</v>
      </c>
      <c r="E2609">
        <v>1</v>
      </c>
      <c r="F2609" t="s">
        <v>23</v>
      </c>
      <c r="G2609" t="s">
        <v>23</v>
      </c>
      <c r="H2609">
        <v>0</v>
      </c>
      <c r="I2609">
        <v>0</v>
      </c>
      <c r="K2609">
        <v>1.554522051</v>
      </c>
      <c r="L2609">
        <v>0</v>
      </c>
      <c r="M2609">
        <v>1.5486596109999999</v>
      </c>
      <c r="N2609">
        <v>0</v>
      </c>
      <c r="O2609" t="s">
        <v>1342</v>
      </c>
    </row>
    <row r="2610" spans="1:15" x14ac:dyDescent="0.25">
      <c r="A2610" t="s">
        <v>70</v>
      </c>
      <c r="B2610" t="s">
        <v>77</v>
      </c>
      <c r="C2610">
        <v>-148</v>
      </c>
      <c r="D2610">
        <v>248</v>
      </c>
      <c r="E2610">
        <v>0.1</v>
      </c>
      <c r="F2610" t="s">
        <v>26</v>
      </c>
      <c r="G2610" t="s">
        <v>26</v>
      </c>
      <c r="H2610">
        <v>0</v>
      </c>
      <c r="I2610">
        <v>0</v>
      </c>
      <c r="K2610">
        <v>2.0844413880000001</v>
      </c>
      <c r="L2610">
        <v>0</v>
      </c>
      <c r="M2610">
        <v>2.0809036999999999</v>
      </c>
      <c r="N2610">
        <v>0</v>
      </c>
      <c r="O2610" t="s">
        <v>1343</v>
      </c>
    </row>
    <row r="2611" spans="1:15" x14ac:dyDescent="0.25">
      <c r="A2611" t="s">
        <v>70</v>
      </c>
      <c r="B2611" t="s">
        <v>77</v>
      </c>
      <c r="C2611">
        <v>-148</v>
      </c>
      <c r="D2611">
        <v>248</v>
      </c>
      <c r="E2611">
        <v>1</v>
      </c>
      <c r="F2611" t="s">
        <v>26</v>
      </c>
      <c r="G2611" t="s">
        <v>26</v>
      </c>
      <c r="H2611">
        <v>0</v>
      </c>
      <c r="I2611">
        <v>0</v>
      </c>
      <c r="K2611">
        <v>2.1723496459999998</v>
      </c>
      <c r="L2611">
        <v>0</v>
      </c>
      <c r="M2611">
        <v>2.1587404220000002</v>
      </c>
      <c r="N2611">
        <v>0</v>
      </c>
      <c r="O2611" t="s">
        <v>1344</v>
      </c>
    </row>
    <row r="2612" spans="1:15" x14ac:dyDescent="0.25">
      <c r="A2612" t="s">
        <v>70</v>
      </c>
      <c r="B2612" t="s">
        <v>77</v>
      </c>
      <c r="C2612">
        <v>-100</v>
      </c>
      <c r="D2612">
        <v>120</v>
      </c>
      <c r="E2612">
        <v>0.1</v>
      </c>
      <c r="F2612" t="s">
        <v>23</v>
      </c>
      <c r="G2612" t="s">
        <v>23</v>
      </c>
      <c r="H2612">
        <v>0</v>
      </c>
      <c r="I2612">
        <v>0</v>
      </c>
      <c r="K2612">
        <v>1.1600491470000001</v>
      </c>
      <c r="L2612">
        <v>0</v>
      </c>
      <c r="M2612">
        <v>1.158087203</v>
      </c>
      <c r="N2612">
        <v>0</v>
      </c>
      <c r="O2612" t="s">
        <v>1345</v>
      </c>
    </row>
    <row r="2613" spans="1:15" x14ac:dyDescent="0.25">
      <c r="A2613" t="s">
        <v>70</v>
      </c>
      <c r="B2613" t="s">
        <v>77</v>
      </c>
      <c r="C2613">
        <v>-100</v>
      </c>
      <c r="D2613">
        <v>120</v>
      </c>
      <c r="E2613">
        <v>1</v>
      </c>
      <c r="F2613" t="s">
        <v>23</v>
      </c>
      <c r="G2613" t="s">
        <v>23</v>
      </c>
      <c r="H2613">
        <v>0</v>
      </c>
      <c r="I2613">
        <v>0</v>
      </c>
      <c r="K2613">
        <v>1.299753124</v>
      </c>
      <c r="L2613">
        <v>0</v>
      </c>
      <c r="M2613">
        <v>1.2927358470000001</v>
      </c>
      <c r="N2613">
        <v>0</v>
      </c>
      <c r="O2613" t="s">
        <v>1346</v>
      </c>
    </row>
    <row r="2614" spans="1:15" x14ac:dyDescent="0.25">
      <c r="A2614" t="s">
        <v>70</v>
      </c>
      <c r="B2614" t="s">
        <v>77</v>
      </c>
      <c r="C2614">
        <v>120</v>
      </c>
      <c r="D2614">
        <v>1370</v>
      </c>
      <c r="E2614">
        <v>0.1</v>
      </c>
      <c r="F2614" t="s">
        <v>23</v>
      </c>
      <c r="G2614" t="s">
        <v>23</v>
      </c>
      <c r="H2614">
        <v>0</v>
      </c>
      <c r="I2614">
        <v>0</v>
      </c>
      <c r="K2614">
        <v>1.412082372</v>
      </c>
      <c r="L2614">
        <v>0</v>
      </c>
      <c r="M2614">
        <v>1.4112674599999999</v>
      </c>
      <c r="N2614">
        <v>0</v>
      </c>
      <c r="O2614" t="s">
        <v>1347</v>
      </c>
    </row>
    <row r="2615" spans="1:15" x14ac:dyDescent="0.25">
      <c r="A2615" t="s">
        <v>70</v>
      </c>
      <c r="B2615" t="s">
        <v>77</v>
      </c>
      <c r="C2615">
        <v>120</v>
      </c>
      <c r="D2615">
        <v>1370</v>
      </c>
      <c r="E2615">
        <v>1</v>
      </c>
      <c r="F2615" t="s">
        <v>23</v>
      </c>
      <c r="G2615" t="s">
        <v>23</v>
      </c>
      <c r="H2615">
        <v>0</v>
      </c>
      <c r="I2615">
        <v>0</v>
      </c>
      <c r="K2615">
        <v>1.5267216400000001</v>
      </c>
      <c r="L2615">
        <v>0</v>
      </c>
      <c r="M2615">
        <v>1.523704645</v>
      </c>
      <c r="N2615">
        <v>0</v>
      </c>
      <c r="O2615" t="s">
        <v>1348</v>
      </c>
    </row>
    <row r="2616" spans="1:15" x14ac:dyDescent="0.25">
      <c r="A2616" t="s">
        <v>70</v>
      </c>
      <c r="B2616" t="s">
        <v>77</v>
      </c>
      <c r="C2616">
        <v>248</v>
      </c>
      <c r="D2616">
        <v>2500</v>
      </c>
      <c r="E2616">
        <v>0.1</v>
      </c>
      <c r="F2616" t="s">
        <v>26</v>
      </c>
      <c r="G2616" t="s">
        <v>26</v>
      </c>
      <c r="H2616">
        <v>0</v>
      </c>
      <c r="I2616">
        <v>0</v>
      </c>
      <c r="K2616">
        <v>2.5390574259999998</v>
      </c>
      <c r="L2616">
        <v>0</v>
      </c>
      <c r="M2616">
        <v>2.5375890299999999</v>
      </c>
      <c r="N2616">
        <v>0</v>
      </c>
      <c r="O2616" t="s">
        <v>1349</v>
      </c>
    </row>
    <row r="2617" spans="1:15" x14ac:dyDescent="0.25">
      <c r="A2617" t="s">
        <v>70</v>
      </c>
      <c r="B2617" t="s">
        <v>77</v>
      </c>
      <c r="C2617">
        <v>248</v>
      </c>
      <c r="D2617">
        <v>2500</v>
      </c>
      <c r="E2617">
        <v>1</v>
      </c>
      <c r="F2617" t="s">
        <v>26</v>
      </c>
      <c r="G2617" t="s">
        <v>26</v>
      </c>
      <c r="H2617">
        <v>0</v>
      </c>
      <c r="I2617">
        <v>0</v>
      </c>
      <c r="K2617">
        <v>2.607523</v>
      </c>
      <c r="L2617">
        <v>0</v>
      </c>
      <c r="M2617">
        <v>2.6017990090000001</v>
      </c>
      <c r="N2617">
        <v>0</v>
      </c>
      <c r="O2617" t="s">
        <v>1350</v>
      </c>
    </row>
    <row r="2618" spans="1:15" x14ac:dyDescent="0.25">
      <c r="A2618" t="s">
        <v>70</v>
      </c>
      <c r="B2618" t="s">
        <v>78</v>
      </c>
      <c r="C2618">
        <v>-328</v>
      </c>
      <c r="D2618">
        <v>-148</v>
      </c>
      <c r="E2618">
        <v>0.1</v>
      </c>
      <c r="F2618" t="s">
        <v>26</v>
      </c>
      <c r="G2618" t="s">
        <v>26</v>
      </c>
      <c r="H2618">
        <v>0</v>
      </c>
      <c r="I2618">
        <v>0</v>
      </c>
      <c r="K2618">
        <v>3.2049883289999999</v>
      </c>
      <c r="L2618">
        <v>0</v>
      </c>
      <c r="M2618">
        <v>3.2025262419999998</v>
      </c>
      <c r="N2618">
        <v>0</v>
      </c>
      <c r="O2618" t="s">
        <v>1327</v>
      </c>
    </row>
    <row r="2619" spans="1:15" x14ac:dyDescent="0.25">
      <c r="A2619" t="s">
        <v>70</v>
      </c>
      <c r="B2619" t="s">
        <v>78</v>
      </c>
      <c r="C2619">
        <v>-328</v>
      </c>
      <c r="D2619">
        <v>-148</v>
      </c>
      <c r="E2619">
        <v>1</v>
      </c>
      <c r="F2619" t="s">
        <v>26</v>
      </c>
      <c r="G2619" t="s">
        <v>26</v>
      </c>
      <c r="H2619">
        <v>0</v>
      </c>
      <c r="I2619">
        <v>0</v>
      </c>
      <c r="K2619">
        <v>3.2633231180000002</v>
      </c>
      <c r="L2619">
        <v>0</v>
      </c>
      <c r="M2619">
        <v>3.2536401659999998</v>
      </c>
      <c r="N2619">
        <v>0</v>
      </c>
      <c r="O2619" t="s">
        <v>1328</v>
      </c>
    </row>
    <row r="2620" spans="1:15" x14ac:dyDescent="0.25">
      <c r="A2620" t="s">
        <v>70</v>
      </c>
      <c r="B2620" t="s">
        <v>78</v>
      </c>
      <c r="C2620">
        <v>-200</v>
      </c>
      <c r="D2620">
        <v>-100</v>
      </c>
      <c r="E2620">
        <v>0.1</v>
      </c>
      <c r="F2620" t="s">
        <v>23</v>
      </c>
      <c r="G2620" t="s">
        <v>23</v>
      </c>
      <c r="H2620">
        <v>0</v>
      </c>
      <c r="I2620">
        <v>0</v>
      </c>
      <c r="K2620">
        <v>1.7820037</v>
      </c>
      <c r="L2620">
        <v>0</v>
      </c>
      <c r="M2620">
        <v>1.7806369909999999</v>
      </c>
      <c r="N2620">
        <v>0</v>
      </c>
      <c r="O2620" t="s">
        <v>1329</v>
      </c>
    </row>
    <row r="2621" spans="1:15" x14ac:dyDescent="0.25">
      <c r="A2621" t="s">
        <v>70</v>
      </c>
      <c r="B2621" t="s">
        <v>78</v>
      </c>
      <c r="C2621">
        <v>-200</v>
      </c>
      <c r="D2621">
        <v>-100</v>
      </c>
      <c r="E2621">
        <v>1</v>
      </c>
      <c r="F2621" t="s">
        <v>23</v>
      </c>
      <c r="G2621" t="s">
        <v>23</v>
      </c>
      <c r="H2621">
        <v>0</v>
      </c>
      <c r="I2621">
        <v>0</v>
      </c>
      <c r="K2621">
        <v>1.876204803</v>
      </c>
      <c r="L2621">
        <v>0</v>
      </c>
      <c r="M2621">
        <v>1.87100724</v>
      </c>
      <c r="N2621">
        <v>0</v>
      </c>
      <c r="O2621" t="s">
        <v>1330</v>
      </c>
    </row>
    <row r="2622" spans="1:15" x14ac:dyDescent="0.25">
      <c r="A2622" t="s">
        <v>70</v>
      </c>
      <c r="B2622" t="s">
        <v>78</v>
      </c>
      <c r="C2622">
        <v>-148</v>
      </c>
      <c r="D2622">
        <v>770</v>
      </c>
      <c r="E2622">
        <v>0.1</v>
      </c>
      <c r="F2622" t="s">
        <v>26</v>
      </c>
      <c r="G2622" t="s">
        <v>26</v>
      </c>
      <c r="H2622">
        <v>0</v>
      </c>
      <c r="I2622">
        <v>0</v>
      </c>
      <c r="K2622">
        <v>2.2918456639999998</v>
      </c>
      <c r="L2622">
        <v>0</v>
      </c>
      <c r="M2622">
        <v>2.2894238219999998</v>
      </c>
      <c r="N2622">
        <v>0</v>
      </c>
      <c r="O2622" t="s">
        <v>1331</v>
      </c>
    </row>
    <row r="2623" spans="1:15" x14ac:dyDescent="0.25">
      <c r="A2623" t="s">
        <v>70</v>
      </c>
      <c r="B2623" t="s">
        <v>78</v>
      </c>
      <c r="C2623">
        <v>-148</v>
      </c>
      <c r="D2623">
        <v>770</v>
      </c>
      <c r="E2623">
        <v>1</v>
      </c>
      <c r="F2623" t="s">
        <v>26</v>
      </c>
      <c r="G2623" t="s">
        <v>26</v>
      </c>
      <c r="H2623">
        <v>0</v>
      </c>
      <c r="I2623">
        <v>0</v>
      </c>
      <c r="K2623">
        <v>2.369776758</v>
      </c>
      <c r="L2623">
        <v>0</v>
      </c>
      <c r="M2623">
        <v>2.360394339</v>
      </c>
      <c r="N2623">
        <v>0</v>
      </c>
      <c r="O2623" t="s">
        <v>1332</v>
      </c>
    </row>
    <row r="2624" spans="1:15" x14ac:dyDescent="0.25">
      <c r="A2624" t="s">
        <v>70</v>
      </c>
      <c r="B2624" t="s">
        <v>78</v>
      </c>
      <c r="C2624">
        <v>-100</v>
      </c>
      <c r="D2624">
        <v>410</v>
      </c>
      <c r="E2624">
        <v>0.1</v>
      </c>
      <c r="F2624" t="s">
        <v>23</v>
      </c>
      <c r="G2624" t="s">
        <v>23</v>
      </c>
      <c r="H2624">
        <v>0</v>
      </c>
      <c r="I2624">
        <v>0</v>
      </c>
      <c r="K2624">
        <v>1.2762020279999999</v>
      </c>
      <c r="L2624">
        <v>0</v>
      </c>
      <c r="M2624">
        <v>1.2748596780000001</v>
      </c>
      <c r="N2624">
        <v>0</v>
      </c>
      <c r="O2624" t="s">
        <v>1333</v>
      </c>
    </row>
    <row r="2625" spans="1:15" x14ac:dyDescent="0.25">
      <c r="A2625" t="s">
        <v>70</v>
      </c>
      <c r="B2625" t="s">
        <v>78</v>
      </c>
      <c r="C2625">
        <v>-100</v>
      </c>
      <c r="D2625">
        <v>410</v>
      </c>
      <c r="E2625">
        <v>1</v>
      </c>
      <c r="F2625" t="s">
        <v>23</v>
      </c>
      <c r="G2625" t="s">
        <v>23</v>
      </c>
      <c r="H2625">
        <v>0</v>
      </c>
      <c r="I2625">
        <v>0</v>
      </c>
      <c r="K2625">
        <v>1.4031980850000001</v>
      </c>
      <c r="L2625">
        <v>0</v>
      </c>
      <c r="M2625">
        <v>1.3983086920000001</v>
      </c>
      <c r="N2625">
        <v>0</v>
      </c>
      <c r="O2625" t="s">
        <v>1334</v>
      </c>
    </row>
    <row r="2626" spans="1:15" x14ac:dyDescent="0.25">
      <c r="A2626" t="s">
        <v>70</v>
      </c>
      <c r="B2626" t="s">
        <v>78</v>
      </c>
      <c r="C2626">
        <v>410</v>
      </c>
      <c r="D2626">
        <v>1300</v>
      </c>
      <c r="E2626">
        <v>0.1</v>
      </c>
      <c r="F2626" t="s">
        <v>23</v>
      </c>
      <c r="G2626" t="s">
        <v>23</v>
      </c>
      <c r="H2626">
        <v>0</v>
      </c>
      <c r="I2626">
        <v>0</v>
      </c>
      <c r="K2626">
        <v>1.365791164</v>
      </c>
      <c r="L2626">
        <v>0</v>
      </c>
      <c r="M2626">
        <v>1.365066211</v>
      </c>
      <c r="N2626">
        <v>0</v>
      </c>
      <c r="O2626" t="s">
        <v>1335</v>
      </c>
    </row>
    <row r="2627" spans="1:15" x14ac:dyDescent="0.25">
      <c r="A2627" t="s">
        <v>70</v>
      </c>
      <c r="B2627" t="s">
        <v>78</v>
      </c>
      <c r="C2627">
        <v>410</v>
      </c>
      <c r="D2627">
        <v>1300</v>
      </c>
      <c r="E2627">
        <v>1</v>
      </c>
      <c r="F2627" t="s">
        <v>23</v>
      </c>
      <c r="G2627" t="s">
        <v>23</v>
      </c>
      <c r="H2627">
        <v>0</v>
      </c>
      <c r="I2627">
        <v>0</v>
      </c>
      <c r="K2627">
        <v>1.483686195</v>
      </c>
      <c r="L2627">
        <v>0</v>
      </c>
      <c r="M2627">
        <v>1.4810151119999999</v>
      </c>
      <c r="N2627">
        <v>0</v>
      </c>
      <c r="O2627" t="s">
        <v>1336</v>
      </c>
    </row>
    <row r="2628" spans="1:15" x14ac:dyDescent="0.25">
      <c r="A2628" t="s">
        <v>70</v>
      </c>
      <c r="B2628" t="s">
        <v>78</v>
      </c>
      <c r="C2628">
        <v>770</v>
      </c>
      <c r="D2628">
        <v>2372</v>
      </c>
      <c r="E2628">
        <v>0.1</v>
      </c>
      <c r="F2628" t="s">
        <v>26</v>
      </c>
      <c r="G2628" t="s">
        <v>26</v>
      </c>
      <c r="H2628">
        <v>0</v>
      </c>
      <c r="I2628">
        <v>0</v>
      </c>
      <c r="K2628">
        <v>2.4557651269999998</v>
      </c>
      <c r="L2628">
        <v>0</v>
      </c>
      <c r="M2628">
        <v>2.4544587999999998</v>
      </c>
      <c r="N2628">
        <v>0</v>
      </c>
      <c r="O2628" t="s">
        <v>1337</v>
      </c>
    </row>
    <row r="2629" spans="1:15" x14ac:dyDescent="0.25">
      <c r="A2629" t="s">
        <v>70</v>
      </c>
      <c r="B2629" t="s">
        <v>78</v>
      </c>
      <c r="C2629">
        <v>770</v>
      </c>
      <c r="D2629">
        <v>2372</v>
      </c>
      <c r="E2629">
        <v>1</v>
      </c>
      <c r="F2629" t="s">
        <v>26</v>
      </c>
      <c r="G2629" t="s">
        <v>26</v>
      </c>
      <c r="H2629">
        <v>0</v>
      </c>
      <c r="I2629">
        <v>0</v>
      </c>
      <c r="K2629">
        <v>2.5258712249999999</v>
      </c>
      <c r="L2629">
        <v>0</v>
      </c>
      <c r="M2629">
        <v>2.520787179</v>
      </c>
      <c r="N2629">
        <v>0</v>
      </c>
      <c r="O2629" t="s">
        <v>1338</v>
      </c>
    </row>
    <row r="2630" spans="1:15" x14ac:dyDescent="0.25">
      <c r="A2630" t="s">
        <v>70</v>
      </c>
      <c r="B2630" t="s">
        <v>79</v>
      </c>
      <c r="C2630">
        <v>0</v>
      </c>
      <c r="D2630">
        <v>250</v>
      </c>
      <c r="E2630">
        <v>0.1</v>
      </c>
      <c r="F2630" t="s">
        <v>23</v>
      </c>
      <c r="G2630" t="s">
        <v>23</v>
      </c>
      <c r="H2630">
        <v>0</v>
      </c>
      <c r="I2630">
        <v>0</v>
      </c>
      <c r="K2630">
        <v>2.6783637649999998</v>
      </c>
      <c r="L2630">
        <v>0</v>
      </c>
      <c r="M2630">
        <v>2.6774646350000002</v>
      </c>
      <c r="N2630">
        <v>0</v>
      </c>
      <c r="O2630" t="s">
        <v>1319</v>
      </c>
    </row>
    <row r="2631" spans="1:15" x14ac:dyDescent="0.25">
      <c r="A2631" t="s">
        <v>70</v>
      </c>
      <c r="B2631" t="s">
        <v>79</v>
      </c>
      <c r="C2631">
        <v>0</v>
      </c>
      <c r="D2631">
        <v>250</v>
      </c>
      <c r="E2631">
        <v>1</v>
      </c>
      <c r="F2631" t="s">
        <v>23</v>
      </c>
      <c r="G2631" t="s">
        <v>23</v>
      </c>
      <c r="H2631">
        <v>0</v>
      </c>
      <c r="I2631">
        <v>0</v>
      </c>
      <c r="K2631">
        <v>2.7419115989999998</v>
      </c>
      <c r="L2631">
        <v>0</v>
      </c>
      <c r="M2631">
        <v>2.73839677</v>
      </c>
      <c r="N2631">
        <v>0</v>
      </c>
      <c r="O2631" t="s">
        <v>1320</v>
      </c>
    </row>
    <row r="2632" spans="1:15" x14ac:dyDescent="0.25">
      <c r="A2632" t="s">
        <v>70</v>
      </c>
      <c r="B2632" t="s">
        <v>79</v>
      </c>
      <c r="C2632">
        <v>32</v>
      </c>
      <c r="D2632">
        <v>482</v>
      </c>
      <c r="E2632">
        <v>0.1</v>
      </c>
      <c r="F2632" t="s">
        <v>26</v>
      </c>
      <c r="G2632" t="s">
        <v>26</v>
      </c>
      <c r="H2632">
        <v>0</v>
      </c>
      <c r="I2632">
        <v>0</v>
      </c>
      <c r="K2632">
        <v>4.7943939770000004</v>
      </c>
      <c r="L2632">
        <v>0</v>
      </c>
      <c r="M2632">
        <v>4.7927665399999997</v>
      </c>
      <c r="N2632">
        <v>0</v>
      </c>
      <c r="O2632" t="s">
        <v>1321</v>
      </c>
    </row>
    <row r="2633" spans="1:15" x14ac:dyDescent="0.25">
      <c r="A2633" t="s">
        <v>70</v>
      </c>
      <c r="B2633" t="s">
        <v>79</v>
      </c>
      <c r="C2633">
        <v>32</v>
      </c>
      <c r="D2633">
        <v>482</v>
      </c>
      <c r="E2633">
        <v>1</v>
      </c>
      <c r="F2633" t="s">
        <v>26</v>
      </c>
      <c r="G2633" t="s">
        <v>26</v>
      </c>
      <c r="H2633">
        <v>0</v>
      </c>
      <c r="I2633">
        <v>0</v>
      </c>
      <c r="K2633">
        <v>4.833530916</v>
      </c>
      <c r="L2633">
        <v>0</v>
      </c>
      <c r="M2633">
        <v>4.827070655</v>
      </c>
      <c r="N2633">
        <v>0</v>
      </c>
      <c r="O2633" t="s">
        <v>1322</v>
      </c>
    </row>
    <row r="2634" spans="1:15" x14ac:dyDescent="0.25">
      <c r="A2634" t="s">
        <v>70</v>
      </c>
      <c r="B2634" t="s">
        <v>79</v>
      </c>
      <c r="C2634">
        <v>250</v>
      </c>
      <c r="D2634">
        <v>1760</v>
      </c>
      <c r="E2634">
        <v>0.1</v>
      </c>
      <c r="F2634" t="s">
        <v>23</v>
      </c>
      <c r="G2634" t="s">
        <v>23</v>
      </c>
      <c r="H2634">
        <v>0</v>
      </c>
      <c r="I2634">
        <v>0</v>
      </c>
      <c r="K2634">
        <v>1.996504472</v>
      </c>
      <c r="L2634">
        <v>0</v>
      </c>
      <c r="M2634">
        <v>1.9954858090000001</v>
      </c>
      <c r="N2634">
        <v>0</v>
      </c>
      <c r="O2634" t="s">
        <v>1323</v>
      </c>
    </row>
    <row r="2635" spans="1:15" x14ac:dyDescent="0.25">
      <c r="A2635" t="s">
        <v>70</v>
      </c>
      <c r="B2635" t="s">
        <v>79</v>
      </c>
      <c r="C2635">
        <v>250</v>
      </c>
      <c r="D2635">
        <v>1760</v>
      </c>
      <c r="E2635">
        <v>1</v>
      </c>
      <c r="F2635" t="s">
        <v>23</v>
      </c>
      <c r="G2635" t="s">
        <v>23</v>
      </c>
      <c r="H2635">
        <v>0</v>
      </c>
      <c r="I2635">
        <v>0</v>
      </c>
      <c r="K2635">
        <v>2.08043976</v>
      </c>
      <c r="L2635">
        <v>0</v>
      </c>
      <c r="M2635">
        <v>2.0765268149999998</v>
      </c>
      <c r="N2635">
        <v>0</v>
      </c>
      <c r="O2635" t="s">
        <v>1324</v>
      </c>
    </row>
    <row r="2636" spans="1:15" x14ac:dyDescent="0.25">
      <c r="A2636" t="s">
        <v>70</v>
      </c>
      <c r="B2636" t="s">
        <v>79</v>
      </c>
      <c r="C2636">
        <v>482</v>
      </c>
      <c r="D2636">
        <v>3200</v>
      </c>
      <c r="E2636">
        <v>0.1</v>
      </c>
      <c r="F2636" t="s">
        <v>26</v>
      </c>
      <c r="G2636" t="s">
        <v>26</v>
      </c>
      <c r="H2636">
        <v>0</v>
      </c>
      <c r="I2636">
        <v>0</v>
      </c>
      <c r="K2636">
        <v>3.582348573</v>
      </c>
      <c r="L2636">
        <v>0</v>
      </c>
      <c r="M2636">
        <v>3.5805091610000002</v>
      </c>
      <c r="N2636">
        <v>0</v>
      </c>
      <c r="O2636" t="s">
        <v>1325</v>
      </c>
    </row>
    <row r="2637" spans="1:15" x14ac:dyDescent="0.25">
      <c r="A2637" t="s">
        <v>70</v>
      </c>
      <c r="B2637" t="s">
        <v>79</v>
      </c>
      <c r="C2637">
        <v>482</v>
      </c>
      <c r="D2637">
        <v>3200</v>
      </c>
      <c r="E2637">
        <v>1</v>
      </c>
      <c r="F2637" t="s">
        <v>26</v>
      </c>
      <c r="G2637" t="s">
        <v>26</v>
      </c>
      <c r="H2637">
        <v>0</v>
      </c>
      <c r="I2637">
        <v>0</v>
      </c>
      <c r="K2637">
        <v>3.6335585350000001</v>
      </c>
      <c r="L2637">
        <v>0</v>
      </c>
      <c r="M2637">
        <v>3.6262991950000001</v>
      </c>
      <c r="N2637">
        <v>0</v>
      </c>
      <c r="O2637" t="s">
        <v>1326</v>
      </c>
    </row>
    <row r="2638" spans="1:15" x14ac:dyDescent="0.25">
      <c r="A2638" t="s">
        <v>70</v>
      </c>
      <c r="B2638" t="s">
        <v>80</v>
      </c>
      <c r="C2638">
        <v>0</v>
      </c>
      <c r="D2638">
        <v>250</v>
      </c>
      <c r="E2638">
        <v>0.1</v>
      </c>
      <c r="F2638" t="s">
        <v>23</v>
      </c>
      <c r="G2638" t="s">
        <v>23</v>
      </c>
      <c r="H2638">
        <v>0</v>
      </c>
      <c r="I2638">
        <v>0</v>
      </c>
      <c r="K2638">
        <v>2.6783437879999998</v>
      </c>
      <c r="L2638">
        <v>0</v>
      </c>
      <c r="M2638">
        <v>2.6774646350000002</v>
      </c>
      <c r="N2638">
        <v>0</v>
      </c>
      <c r="O2638" t="s">
        <v>1311</v>
      </c>
    </row>
    <row r="2639" spans="1:15" x14ac:dyDescent="0.25">
      <c r="A2639" t="s">
        <v>70</v>
      </c>
      <c r="B2639" t="s">
        <v>80</v>
      </c>
      <c r="C2639">
        <v>0</v>
      </c>
      <c r="D2639">
        <v>250</v>
      </c>
      <c r="E2639">
        <v>1</v>
      </c>
      <c r="F2639" t="s">
        <v>23</v>
      </c>
      <c r="G2639" t="s">
        <v>23</v>
      </c>
      <c r="H2639">
        <v>0</v>
      </c>
      <c r="I2639">
        <v>0</v>
      </c>
      <c r="K2639">
        <v>2.7418335410000001</v>
      </c>
      <c r="L2639">
        <v>0</v>
      </c>
      <c r="M2639">
        <v>2.73839677</v>
      </c>
      <c r="N2639">
        <v>0</v>
      </c>
      <c r="O2639" t="s">
        <v>1312</v>
      </c>
    </row>
    <row r="2640" spans="1:15" x14ac:dyDescent="0.25">
      <c r="A2640" t="s">
        <v>70</v>
      </c>
      <c r="B2640" t="s">
        <v>80</v>
      </c>
      <c r="C2640">
        <v>32</v>
      </c>
      <c r="D2640">
        <v>482</v>
      </c>
      <c r="E2640">
        <v>0.1</v>
      </c>
      <c r="F2640" t="s">
        <v>26</v>
      </c>
      <c r="G2640" t="s">
        <v>26</v>
      </c>
      <c r="H2640">
        <v>0</v>
      </c>
      <c r="I2640">
        <v>0</v>
      </c>
      <c r="K2640">
        <v>4.7943578179999999</v>
      </c>
      <c r="L2640">
        <v>0</v>
      </c>
      <c r="M2640">
        <v>4.7927665399999997</v>
      </c>
      <c r="N2640">
        <v>0</v>
      </c>
      <c r="O2640" t="s">
        <v>1313</v>
      </c>
    </row>
    <row r="2641" spans="1:19" x14ac:dyDescent="0.25">
      <c r="A2641" t="s">
        <v>70</v>
      </c>
      <c r="B2641" t="s">
        <v>80</v>
      </c>
      <c r="C2641">
        <v>32</v>
      </c>
      <c r="D2641">
        <v>482</v>
      </c>
      <c r="E2641">
        <v>1</v>
      </c>
      <c r="F2641" t="s">
        <v>26</v>
      </c>
      <c r="G2641" t="s">
        <v>26</v>
      </c>
      <c r="H2641">
        <v>0</v>
      </c>
      <c r="I2641">
        <v>0</v>
      </c>
      <c r="K2641">
        <v>4.8333874479999999</v>
      </c>
      <c r="L2641">
        <v>0</v>
      </c>
      <c r="M2641">
        <v>4.827070655</v>
      </c>
      <c r="N2641">
        <v>0</v>
      </c>
      <c r="O2641" t="s">
        <v>1314</v>
      </c>
    </row>
    <row r="2642" spans="1:19" x14ac:dyDescent="0.25">
      <c r="A2642" t="s">
        <v>70</v>
      </c>
      <c r="B2642" t="s">
        <v>80</v>
      </c>
      <c r="C2642">
        <v>250</v>
      </c>
      <c r="D2642">
        <v>1760</v>
      </c>
      <c r="E2642">
        <v>0.1</v>
      </c>
      <c r="F2642" t="s">
        <v>23</v>
      </c>
      <c r="G2642" t="s">
        <v>23</v>
      </c>
      <c r="H2642">
        <v>0</v>
      </c>
      <c r="I2642">
        <v>0</v>
      </c>
      <c r="K2642">
        <v>2.0005886570000002</v>
      </c>
      <c r="L2642">
        <v>0</v>
      </c>
      <c r="M2642">
        <v>1.999572074</v>
      </c>
      <c r="N2642">
        <v>0</v>
      </c>
      <c r="O2642" t="s">
        <v>1315</v>
      </c>
    </row>
    <row r="2643" spans="1:19" x14ac:dyDescent="0.25">
      <c r="A2643" t="s">
        <v>70</v>
      </c>
      <c r="B2643" t="s">
        <v>80</v>
      </c>
      <c r="C2643">
        <v>250</v>
      </c>
      <c r="D2643">
        <v>1760</v>
      </c>
      <c r="E2643">
        <v>1</v>
      </c>
      <c r="F2643" t="s">
        <v>23</v>
      </c>
      <c r="G2643" t="s">
        <v>23</v>
      </c>
      <c r="H2643">
        <v>0</v>
      </c>
      <c r="I2643">
        <v>0</v>
      </c>
      <c r="K2643">
        <v>2.0843594840000002</v>
      </c>
      <c r="L2643">
        <v>0</v>
      </c>
      <c r="M2643">
        <v>2.0804539110000002</v>
      </c>
      <c r="N2643">
        <v>0</v>
      </c>
      <c r="O2643" t="s">
        <v>1316</v>
      </c>
    </row>
    <row r="2644" spans="1:19" x14ac:dyDescent="0.25">
      <c r="A2644" t="s">
        <v>70</v>
      </c>
      <c r="B2644" t="s">
        <v>80</v>
      </c>
      <c r="C2644">
        <v>482</v>
      </c>
      <c r="D2644">
        <v>3200</v>
      </c>
      <c r="E2644">
        <v>0.1</v>
      </c>
      <c r="F2644" t="s">
        <v>26</v>
      </c>
      <c r="G2644" t="s">
        <v>26</v>
      </c>
      <c r="H2644">
        <v>0</v>
      </c>
      <c r="I2644">
        <v>0</v>
      </c>
      <c r="K2644">
        <v>3.5846263629999999</v>
      </c>
      <c r="L2644">
        <v>0</v>
      </c>
      <c r="M2644">
        <v>3.58278812</v>
      </c>
      <c r="N2644">
        <v>0</v>
      </c>
      <c r="O2644" t="s">
        <v>1317</v>
      </c>
    </row>
    <row r="2645" spans="1:19" x14ac:dyDescent="0.25">
      <c r="A2645" t="s">
        <v>70</v>
      </c>
      <c r="B2645" t="s">
        <v>80</v>
      </c>
      <c r="C2645">
        <v>482</v>
      </c>
      <c r="D2645">
        <v>3200</v>
      </c>
      <c r="E2645">
        <v>1</v>
      </c>
      <c r="F2645" t="s">
        <v>26</v>
      </c>
      <c r="G2645" t="s">
        <v>26</v>
      </c>
      <c r="H2645">
        <v>0</v>
      </c>
      <c r="I2645">
        <v>0</v>
      </c>
      <c r="K2645">
        <v>3.6358042429999999</v>
      </c>
      <c r="L2645">
        <v>0</v>
      </c>
      <c r="M2645">
        <v>3.6285493959999999</v>
      </c>
      <c r="N2645">
        <v>0</v>
      </c>
      <c r="O2645" t="s">
        <v>1318</v>
      </c>
    </row>
    <row r="2646" spans="1:19" x14ac:dyDescent="0.25">
      <c r="A2646" t="s">
        <v>70</v>
      </c>
      <c r="B2646" t="s">
        <v>81</v>
      </c>
      <c r="C2646">
        <v>-418</v>
      </c>
      <c r="D2646">
        <v>-238</v>
      </c>
      <c r="E2646">
        <v>0.1</v>
      </c>
      <c r="F2646" t="s">
        <v>26</v>
      </c>
      <c r="G2646" t="s">
        <v>26</v>
      </c>
      <c r="H2646">
        <v>0</v>
      </c>
      <c r="I2646">
        <v>0</v>
      </c>
      <c r="K2646">
        <v>3.9624103019999999</v>
      </c>
      <c r="L2646">
        <v>0</v>
      </c>
      <c r="M2646">
        <v>3.9602440140000001</v>
      </c>
      <c r="N2646">
        <v>0</v>
      </c>
      <c r="O2646" t="s">
        <v>1303</v>
      </c>
    </row>
    <row r="2647" spans="1:19" x14ac:dyDescent="0.25">
      <c r="A2647" t="s">
        <v>70</v>
      </c>
      <c r="B2647" t="s">
        <v>81</v>
      </c>
      <c r="C2647">
        <v>-418</v>
      </c>
      <c r="D2647">
        <v>-238</v>
      </c>
      <c r="E2647">
        <v>1</v>
      </c>
      <c r="F2647" t="s">
        <v>26</v>
      </c>
      <c r="G2647" t="s">
        <v>26</v>
      </c>
      <c r="H2647">
        <v>0</v>
      </c>
      <c r="I2647">
        <v>0</v>
      </c>
      <c r="K2647">
        <v>4.010259799</v>
      </c>
      <c r="L2647">
        <v>0</v>
      </c>
      <c r="M2647">
        <v>4.001691224</v>
      </c>
      <c r="N2647">
        <v>0</v>
      </c>
      <c r="O2647" t="s">
        <v>1304</v>
      </c>
    </row>
    <row r="2648" spans="1:19" x14ac:dyDescent="0.25">
      <c r="A2648" t="s">
        <v>70</v>
      </c>
      <c r="B2648" t="s">
        <v>81</v>
      </c>
      <c r="C2648">
        <v>-250</v>
      </c>
      <c r="D2648">
        <v>-150</v>
      </c>
      <c r="E2648">
        <v>0.1</v>
      </c>
      <c r="F2648" t="s">
        <v>23</v>
      </c>
      <c r="G2648" t="s">
        <v>23</v>
      </c>
      <c r="H2648">
        <v>0</v>
      </c>
      <c r="I2648">
        <v>0</v>
      </c>
      <c r="K2648">
        <v>2.2146411810000002</v>
      </c>
      <c r="L2648">
        <v>0</v>
      </c>
      <c r="M2648">
        <v>2.2134449200000001</v>
      </c>
      <c r="N2648">
        <v>0</v>
      </c>
      <c r="O2648" t="s">
        <v>1305</v>
      </c>
    </row>
    <row r="2649" spans="1:19" x14ac:dyDescent="0.25">
      <c r="A2649" t="s">
        <v>70</v>
      </c>
      <c r="B2649" t="s">
        <v>81</v>
      </c>
      <c r="C2649">
        <v>-250</v>
      </c>
      <c r="D2649">
        <v>-150</v>
      </c>
      <c r="E2649">
        <v>1</v>
      </c>
      <c r="F2649" t="s">
        <v>23</v>
      </c>
      <c r="G2649" t="s">
        <v>23</v>
      </c>
      <c r="H2649">
        <v>0</v>
      </c>
      <c r="I2649">
        <v>0</v>
      </c>
      <c r="K2649">
        <v>2.2914028439999998</v>
      </c>
      <c r="L2649">
        <v>0</v>
      </c>
      <c r="M2649">
        <v>2.2867746750000002</v>
      </c>
      <c r="N2649">
        <v>0</v>
      </c>
      <c r="O2649" t="s">
        <v>1306</v>
      </c>
    </row>
    <row r="2650" spans="1:19" x14ac:dyDescent="0.25">
      <c r="A2650" t="s">
        <v>70</v>
      </c>
      <c r="B2650" t="s">
        <v>81</v>
      </c>
      <c r="C2650">
        <v>-238</v>
      </c>
      <c r="D2650">
        <v>752</v>
      </c>
      <c r="E2650">
        <v>0.1</v>
      </c>
      <c r="F2650" t="s">
        <v>26</v>
      </c>
      <c r="G2650" t="s">
        <v>26</v>
      </c>
      <c r="H2650">
        <v>0</v>
      </c>
      <c r="I2650">
        <v>0</v>
      </c>
      <c r="K2650">
        <v>1.9193133179999999</v>
      </c>
      <c r="L2650">
        <v>0</v>
      </c>
      <c r="M2650">
        <v>1.9156064310000001</v>
      </c>
      <c r="N2650">
        <v>0</v>
      </c>
      <c r="O2650" t="s">
        <v>1307</v>
      </c>
    </row>
    <row r="2651" spans="1:19" x14ac:dyDescent="0.25">
      <c r="A2651" t="s">
        <v>70</v>
      </c>
      <c r="B2651" t="s">
        <v>81</v>
      </c>
      <c r="C2651">
        <v>-238</v>
      </c>
      <c r="D2651">
        <v>752</v>
      </c>
      <c r="E2651">
        <v>1</v>
      </c>
      <c r="F2651" t="s">
        <v>26</v>
      </c>
      <c r="G2651" t="s">
        <v>26</v>
      </c>
      <c r="H2651">
        <v>0</v>
      </c>
      <c r="I2651">
        <v>0</v>
      </c>
      <c r="K2651">
        <v>2.0140532379999998</v>
      </c>
      <c r="L2651">
        <v>0</v>
      </c>
      <c r="M2651">
        <v>1.9998869969999999</v>
      </c>
      <c r="N2651">
        <v>0</v>
      </c>
      <c r="O2651" t="s">
        <v>1308</v>
      </c>
    </row>
    <row r="2652" spans="1:19" x14ac:dyDescent="0.25">
      <c r="A2652" t="s">
        <v>70</v>
      </c>
      <c r="B2652" t="s">
        <v>81</v>
      </c>
      <c r="C2652">
        <v>-150</v>
      </c>
      <c r="D2652">
        <v>400</v>
      </c>
      <c r="E2652">
        <v>0.1</v>
      </c>
      <c r="F2652" t="s">
        <v>23</v>
      </c>
      <c r="G2652" t="s">
        <v>23</v>
      </c>
      <c r="H2652">
        <v>0</v>
      </c>
      <c r="I2652">
        <v>0</v>
      </c>
      <c r="K2652">
        <v>1.0694359710000001</v>
      </c>
      <c r="L2652">
        <v>0</v>
      </c>
      <c r="M2652">
        <v>1.0673826689999999</v>
      </c>
      <c r="N2652">
        <v>0</v>
      </c>
      <c r="O2652" t="s">
        <v>1309</v>
      </c>
    </row>
    <row r="2653" spans="1:19" x14ac:dyDescent="0.25">
      <c r="A2653" t="s">
        <v>70</v>
      </c>
      <c r="B2653" t="s">
        <v>81</v>
      </c>
      <c r="C2653">
        <v>-150</v>
      </c>
      <c r="D2653">
        <v>400</v>
      </c>
      <c r="E2653">
        <v>1</v>
      </c>
      <c r="F2653" t="s">
        <v>23</v>
      </c>
      <c r="G2653" t="s">
        <v>23</v>
      </c>
      <c r="H2653">
        <v>0</v>
      </c>
      <c r="I2653">
        <v>0</v>
      </c>
      <c r="K2653">
        <v>1.219367007</v>
      </c>
      <c r="L2653">
        <v>0</v>
      </c>
      <c r="M2653">
        <v>1.212149232</v>
      </c>
      <c r="N2653">
        <v>0</v>
      </c>
      <c r="O2653" t="s">
        <v>1310</v>
      </c>
    </row>
    <row r="2656" spans="1:19" x14ac:dyDescent="0.25">
      <c r="S2656" t="s">
        <v>45</v>
      </c>
    </row>
  </sheetData>
  <protectedRanges>
    <protectedRange algorithmName="SHA-512" hashValue="EZP6/ZSm4P4nK/vvK3P464OquG/9pmiaDwsEpqoK5y93+3oPsKXXa3Z8ybNNysQEVYOh8rwQhotLwDK5/UAy1w==" saltValue="6pVJT7Txf349t7egkKx/Zw==" spinCount="100000" sqref="O1:O1048576" name="Range1"/>
  </protectedRanges>
  <phoneticPr fontId="19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dcterms:created xsi:type="dcterms:W3CDTF">2006-09-16T00:00:00Z</dcterms:created>
  <dcterms:modified xsi:type="dcterms:W3CDTF">2023-08-21T21:38:22Z</dcterms:modified>
</cp:coreProperties>
</file>